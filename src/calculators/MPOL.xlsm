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input" sheetId="1" r:id="rId5"/>
    <sheet state="visible" name="Page 1" sheetId="2" r:id="rId6"/>
    <sheet state="visible" name="Page 2" sheetId="3" r:id="rId7"/>
    <sheet state="visible" name="output" sheetId="4" r:id="rId8"/>
    <sheet state="visible" name="Calc_Annual" sheetId="5" r:id="rId9"/>
    <sheet state="visible" name="Assumption" sheetId="6" r:id="rId10"/>
  </sheets>
  <definedNames>
    <definedName name="Top_Up">input!#REF!</definedName>
    <definedName name="Total_Premi">input!#REF!</definedName>
    <definedName name="PML_FI">input!$H$20</definedName>
    <definedName name="sex">input!$D$12</definedName>
    <definedName name="mode">input!$D$21</definedName>
    <definedName name="Sum_Assured">input!$D$32</definedName>
    <definedName name="Insured_Age">input!$D$11</definedName>
    <definedName name="Coverage">input!$D$20</definedName>
    <definedName name="Currency">input!$D$18</definedName>
    <definedName name="premi_dasar">input!$D$27</definedName>
    <definedName name="pterm">input!$D$19</definedName>
    <definedName name="EM_Basic">input!$H$5</definedName>
    <definedName name="PML_LF">input!$H$17</definedName>
    <definedName name="PML_EF">input!$H$19</definedName>
    <definedName name="name">input!$D$10</definedName>
    <definedName name="pmode">input!$E$21</definedName>
    <definedName name="PML_BF">input!$H$18</definedName>
    <definedName name="Policyholder">input!$H$11</definedName>
  </definedNames>
  <calcPr/>
  <extLst>
    <ext uri="GoogleSheetsCustomDataVersion2">
      <go:sheetsCustomData xmlns:go="http://customooxmlschemas.google.com/" r:id="rId11" roundtripDataChecksum="+rzezgAngUTgfRCOEmtiO2rwdAJPzPvWdzdEfIgANCE="/>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H21">
      <text>
        <t xml:space="preserve">Total Investasi =100%
======</t>
      </text>
    </comment>
  </commentList>
</comments>
</file>

<file path=xl/sharedStrings.xml><?xml version="1.0" encoding="utf-8"?>
<sst xmlns="http://schemas.openxmlformats.org/spreadsheetml/2006/main" count="327" uniqueCount="156">
  <si>
    <t>ILUSTRASI - ASUMSI NILAI DANA INVESTASI</t>
  </si>
  <si>
    <t>CALCULATION SHEET - ANNUAL</t>
  </si>
  <si>
    <t>INPUT</t>
  </si>
  <si>
    <t>RINGKASAN ILUSTRASI</t>
  </si>
  <si>
    <t>Semua Jenis Investasi</t>
  </si>
  <si>
    <t>Dalam Jutaan Rupiah</t>
  </si>
  <si>
    <t>Nama Pemegang Polis</t>
  </si>
  <si>
    <t>BASIC INFORMATION</t>
  </si>
  <si>
    <t>:</t>
  </si>
  <si>
    <t>Tahun</t>
  </si>
  <si>
    <t>Insurance Start Date :</t>
  </si>
  <si>
    <t>Usia</t>
  </si>
  <si>
    <t>Kontribusi Tunggal</t>
  </si>
  <si>
    <t>Top Up</t>
  </si>
  <si>
    <t>Extra Mortality :</t>
  </si>
  <si>
    <t>Penarikan</t>
  </si>
  <si>
    <t>Proyeksi Investasi</t>
  </si>
  <si>
    <t>Nilai Investasi*)</t>
  </si>
  <si>
    <t>Tanggal Lahir</t>
  </si>
  <si>
    <t>Manfaat Meninggal**)</t>
  </si>
  <si>
    <t>Manfaat Penebusan Polis</t>
  </si>
  <si>
    <t>Negatif</t>
  </si>
  <si>
    <t xml:space="preserve">Account Value </t>
  </si>
  <si>
    <t>Nol</t>
  </si>
  <si>
    <t>Positif</t>
  </si>
  <si>
    <t>Death Benefit</t>
  </si>
  <si>
    <t>Surrender Benefit</t>
  </si>
  <si>
    <t>POLICY HOLDER</t>
  </si>
  <si>
    <t>Nama Tertanggung</t>
  </si>
  <si>
    <t>INSURED</t>
  </si>
  <si>
    <t>Name :</t>
  </si>
  <si>
    <t>Test</t>
  </si>
  <si>
    <t>Negative</t>
  </si>
  <si>
    <t>Zero</t>
  </si>
  <si>
    <t>Total Top Up</t>
  </si>
  <si>
    <t>Age :</t>
  </si>
  <si>
    <t>Positive</t>
  </si>
  <si>
    <t>End of</t>
  </si>
  <si>
    <t>Insured</t>
  </si>
  <si>
    <t>Premium Paid</t>
  </si>
  <si>
    <t>Usia*</t>
  </si>
  <si>
    <t>Sex :</t>
  </si>
  <si>
    <t>Male</t>
  </si>
  <si>
    <t>Net Amount</t>
  </si>
  <si>
    <t>Cost of Insurance</t>
  </si>
  <si>
    <t>Premium</t>
  </si>
  <si>
    <t>Policy</t>
  </si>
  <si>
    <t>Management</t>
  </si>
  <si>
    <t>Biaya Penerbitan Polis</t>
  </si>
  <si>
    <t>Fund Value</t>
  </si>
  <si>
    <t>DOB :</t>
  </si>
  <si>
    <t>Tanggal Mulai Asuransi</t>
  </si>
  <si>
    <t>Year</t>
  </si>
  <si>
    <t>Tanggal Berakhir Asuransi</t>
  </si>
  <si>
    <t>Age</t>
  </si>
  <si>
    <t>PLAN INFORMATION</t>
  </si>
  <si>
    <t>Premi Dasar</t>
  </si>
  <si>
    <t>Total</t>
  </si>
  <si>
    <t>INVESTMENT CHOICE</t>
  </si>
  <si>
    <t>Accummulated</t>
  </si>
  <si>
    <t>at Risk</t>
  </si>
  <si>
    <t>Basic</t>
  </si>
  <si>
    <t>Accident Death</t>
  </si>
  <si>
    <t>Loading</t>
  </si>
  <si>
    <t>Adm. Fee</t>
  </si>
  <si>
    <t>Fee</t>
  </si>
  <si>
    <t>Start</t>
  </si>
  <si>
    <t>End</t>
  </si>
  <si>
    <t>Plan Name :</t>
  </si>
  <si>
    <t>Mega Optima Link</t>
  </si>
  <si>
    <t>Total yang dibayarkan</t>
  </si>
  <si>
    <t>1. PML Liquid Fund</t>
  </si>
  <si>
    <t>Premi Tunggal</t>
  </si>
  <si>
    <t>Withdrawal</t>
  </si>
  <si>
    <t>Masa Pembayaran Premi</t>
  </si>
  <si>
    <t>Sekaligus, 1 Kali</t>
  </si>
  <si>
    <t>Currency :</t>
  </si>
  <si>
    <t>IDR</t>
  </si>
  <si>
    <t>2. PML Balanced Fund</t>
  </si>
  <si>
    <t>Payment Period :</t>
  </si>
  <si>
    <t>Cara Pembayaran Premi</t>
  </si>
  <si>
    <t>Sekaligus</t>
  </si>
  <si>
    <t>3. PML Equity Fund</t>
  </si>
  <si>
    <t>Positive Inv Indicator</t>
  </si>
  <si>
    <t>Coverage :</t>
  </si>
  <si>
    <t>Mata Uang</t>
  </si>
  <si>
    <t>4. PML Fixed Income Fund</t>
  </si>
  <si>
    <t>Payment Mode :</t>
  </si>
  <si>
    <t>Single</t>
  </si>
  <si>
    <t>Uang Pertanggungan</t>
  </si>
  <si>
    <t>*Usia yang berlaku adalah merujuk pada tanggal diterimanya ilustrasi dan SPAJ oleh penanggung</t>
  </si>
  <si>
    <t>JENIS INVESTASI</t>
  </si>
  <si>
    <t>Tipe Investasi</t>
  </si>
  <si>
    <t>Presentase (%) investasi dari kontribusi</t>
  </si>
  <si>
    <t>PFI Mega Life Liquid Fund</t>
  </si>
  <si>
    <t>CONTRIBUTION</t>
  </si>
  <si>
    <t>Single Contribution</t>
  </si>
  <si>
    <t>PFI Mega Life Fixed Income Fund</t>
  </si>
  <si>
    <t>PFI Mega Life Balanced Fund</t>
  </si>
  <si>
    <t>SUM ASSURED</t>
  </si>
  <si>
    <t>PFI Mega Life Equity Fund</t>
  </si>
  <si>
    <t>Sum Assured</t>
  </si>
  <si>
    <t>ASUMSI HASIL INVESTASI</t>
  </si>
  <si>
    <t>Usia ke- (Tahun)</t>
  </si>
  <si>
    <t>ADB Sum Assured</t>
  </si>
  <si>
    <t>Single Top Up</t>
  </si>
  <si>
    <t>Insured Age</t>
  </si>
  <si>
    <t>Nominal</t>
  </si>
  <si>
    <t>Asumsi Tingkat Hasil Investasi yang digunakan adalah sebagai berikut:</t>
  </si>
  <si>
    <t>Jenis Dana Investasi</t>
  </si>
  <si>
    <t>Negatif*</t>
  </si>
  <si>
    <t>*Asumsi tinggi rendahnya tingkat hasil investasi ini hanya bertujuan untuk ilustrasi saja dan bukan merupakan tolak ukur untuk perhitungan rata-rata tingkat hasil investasi yang terendah dan tertinggi</t>
  </si>
  <si>
    <t>MANFAAT ASURANSI</t>
  </si>
  <si>
    <t>Manfaat Asuransi</t>
  </si>
  <si>
    <t>Nama Produk</t>
  </si>
  <si>
    <t>Biaya Administrasi Bulanan</t>
  </si>
  <si>
    <t>Iuran Asuransi Bulanan* (Rp)</t>
  </si>
  <si>
    <t>Dasar</t>
  </si>
  <si>
    <t>*Merupakan Iuran Asuransi pada saat usia masuk. Iuran Asuransi akan berubah dari tahun ke tahun sesuai dengan usia yang dicapai 
pada saat tahun berjalan dan besar Uang Pertanggungan pada saat itu.</t>
  </si>
  <si>
    <t>Catatan:</t>
  </si>
  <si>
    <t>1.*) Nilai Investasi adalah Nilai Hasil Investasi pada saat penarikan</t>
  </si>
  <si>
    <t>2. **) Manfaat Meninggal adalah Uang Pertanggungan ditambah Nilai Investasi</t>
  </si>
  <si>
    <t>3. Jika ada tanda "****" artinya Nilai Investasi Anda sudah tidak mencukupi untuk membayar biaya-biaya yang timbul dan polis Anda akan berakhir.</t>
  </si>
  <si>
    <t>Pol holder</t>
  </si>
  <si>
    <t>Death Amount</t>
  </si>
  <si>
    <t>ADB Amount</t>
  </si>
  <si>
    <t>Premium Charge &amp; Acquisition</t>
  </si>
  <si>
    <t>Fund Management</t>
  </si>
  <si>
    <t>Basic Premium</t>
  </si>
  <si>
    <t>Irregular Premium</t>
  </si>
  <si>
    <t>COI</t>
  </si>
  <si>
    <t>Charge</t>
  </si>
  <si>
    <t>End (After Surrender)</t>
  </si>
  <si>
    <t>Single Premium</t>
  </si>
  <si>
    <t>COI Male</t>
  </si>
  <si>
    <t>COI Female</t>
  </si>
  <si>
    <t>COI ADB</t>
  </si>
  <si>
    <t>ASSUMPTION</t>
  </si>
  <si>
    <t xml:space="preserve">Basic </t>
  </si>
  <si>
    <t>Max Age :</t>
  </si>
  <si>
    <t>Loading &amp; Charges</t>
  </si>
  <si>
    <t>Premium Loading :</t>
  </si>
  <si>
    <t>Surrender Charges /</t>
  </si>
  <si>
    <t>Policy Year</t>
  </si>
  <si>
    <t>Percentage</t>
  </si>
  <si>
    <t>Partial WIthdrawal :</t>
  </si>
  <si>
    <t>Policy Adm. Fee :</t>
  </si>
  <si>
    <t>Monthly</t>
  </si>
  <si>
    <t>Death Benefit :</t>
  </si>
  <si>
    <t>age</t>
  </si>
  <si>
    <t>% SA</t>
  </si>
  <si>
    <t>Management Fee :</t>
  </si>
  <si>
    <t>pa</t>
  </si>
  <si>
    <t>Interest Rate per Annum</t>
  </si>
  <si>
    <t>Interest Rate per month</t>
  </si>
  <si>
    <t>Investment Return</t>
  </si>
</sst>
</file>

<file path=xl/styles.xml><?xml version="1.0" encoding="utf-8"?>
<styleSheet xmlns="http://schemas.openxmlformats.org/spreadsheetml/2006/main" xmlns:x14ac="http://schemas.microsoft.com/office/spreadsheetml/2009/9/ac" xmlns:mc="http://schemas.openxmlformats.org/markup-compatibility/2006">
  <numFmts count="17">
    <numFmt numFmtId="164" formatCode="_-* #,##0.00_-;\-* #,##0.00_-;_-* &quot;-&quot;??_-;_-@"/>
    <numFmt numFmtId="165" formatCode="_(* #,##0_);_(* \(#,##0\);_(* &quot;-&quot;??_);_(@_)"/>
    <numFmt numFmtId="166" formatCode="[$-409]d\-mmm\-yy"/>
    <numFmt numFmtId="167" formatCode="0.0%"/>
    <numFmt numFmtId="168" formatCode="_-[$Rp.]\ * #,##0_-;\-[$Rp.]\ * #,##0_-;_-[$Rp.]\ * &quot;-&quot;_-;_-@"/>
    <numFmt numFmtId="169" formatCode="_(* #,##0.00_);_(* \(#,##0.00\);_(* &quot;-&quot;??_);_(@_)"/>
    <numFmt numFmtId="170" formatCode="_-&quot;Rp&quot;* #,##0_-;\-&quot;Rp&quot;* #,##0_-;_-&quot;Rp&quot;* &quot;-&quot;_-;_-@"/>
    <numFmt numFmtId="171" formatCode="_(* #,##0.00000000_);_(* \(#,##0.00000000\);_(* &quot;-&quot;??_);_(@_)"/>
    <numFmt numFmtId="172" formatCode="_-* #,##0.00_-;\-* #,##0.00_-;_-* &quot;-&quot;_-;_-@"/>
    <numFmt numFmtId="173" formatCode="_-* #,##0_-;\-* #,##0_-;_-* &quot;-&quot;_-;_-@"/>
    <numFmt numFmtId="174" formatCode="[$Rp.]\ #,##0;[Red]\-[$Rp.]\ #,##0"/>
    <numFmt numFmtId="175" formatCode="_-* #,##0_-;\-* #,##0_-;_-* &quot;-&quot;??_-;_-@"/>
    <numFmt numFmtId="176" formatCode="_(* #,##0.00000_);_(* \(#,##0.00000\);_(* &quot;-&quot;??_);_(@_)"/>
    <numFmt numFmtId="177" formatCode="_(* #,##0.00000_);_(* \(#,##0.00000\);_(* &quot;-&quot;??.0000_);_(@_)"/>
    <numFmt numFmtId="178" formatCode="0.000%"/>
    <numFmt numFmtId="179" formatCode="_(* #,##0.000_);_(* \(#,##0.000\);_(* &quot;-&quot;??_);_(@_)"/>
    <numFmt numFmtId="180" formatCode="_-* #,##0.000_-;\-* #,##0.000_-;_-* &quot;-&quot;???_-;_-@"/>
  </numFmts>
  <fonts count="18">
    <font>
      <sz val="11.0"/>
      <color theme="1"/>
      <name val="Calibri"/>
      <scheme val="minor"/>
    </font>
    <font>
      <sz val="10.0"/>
      <color theme="1"/>
      <name val="Trebuchet MS"/>
    </font>
    <font>
      <sz val="10.0"/>
      <color theme="1"/>
      <name val="Calibri"/>
    </font>
    <font>
      <b/>
      <sz val="14.0"/>
      <color theme="1"/>
      <name val="Calibri"/>
    </font>
    <font>
      <sz val="11.0"/>
      <color theme="1"/>
      <name val="Calibri"/>
    </font>
    <font/>
    <font>
      <b/>
      <sz val="10.0"/>
      <color theme="1"/>
      <name val="Trebuchet MS"/>
    </font>
    <font>
      <b/>
      <sz val="12.0"/>
      <color theme="1"/>
      <name val="Trebuchet MS"/>
    </font>
    <font>
      <b/>
      <sz val="11.0"/>
      <color theme="1"/>
      <name val="Calibri"/>
    </font>
    <font>
      <sz val="10.0"/>
      <color rgb="FF3366FF"/>
      <name val="Trebuchet MS"/>
    </font>
    <font>
      <sz val="12.0"/>
      <color theme="1"/>
      <name val="Calibri"/>
    </font>
    <font>
      <sz val="10.0"/>
      <color rgb="FFFF0000"/>
      <name val="Trebuchet MS"/>
    </font>
    <font>
      <sz val="10.0"/>
      <color theme="0"/>
      <name val="Trebuchet MS"/>
    </font>
    <font>
      <i/>
      <sz val="10.0"/>
      <color rgb="FFFF0000"/>
      <name val="Trebuchet MS"/>
    </font>
    <font>
      <b/>
      <sz val="12.0"/>
      <color theme="1"/>
      <name val="Calibri"/>
    </font>
    <font>
      <b/>
      <sz val="10.0"/>
      <color theme="0"/>
      <name val="Trebuchet MS"/>
    </font>
    <font>
      <b/>
      <sz val="10.0"/>
      <color rgb="FF993366"/>
      <name val="Trebuchet MS"/>
    </font>
    <font>
      <sz val="10.0"/>
      <color rgb="FFFFFFFF"/>
      <name val="Trebuchet MS"/>
    </font>
  </fonts>
  <fills count="10">
    <fill>
      <patternFill patternType="none"/>
    </fill>
    <fill>
      <patternFill patternType="lightGray"/>
    </fill>
    <fill>
      <patternFill patternType="solid">
        <fgColor theme="0"/>
        <bgColor theme="0"/>
      </patternFill>
    </fill>
    <fill>
      <patternFill patternType="solid">
        <fgColor rgb="FFD8D8D8"/>
        <bgColor rgb="FFD8D8D8"/>
      </patternFill>
    </fill>
    <fill>
      <patternFill patternType="solid">
        <fgColor rgb="FFFFC000"/>
        <bgColor rgb="FFFFC000"/>
      </patternFill>
    </fill>
    <fill>
      <patternFill patternType="solid">
        <fgColor rgb="FFFFFF00"/>
        <bgColor rgb="FFFFFF00"/>
      </patternFill>
    </fill>
    <fill>
      <patternFill patternType="solid">
        <fgColor rgb="FFF2F2F2"/>
        <bgColor rgb="FFF2F2F2"/>
      </patternFill>
    </fill>
    <fill>
      <patternFill patternType="solid">
        <fgColor rgb="FF92D050"/>
        <bgColor rgb="FF92D050"/>
      </patternFill>
    </fill>
    <fill>
      <patternFill patternType="solid">
        <fgColor rgb="FFCCECFF"/>
        <bgColor rgb="FFCCECFF"/>
      </patternFill>
    </fill>
    <fill>
      <patternFill patternType="solid">
        <fgColor rgb="FFCCFFCC"/>
        <bgColor rgb="FFCCFFCC"/>
      </patternFill>
    </fill>
  </fills>
  <borders count="70">
    <border/>
    <border>
      <left/>
      <right/>
      <top/>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top/>
      <bottom/>
    </border>
    <border>
      <left style="medium">
        <color rgb="FF000000"/>
      </left>
      <right/>
      <top style="medium">
        <color rgb="FF000000"/>
      </top>
      <bottom/>
    </border>
    <border>
      <left/>
      <top/>
      <bottom/>
    </border>
    <border>
      <left/>
      <right/>
      <top style="medium">
        <color rgb="FF000000"/>
      </top>
      <bottom/>
    </border>
    <border>
      <top/>
      <bottom/>
    </border>
    <border>
      <left/>
      <right style="medium">
        <color rgb="FF000000"/>
      </right>
      <top style="medium">
        <color rgb="FF000000"/>
      </top>
      <bottom/>
    </border>
    <border>
      <right/>
      <top/>
      <bottom/>
    </border>
    <border>
      <left/>
      <right style="thin">
        <color rgb="FF000000"/>
      </right>
      <top style="thin">
        <color rgb="FF000000"/>
      </top>
      <bottom/>
    </border>
    <border>
      <left style="thin">
        <color rgb="FF000000"/>
      </left>
      <right/>
      <top style="thin">
        <color rgb="FF000000"/>
      </top>
      <bottom/>
    </border>
    <border>
      <left style="medium">
        <color rgb="FF000000"/>
      </left>
      <right/>
      <top/>
      <bottom/>
    </border>
    <border>
      <left/>
      <right/>
      <top style="thin">
        <color rgb="FF000000"/>
      </top>
      <bottom/>
    </border>
    <border>
      <left style="thin">
        <color rgb="FF000000"/>
      </left>
      <right style="thin">
        <color rgb="FF000000"/>
      </right>
      <top style="thin">
        <color rgb="FF000000"/>
      </top>
    </border>
    <border>
      <left style="dotted">
        <color rgb="FF000000"/>
      </left>
      <right style="dotted">
        <color rgb="FF000000"/>
      </right>
      <top style="dotted">
        <color rgb="FF000000"/>
      </top>
      <bottom style="dotted">
        <color rgb="FF000000"/>
      </bottom>
    </border>
    <border>
      <left style="thin">
        <color rgb="FF000000"/>
      </left>
      <right/>
      <top style="thin">
        <color rgb="FF000000"/>
      </top>
    </border>
    <border>
      <left/>
      <right style="medium">
        <color rgb="FF000000"/>
      </right>
      <top/>
      <bottom/>
    </border>
    <border>
      <left style="medium">
        <color rgb="FF000000"/>
      </left>
      <right style="dotted">
        <color rgb="FF000000"/>
      </right>
      <top style="dotted">
        <color rgb="FF000000"/>
      </top>
      <bottom style="dotted">
        <color rgb="FF000000"/>
      </bottom>
    </border>
    <border>
      <left style="dotted">
        <color rgb="FF000000"/>
      </left>
      <right/>
      <top style="dotted">
        <color rgb="FF000000"/>
      </top>
      <bottom style="dotted">
        <color rgb="FF000000"/>
      </bottom>
    </border>
    <border>
      <left/>
      <right style="medium">
        <color rgb="FFFF0000"/>
      </right>
      <top/>
      <bottom/>
    </border>
    <border>
      <left style="thin">
        <color rgb="FF000000"/>
      </left>
      <right style="thin">
        <color rgb="FF000000"/>
      </right>
    </border>
    <border>
      <left style="thin">
        <color rgb="FF000000"/>
      </left>
      <right/>
    </border>
    <border>
      <left style="medium">
        <color rgb="FF000000"/>
      </left>
      <right/>
      <top/>
      <bottom style="medium">
        <color rgb="FF000000"/>
      </bottom>
    </border>
    <border>
      <left/>
      <right/>
      <top/>
      <bottom style="medium">
        <color rgb="FF000000"/>
      </bottom>
    </border>
    <border>
      <left style="thin">
        <color rgb="FF000000"/>
      </left>
      <right style="thin">
        <color rgb="FF000000"/>
      </right>
      <bottom style="thin">
        <color rgb="FF000000"/>
      </bottom>
    </border>
    <border>
      <left/>
      <right style="medium">
        <color rgb="FF000000"/>
      </right>
      <top/>
      <bottom style="medium">
        <color rgb="FF000000"/>
      </bottom>
    </border>
    <border>
      <left style="thin">
        <color rgb="FF000000"/>
      </left>
      <right/>
      <bottom style="thin">
        <color rgb="FF000000"/>
      </bottom>
    </border>
    <border>
      <left style="thin">
        <color rgb="FF000000"/>
      </left>
      <right style="thin">
        <color rgb="FF000000"/>
      </right>
      <top style="thin">
        <color rgb="FF000000"/>
      </top>
      <bottom style="thin">
        <color rgb="FF000000"/>
      </bottom>
    </border>
    <border>
      <left style="medium">
        <color rgb="FF000000"/>
      </left>
      <top style="medium">
        <color rgb="FF000000"/>
      </top>
      <bottom/>
    </border>
    <border>
      <top style="medium">
        <color rgb="FF000000"/>
      </top>
      <bottom/>
    </border>
    <border>
      <right style="medium">
        <color rgb="FF000000"/>
      </right>
      <top style="medium">
        <color rgb="FF000000"/>
      </top>
      <bottom/>
    </border>
    <border>
      <left/>
      <right style="thin">
        <color rgb="FF000000"/>
      </right>
      <top/>
      <bottom/>
    </border>
    <border>
      <left style="medium">
        <color rgb="FF000000"/>
      </left>
      <top style="medium">
        <color rgb="FF000000"/>
      </top>
      <bottom style="medium">
        <color rgb="FF000000"/>
      </bottom>
    </border>
    <border>
      <right style="thin">
        <color rgb="FF000000"/>
      </right>
      <top style="medium">
        <color rgb="FF000000"/>
      </top>
      <bottom style="medium">
        <color rgb="FF000000"/>
      </bottom>
    </border>
    <border>
      <left style="thin">
        <color rgb="FF000000"/>
      </left>
      <top style="medium">
        <color rgb="FF000000"/>
      </top>
      <bottom style="medium">
        <color rgb="FF000000"/>
      </bottom>
    </border>
    <border>
      <left style="thin">
        <color rgb="FF000000"/>
      </left>
      <right/>
      <top style="thin">
        <color rgb="FF000000"/>
      </top>
      <bottom style="thin">
        <color rgb="FF000000"/>
      </bottom>
    </border>
    <border>
      <left/>
      <top style="medium">
        <color rgb="FF000000"/>
      </top>
      <bottom style="medium">
        <color rgb="FF000000"/>
      </bottom>
    </border>
    <border>
      <right style="medium">
        <color rgb="FF000000"/>
      </right>
      <top style="medium">
        <color rgb="FF000000"/>
      </top>
      <bottom style="medium">
        <color rgb="FF000000"/>
      </bottom>
    </border>
    <border>
      <left style="medium">
        <color rgb="FF000000"/>
      </left>
      <right style="thin">
        <color rgb="FF000000"/>
      </right>
      <top style="medium">
        <color rgb="FF000000"/>
      </top>
    </border>
    <border>
      <left style="thin">
        <color rgb="FF000000"/>
      </left>
      <right style="thin">
        <color rgb="FF000000"/>
      </right>
      <top style="medium">
        <color rgb="FF000000"/>
      </top>
    </border>
    <border>
      <left/>
      <right style="medium">
        <color rgb="FF000000"/>
      </right>
      <top style="medium">
        <color rgb="FF000000"/>
      </top>
    </border>
    <border>
      <left/>
      <top style="medium">
        <color rgb="FF000000"/>
      </top>
      <bottom/>
    </border>
    <border>
      <right/>
      <top style="medium">
        <color rgb="FF000000"/>
      </top>
      <bottom/>
    </border>
    <border>
      <left style="medium">
        <color rgb="FF000000"/>
      </left>
      <right style="thin">
        <color rgb="FF000000"/>
      </right>
    </border>
    <border>
      <left/>
      <right style="medium">
        <color rgb="FF000000"/>
      </right>
    </border>
    <border>
      <left/>
      <right/>
      <top/>
    </border>
    <border>
      <left style="medium">
        <color rgb="FF000000"/>
      </left>
    </border>
    <border>
      <left/>
      <right/>
      <bottom style="medium">
        <color rgb="FF000000"/>
      </bottom>
    </border>
    <border>
      <left/>
      <right style="thin">
        <color rgb="FF000000"/>
      </right>
      <top/>
      <bottom style="medium">
        <color rgb="FF000000"/>
      </bottom>
    </border>
    <border>
      <left style="thin">
        <color rgb="FF000000"/>
      </left>
      <right/>
      <top/>
      <bottom style="medium">
        <color rgb="FF000000"/>
      </bottom>
    </border>
    <border>
      <left style="medium">
        <color rgb="FF000000"/>
      </left>
      <right style="thin">
        <color rgb="FF000000"/>
      </right>
      <bottom style="medium">
        <color rgb="FF000000"/>
      </bottom>
    </border>
    <border>
      <left style="thin">
        <color rgb="FF000000"/>
      </left>
      <right style="thin">
        <color rgb="FF000000"/>
      </right>
      <bottom style="medium">
        <color rgb="FF000000"/>
      </bottom>
    </border>
    <border>
      <left/>
      <right style="medium">
        <color rgb="FF000000"/>
      </right>
      <bottom style="medium">
        <color rgb="FF000000"/>
      </bottom>
    </border>
    <border>
      <right style="medium">
        <color rgb="FF000000"/>
      </right>
    </border>
    <border>
      <left style="thin">
        <color rgb="FF000000"/>
      </left>
      <right/>
      <top/>
      <bottom style="thin">
        <color rgb="FF000000"/>
      </bottom>
    </border>
    <border>
      <left/>
      <right/>
      <top/>
      <bottom style="thin">
        <color rgb="FF000000"/>
      </bottom>
    </border>
    <border>
      <left/>
      <right style="thin">
        <color rgb="FF000000"/>
      </right>
      <top/>
      <bottom style="thin">
        <color rgb="FF000000"/>
      </bottom>
    </border>
    <border>
      <left/>
      <right/>
      <top/>
      <bottom style="medium">
        <color rgb="FFFF0000"/>
      </bottom>
    </border>
    <border>
      <left/>
      <right style="medium">
        <color rgb="FFFF0000"/>
      </right>
      <top/>
      <bottom style="medium">
        <color rgb="FFFF0000"/>
      </bottom>
    </border>
    <border>
      <left/>
      <top/>
    </border>
    <border>
      <top/>
    </border>
    <border>
      <right/>
      <top/>
    </border>
    <border>
      <left/>
      <bottom/>
    </border>
    <border>
      <bottom/>
    </border>
    <border>
      <right/>
      <bottom/>
    </border>
    <border>
      <left/>
      <right/>
      <bottom/>
    </border>
    <border>
      <left style="dotted">
        <color rgb="FF000000"/>
      </left>
      <right style="dotted">
        <color rgb="FF000000"/>
      </right>
      <top style="dotted">
        <color rgb="FF000000"/>
      </top>
      <bottom/>
    </border>
  </borders>
  <cellStyleXfs count="1">
    <xf borderId="0" fillId="0" fontId="0" numFmtId="0" applyAlignment="1" applyFont="1"/>
  </cellStyleXfs>
  <cellXfs count="243">
    <xf borderId="0" fillId="0" fontId="0" numFmtId="0" xfId="0" applyAlignment="1" applyFont="1">
      <alignment readingOrder="0" shrinkToFit="0" vertical="bottom" wrapText="0"/>
    </xf>
    <xf borderId="1" fillId="2" fontId="1" numFmtId="0" xfId="0" applyBorder="1" applyFill="1" applyFont="1"/>
    <xf borderId="1" fillId="2" fontId="2" numFmtId="0" xfId="0" applyBorder="1" applyFont="1"/>
    <xf borderId="2" fillId="3" fontId="3" numFmtId="0" xfId="0" applyAlignment="1" applyBorder="1" applyFill="1" applyFont="1">
      <alignment horizontal="center"/>
    </xf>
    <xf borderId="1" fillId="2" fontId="4" numFmtId="0" xfId="0" applyBorder="1" applyFont="1"/>
    <xf borderId="3" fillId="0" fontId="5" numFmtId="0" xfId="0" applyBorder="1" applyFont="1"/>
    <xf borderId="0" fillId="0" fontId="6" numFmtId="0" xfId="0" applyFont="1"/>
    <xf borderId="0" fillId="0" fontId="1" numFmtId="0" xfId="0" applyFont="1"/>
    <xf borderId="4" fillId="0" fontId="5" numFmtId="0" xfId="0" applyBorder="1" applyFont="1"/>
    <xf borderId="1" fillId="4" fontId="7" numFmtId="0" xfId="0" applyBorder="1" applyFill="1" applyFont="1"/>
    <xf borderId="0" fillId="0" fontId="6" numFmtId="164" xfId="0" applyFont="1" applyNumberFormat="1"/>
    <xf borderId="0" fillId="0" fontId="6" numFmtId="165" xfId="0" applyFont="1" applyNumberFormat="1"/>
    <xf borderId="5" fillId="2" fontId="3" numFmtId="0" xfId="0" applyBorder="1" applyFont="1"/>
    <xf borderId="2" fillId="3" fontId="8" numFmtId="0" xfId="0" applyAlignment="1" applyBorder="1" applyFont="1">
      <alignment horizontal="center" vertical="center"/>
    </xf>
    <xf borderId="1" fillId="2" fontId="3" numFmtId="0" xfId="0" applyBorder="1" applyFont="1"/>
    <xf borderId="6" fillId="2" fontId="1" numFmtId="0" xfId="0" applyBorder="1" applyFont="1"/>
    <xf borderId="7" fillId="2" fontId="3" numFmtId="0" xfId="0" applyAlignment="1" applyBorder="1" applyFont="1">
      <alignment horizontal="center"/>
    </xf>
    <xf borderId="1" fillId="2" fontId="2" numFmtId="0" xfId="0" applyAlignment="1" applyBorder="1" applyFont="1">
      <alignment vertical="center"/>
    </xf>
    <xf borderId="8" fillId="2" fontId="1" numFmtId="0" xfId="0" applyBorder="1" applyFont="1"/>
    <xf borderId="9" fillId="0" fontId="5" numFmtId="0" xfId="0" applyBorder="1" applyFont="1"/>
    <xf borderId="0" fillId="0" fontId="9" numFmtId="165" xfId="0" applyFont="1" applyNumberFormat="1"/>
    <xf borderId="10" fillId="2" fontId="1" numFmtId="0" xfId="0" applyBorder="1" applyFont="1"/>
    <xf borderId="11" fillId="0" fontId="5" numFmtId="0" xfId="0" applyBorder="1" applyFont="1"/>
    <xf borderId="12" fillId="2" fontId="3" numFmtId="0" xfId="0" applyAlignment="1" applyBorder="1" applyFont="1">
      <alignment horizontal="right"/>
    </xf>
    <xf borderId="13" fillId="2" fontId="10" numFmtId="0" xfId="0" applyAlignment="1" applyBorder="1" applyFont="1">
      <alignment vertical="center"/>
    </xf>
    <xf borderId="14" fillId="2" fontId="6" numFmtId="0" xfId="0" applyBorder="1" applyFont="1"/>
    <xf borderId="15" fillId="2" fontId="10" numFmtId="0" xfId="0" applyAlignment="1" applyBorder="1" applyFont="1">
      <alignment horizontal="center" vertical="center"/>
    </xf>
    <xf borderId="16" fillId="2" fontId="3" numFmtId="0" xfId="0" applyAlignment="1" applyBorder="1" applyFont="1">
      <alignment horizontal="center" vertical="center"/>
    </xf>
    <xf borderId="17" fillId="2" fontId="1" numFmtId="0" xfId="0" applyBorder="1" applyFont="1"/>
    <xf borderId="17" fillId="4" fontId="6" numFmtId="166" xfId="0" applyAlignment="1" applyBorder="1" applyFont="1" applyNumberFormat="1">
      <alignment horizontal="left"/>
    </xf>
    <xf borderId="18" fillId="2" fontId="3" numFmtId="0" xfId="0" applyAlignment="1" applyBorder="1" applyFont="1">
      <alignment horizontal="center" shrinkToFit="0" vertical="center" wrapText="1"/>
    </xf>
    <xf borderId="19" fillId="2" fontId="1" numFmtId="0" xfId="0" applyBorder="1" applyFont="1"/>
    <xf borderId="16" fillId="2" fontId="3" numFmtId="0" xfId="0" applyAlignment="1" applyBorder="1" applyFont="1">
      <alignment horizontal="center" shrinkToFit="0" vertical="center" wrapText="1"/>
    </xf>
    <xf borderId="15" fillId="2" fontId="10" numFmtId="0" xfId="0" applyAlignment="1" applyBorder="1" applyFont="1">
      <alignment horizontal="left" vertical="center"/>
    </xf>
    <xf borderId="20" fillId="2" fontId="1" numFmtId="0" xfId="0" applyBorder="1" applyFont="1"/>
    <xf borderId="15" fillId="2" fontId="10" numFmtId="0" xfId="0" applyAlignment="1" applyBorder="1" applyFont="1">
      <alignment vertical="center"/>
    </xf>
    <xf borderId="2" fillId="2" fontId="3" numFmtId="0" xfId="0" applyAlignment="1" applyBorder="1" applyFont="1">
      <alignment horizontal="center" vertical="center"/>
    </xf>
    <xf borderId="21" fillId="4" fontId="6" numFmtId="167" xfId="0" applyAlignment="1" applyBorder="1" applyFont="1" applyNumberFormat="1">
      <alignment horizontal="right"/>
    </xf>
    <xf borderId="22" fillId="2" fontId="1" numFmtId="0" xfId="0" applyBorder="1" applyFont="1"/>
    <xf borderId="23" fillId="0" fontId="5" numFmtId="0" xfId="0" applyBorder="1" applyFont="1"/>
    <xf borderId="24" fillId="0" fontId="5" numFmtId="0" xfId="0" applyBorder="1" applyFont="1"/>
    <xf borderId="12" fillId="2" fontId="10" numFmtId="168" xfId="0" applyAlignment="1" applyBorder="1" applyFont="1" applyNumberFormat="1">
      <alignment vertical="center"/>
    </xf>
    <xf borderId="14" fillId="2" fontId="1" numFmtId="0" xfId="0" applyBorder="1" applyFont="1"/>
    <xf borderId="1" fillId="2" fontId="10" numFmtId="168" xfId="0" applyAlignment="1" applyBorder="1" applyFont="1" applyNumberFormat="1">
      <alignment vertical="center"/>
    </xf>
    <xf borderId="14" fillId="2" fontId="6" numFmtId="0" xfId="0" applyAlignment="1" applyBorder="1" applyFont="1">
      <alignment horizontal="left"/>
    </xf>
    <xf borderId="1" fillId="2" fontId="11" numFmtId="0" xfId="0" applyBorder="1" applyFont="1"/>
    <xf borderId="5" fillId="2" fontId="10" numFmtId="0" xfId="0" applyAlignment="1" applyBorder="1" applyFont="1">
      <alignment vertical="center"/>
    </xf>
    <xf borderId="25" fillId="2" fontId="1" numFmtId="0" xfId="0" applyBorder="1" applyFont="1"/>
    <xf borderId="1" fillId="2" fontId="10" numFmtId="0" xfId="0" applyAlignment="1" applyBorder="1" applyFont="1">
      <alignment horizontal="center" vertical="center"/>
    </xf>
    <xf borderId="26" fillId="2" fontId="1" numFmtId="0" xfId="0" applyBorder="1" applyFont="1"/>
    <xf borderId="0" fillId="0" fontId="1" numFmtId="169" xfId="0" applyFont="1" applyNumberFormat="1"/>
    <xf borderId="27" fillId="0" fontId="5" numFmtId="0" xfId="0" applyBorder="1" applyFont="1"/>
    <xf borderId="28" fillId="2" fontId="1" numFmtId="0" xfId="0" applyBorder="1" applyFont="1"/>
    <xf borderId="29" fillId="0" fontId="5" numFmtId="0" xfId="0" applyBorder="1" applyFont="1"/>
    <xf borderId="30" fillId="2" fontId="3" numFmtId="0" xfId="0" applyAlignment="1" applyBorder="1" applyFont="1">
      <alignment horizontal="center" vertical="center"/>
    </xf>
    <xf borderId="1" fillId="2" fontId="10" numFmtId="15" xfId="0" applyAlignment="1" applyBorder="1" applyFont="1" applyNumberFormat="1">
      <alignment horizontal="left" vertical="center"/>
    </xf>
    <xf borderId="31" fillId="4" fontId="1" numFmtId="0" xfId="0" applyAlignment="1" applyBorder="1" applyFont="1">
      <alignment horizontal="center"/>
    </xf>
    <xf borderId="32" fillId="0" fontId="5" numFmtId="0" xfId="0" applyBorder="1" applyFont="1"/>
    <xf borderId="1" fillId="2" fontId="10" numFmtId="0" xfId="0" applyAlignment="1" applyBorder="1" applyFont="1">
      <alignment vertical="center"/>
    </xf>
    <xf borderId="33" fillId="0" fontId="5" numFmtId="0" xfId="0" applyBorder="1" applyFont="1"/>
    <xf borderId="34" fillId="2" fontId="10" numFmtId="170" xfId="0" applyAlignment="1" applyBorder="1" applyFont="1" applyNumberFormat="1">
      <alignment vertical="center"/>
    </xf>
    <xf borderId="6" fillId="2" fontId="6" numFmtId="0" xfId="0" applyBorder="1" applyFont="1"/>
    <xf borderId="1" fillId="2" fontId="10" numFmtId="170" xfId="0" applyAlignment="1" applyBorder="1" applyFont="1" applyNumberFormat="1">
      <alignment vertical="center"/>
    </xf>
    <xf borderId="30" fillId="2" fontId="10" numFmtId="0" xfId="0" applyAlignment="1" applyBorder="1" applyFont="1">
      <alignment horizontal="center" vertical="center"/>
    </xf>
    <xf borderId="0" fillId="0" fontId="1" numFmtId="164" xfId="0" applyFont="1" applyNumberFormat="1"/>
    <xf borderId="0" fillId="0" fontId="1" numFmtId="171" xfId="0" applyFont="1" applyNumberFormat="1"/>
    <xf borderId="0" fillId="0" fontId="1" numFmtId="165" xfId="0" applyFont="1" applyNumberFormat="1"/>
    <xf borderId="30" fillId="2" fontId="10" numFmtId="165" xfId="0" applyAlignment="1" applyBorder="1" applyFont="1" applyNumberFormat="1">
      <alignment horizontal="center" vertical="center"/>
    </xf>
    <xf borderId="17" fillId="4" fontId="6" numFmtId="0" xfId="0" applyAlignment="1" applyBorder="1" applyFont="1">
      <alignment horizontal="left"/>
    </xf>
    <xf borderId="35" fillId="4" fontId="6" numFmtId="0" xfId="0" applyAlignment="1" applyBorder="1" applyFont="1">
      <alignment horizontal="center"/>
    </xf>
    <xf borderId="36" fillId="0" fontId="5" numFmtId="0" xfId="0" applyBorder="1" applyFont="1"/>
    <xf borderId="1" fillId="2" fontId="10" numFmtId="0" xfId="0" applyAlignment="1" applyBorder="1" applyFont="1">
      <alignment horizontal="left" vertical="center"/>
    </xf>
    <xf borderId="37" fillId="4" fontId="6" numFmtId="0" xfId="0" applyAlignment="1" applyBorder="1" applyFont="1">
      <alignment horizontal="center"/>
    </xf>
    <xf borderId="38" fillId="2" fontId="10" numFmtId="172" xfId="0" applyAlignment="1" applyBorder="1" applyFont="1" applyNumberFormat="1">
      <alignment horizontal="center" vertical="center"/>
    </xf>
    <xf borderId="39" fillId="4" fontId="6" numFmtId="0" xfId="0" applyAlignment="1" applyBorder="1" applyFont="1">
      <alignment horizontal="center"/>
    </xf>
    <xf borderId="40" fillId="0" fontId="5" numFmtId="0" xfId="0" applyBorder="1" applyFont="1"/>
    <xf borderId="41" fillId="4" fontId="6" numFmtId="0" xfId="0" applyAlignment="1" applyBorder="1" applyFont="1">
      <alignment horizontal="center" vertical="center"/>
    </xf>
    <xf borderId="34" fillId="2" fontId="10" numFmtId="168" xfId="0" applyAlignment="1" applyBorder="1" applyFont="1" applyNumberFormat="1">
      <alignment vertical="center"/>
    </xf>
    <xf borderId="30" fillId="2" fontId="10" numFmtId="172" xfId="0" applyAlignment="1" applyBorder="1" applyFont="1" applyNumberFormat="1">
      <alignment horizontal="center" vertical="center"/>
    </xf>
    <xf borderId="42" fillId="4" fontId="6" numFmtId="0" xfId="0" applyAlignment="1" applyBorder="1" applyFont="1">
      <alignment horizontal="center" vertical="center"/>
    </xf>
    <xf borderId="1" fillId="2" fontId="10" numFmtId="0" xfId="0" applyBorder="1" applyFont="1"/>
    <xf borderId="43" fillId="4" fontId="6" numFmtId="0" xfId="0" applyAlignment="1" applyBorder="1" applyFont="1">
      <alignment horizontal="center" vertical="center"/>
    </xf>
    <xf borderId="17" fillId="2" fontId="6" numFmtId="1" xfId="0" applyAlignment="1" applyBorder="1" applyFont="1" applyNumberFormat="1">
      <alignment horizontal="left"/>
    </xf>
    <xf borderId="6" fillId="4" fontId="6" numFmtId="0" xfId="0" applyAlignment="1" applyBorder="1" applyFont="1">
      <alignment horizontal="center"/>
    </xf>
    <xf borderId="8" fillId="4" fontId="6" numFmtId="0" xfId="0" applyAlignment="1" applyBorder="1" applyFont="1">
      <alignment horizontal="center"/>
    </xf>
    <xf borderId="44" fillId="4" fontId="6" numFmtId="0" xfId="0" applyAlignment="1" applyBorder="1" applyFont="1">
      <alignment horizontal="center"/>
    </xf>
    <xf borderId="45" fillId="0" fontId="5" numFmtId="0" xfId="0" applyBorder="1" applyFont="1"/>
    <xf borderId="8" fillId="4" fontId="6" numFmtId="0" xfId="0" applyBorder="1" applyFont="1"/>
    <xf borderId="21" fillId="4" fontId="6" numFmtId="0" xfId="0" applyAlignment="1" applyBorder="1" applyFont="1">
      <alignment horizontal="left"/>
    </xf>
    <xf borderId="1" fillId="2" fontId="10" numFmtId="1" xfId="0" applyAlignment="1" applyBorder="1" applyFont="1" applyNumberFormat="1">
      <alignment horizontal="left" vertical="center"/>
    </xf>
    <xf borderId="10" fillId="4" fontId="6" numFmtId="0" xfId="0" applyAlignment="1" applyBorder="1" applyFont="1">
      <alignment horizontal="center"/>
    </xf>
    <xf borderId="14" fillId="4" fontId="6" numFmtId="0" xfId="0" applyAlignment="1" applyBorder="1" applyFont="1">
      <alignment horizontal="center"/>
    </xf>
    <xf borderId="34" fillId="2" fontId="10" numFmtId="168" xfId="0" applyAlignment="1" applyBorder="1" applyFont="1" applyNumberFormat="1">
      <alignment horizontal="center" vertical="center"/>
    </xf>
    <xf borderId="34" fillId="4" fontId="6" numFmtId="0" xfId="0" applyAlignment="1" applyBorder="1" applyFont="1">
      <alignment horizontal="center"/>
    </xf>
    <xf borderId="1" fillId="2" fontId="10" numFmtId="168" xfId="0" applyAlignment="1" applyBorder="1" applyFont="1" applyNumberFormat="1">
      <alignment horizontal="center" vertical="center"/>
    </xf>
    <xf borderId="5" fillId="4" fontId="6" numFmtId="0" xfId="0" applyAlignment="1" applyBorder="1" applyFont="1">
      <alignment horizontal="center"/>
    </xf>
    <xf borderId="1" fillId="4" fontId="6" numFmtId="0" xfId="0" applyAlignment="1" applyBorder="1" applyFont="1">
      <alignment horizontal="center"/>
    </xf>
    <xf borderId="19" fillId="4" fontId="6" numFmtId="0" xfId="0" applyAlignment="1" applyBorder="1" applyFont="1">
      <alignment horizontal="center"/>
    </xf>
    <xf borderId="46" fillId="0" fontId="5" numFmtId="0" xfId="0" applyBorder="1" applyFont="1"/>
    <xf borderId="47" fillId="0" fontId="5" numFmtId="0" xfId="0" applyBorder="1" applyFont="1"/>
    <xf borderId="48" fillId="4" fontId="6" numFmtId="0" xfId="0" applyAlignment="1" applyBorder="1" applyFont="1">
      <alignment horizontal="center" vertical="center"/>
    </xf>
    <xf borderId="6" fillId="2" fontId="6" numFmtId="0" xfId="0" applyAlignment="1" applyBorder="1" applyFont="1">
      <alignment horizontal="left"/>
    </xf>
    <xf borderId="7" fillId="4" fontId="6" numFmtId="0" xfId="0" applyAlignment="1" applyBorder="1" applyFont="1">
      <alignment horizontal="center"/>
    </xf>
    <xf borderId="10" fillId="2" fontId="1" numFmtId="173" xfId="0" applyBorder="1" applyFont="1" applyNumberFormat="1"/>
    <xf borderId="1" fillId="4" fontId="6" numFmtId="169" xfId="0" applyAlignment="1" applyBorder="1" applyFont="1" applyNumberFormat="1">
      <alignment horizontal="center"/>
    </xf>
    <xf borderId="17" fillId="0" fontId="6" numFmtId="0" xfId="0" applyBorder="1" applyFont="1"/>
    <xf borderId="49" fillId="0" fontId="6" numFmtId="0" xfId="0" applyAlignment="1" applyBorder="1" applyFont="1">
      <alignment horizontal="left"/>
    </xf>
    <xf borderId="25" fillId="4" fontId="1" numFmtId="0" xfId="0" applyBorder="1" applyFont="1"/>
    <xf borderId="26" fillId="4" fontId="1" numFmtId="0" xfId="0" applyBorder="1" applyFont="1"/>
    <xf borderId="21" fillId="4" fontId="6" numFmtId="9" xfId="0" applyAlignment="1" applyBorder="1" applyFont="1" applyNumberFormat="1">
      <alignment horizontal="right"/>
    </xf>
    <xf borderId="26" fillId="4" fontId="6" numFmtId="0" xfId="0" applyAlignment="1" applyBorder="1" applyFont="1">
      <alignment horizontal="center"/>
    </xf>
    <xf borderId="50" fillId="0" fontId="5" numFmtId="0" xfId="0" applyBorder="1" applyFont="1"/>
    <xf borderId="22" fillId="2" fontId="1" numFmtId="164" xfId="0" applyBorder="1" applyFont="1" applyNumberFormat="1"/>
    <xf borderId="26" fillId="4" fontId="1" numFmtId="169" xfId="0" applyBorder="1" applyFont="1" applyNumberFormat="1"/>
    <xf borderId="28" fillId="4" fontId="1" numFmtId="0" xfId="0" applyBorder="1" applyFont="1"/>
    <xf borderId="5" fillId="2" fontId="2" numFmtId="0" xfId="0" applyBorder="1" applyFont="1"/>
    <xf borderId="17" fillId="0" fontId="1" numFmtId="0" xfId="0" applyBorder="1" applyFont="1"/>
    <xf borderId="25" fillId="4" fontId="1" numFmtId="164" xfId="0" applyBorder="1" applyFont="1" applyNumberFormat="1"/>
    <xf borderId="34" fillId="2" fontId="2" numFmtId="0" xfId="0" applyBorder="1" applyFont="1"/>
    <xf borderId="51" fillId="4" fontId="1" numFmtId="0" xfId="0" applyBorder="1" applyFont="1"/>
    <xf borderId="52" fillId="4" fontId="1" numFmtId="0" xfId="0" applyBorder="1" applyFont="1"/>
    <xf borderId="53" fillId="0" fontId="5" numFmtId="0" xfId="0" applyBorder="1" applyFont="1"/>
    <xf borderId="54" fillId="0" fontId="5" numFmtId="0" xfId="0" applyBorder="1" applyFont="1"/>
    <xf borderId="55" fillId="0" fontId="5" numFmtId="0" xfId="0" applyBorder="1" applyFont="1"/>
    <xf borderId="17" fillId="0" fontId="6" numFmtId="1" xfId="0" applyAlignment="1" applyBorder="1" applyFont="1" applyNumberFormat="1">
      <alignment horizontal="left"/>
    </xf>
    <xf borderId="30" fillId="5" fontId="6" numFmtId="0" xfId="0" applyAlignment="1" applyBorder="1" applyFill="1" applyFont="1">
      <alignment horizontal="center"/>
    </xf>
    <xf borderId="0" fillId="0" fontId="12" numFmtId="0" xfId="0" applyAlignment="1" applyFont="1">
      <alignment horizontal="center"/>
    </xf>
    <xf borderId="56" fillId="0" fontId="13" numFmtId="0" xfId="0" applyBorder="1" applyFont="1"/>
    <xf borderId="1" fillId="2" fontId="12" numFmtId="0" xfId="0" applyBorder="1" applyFont="1"/>
    <xf borderId="0" fillId="0" fontId="1" numFmtId="0" xfId="0" applyAlignment="1" applyFont="1">
      <alignment horizontal="center"/>
    </xf>
    <xf borderId="17" fillId="2" fontId="6" numFmtId="0" xfId="0" applyBorder="1" applyFont="1"/>
    <xf borderId="57" fillId="2" fontId="10" numFmtId="0" xfId="0" applyAlignment="1" applyBorder="1" applyFont="1">
      <alignment vertical="center"/>
    </xf>
    <xf borderId="19" fillId="2" fontId="12" numFmtId="0" xfId="0" applyBorder="1" applyFont="1"/>
    <xf borderId="58" fillId="2" fontId="10" numFmtId="0" xfId="0" applyAlignment="1" applyBorder="1" applyFont="1">
      <alignment horizontal="center" vertical="center"/>
    </xf>
    <xf borderId="0" fillId="0" fontId="1" numFmtId="165" xfId="0" applyAlignment="1" applyFont="1" applyNumberFormat="1">
      <alignment horizontal="center"/>
    </xf>
    <xf borderId="58" fillId="2" fontId="10" numFmtId="174" xfId="0" applyAlignment="1" applyBorder="1" applyFont="1" applyNumberFormat="1">
      <alignment horizontal="left" vertical="center"/>
    </xf>
    <xf borderId="58" fillId="2" fontId="10" numFmtId="0" xfId="0" applyAlignment="1" applyBorder="1" applyFont="1">
      <alignment vertical="center"/>
    </xf>
    <xf borderId="59" fillId="2" fontId="10" numFmtId="170" xfId="0" applyAlignment="1" applyBorder="1" applyFont="1" applyNumberFormat="1">
      <alignment vertical="center"/>
    </xf>
    <xf borderId="0" fillId="0" fontId="6" numFmtId="9" xfId="0" applyFont="1" applyNumberFormat="1"/>
    <xf borderId="22" fillId="2" fontId="1" numFmtId="169" xfId="0" applyBorder="1" applyFont="1" applyNumberFormat="1"/>
    <xf borderId="7" fillId="2" fontId="10" numFmtId="0" xfId="0" applyAlignment="1" applyBorder="1" applyFont="1">
      <alignment horizontal="left" vertical="center"/>
    </xf>
    <xf borderId="25" fillId="2" fontId="6" numFmtId="0" xfId="0" applyAlignment="1" applyBorder="1" applyFont="1">
      <alignment horizontal="left"/>
    </xf>
    <xf borderId="26" fillId="2" fontId="11" numFmtId="0" xfId="0" applyBorder="1" applyFont="1"/>
    <xf borderId="1" fillId="2" fontId="14" numFmtId="0" xfId="0" applyAlignment="1" applyBorder="1" applyFont="1">
      <alignment vertical="center"/>
    </xf>
    <xf borderId="1" fillId="2" fontId="6" numFmtId="0" xfId="0" applyAlignment="1" applyBorder="1" applyFont="1">
      <alignment horizontal="left"/>
    </xf>
    <xf borderId="2" fillId="2" fontId="14" numFmtId="0" xfId="0" applyAlignment="1" applyBorder="1" applyFont="1">
      <alignment horizontal="center" vertical="center"/>
    </xf>
    <xf borderId="2" fillId="2" fontId="10" numFmtId="0" xfId="0" applyAlignment="1" applyBorder="1" applyFont="1">
      <alignment horizontal="left" vertical="center"/>
    </xf>
    <xf borderId="17" fillId="4" fontId="6" numFmtId="165" xfId="0" applyBorder="1" applyFont="1" applyNumberFormat="1"/>
    <xf borderId="19" fillId="2" fontId="11" numFmtId="0" xfId="0" applyBorder="1" applyFont="1"/>
    <xf borderId="2" fillId="2" fontId="10" numFmtId="9" xfId="0" applyAlignment="1" applyBorder="1" applyFont="1" applyNumberFormat="1">
      <alignment horizontal="center" vertical="center"/>
    </xf>
    <xf borderId="28" fillId="2" fontId="12" numFmtId="0" xfId="0" applyBorder="1" applyFont="1"/>
    <xf borderId="22" fillId="2" fontId="1" numFmtId="165" xfId="0" applyBorder="1" applyFont="1" applyNumberFormat="1"/>
    <xf borderId="10" fillId="2" fontId="12" numFmtId="0" xfId="0" applyBorder="1" applyFont="1"/>
    <xf borderId="17" fillId="0" fontId="6" numFmtId="165" xfId="0" applyBorder="1" applyFont="1" applyNumberFormat="1"/>
    <xf borderId="19" fillId="2" fontId="1" numFmtId="0" xfId="0" applyAlignment="1" applyBorder="1" applyFont="1">
      <alignment horizontal="right"/>
    </xf>
    <xf borderId="1" fillId="2" fontId="12" numFmtId="0" xfId="0" applyAlignment="1" applyBorder="1" applyFont="1">
      <alignment horizontal="right"/>
    </xf>
    <xf borderId="30" fillId="2" fontId="14" numFmtId="0" xfId="0" applyAlignment="1" applyBorder="1" applyFont="1">
      <alignment horizontal="center" vertical="center"/>
    </xf>
    <xf borderId="1" fillId="2" fontId="15" numFmtId="165" xfId="0" applyBorder="1" applyFont="1" applyNumberFormat="1"/>
    <xf borderId="1" fillId="2" fontId="16" numFmtId="0" xfId="0" applyAlignment="1" applyBorder="1" applyFont="1">
      <alignment horizontal="right"/>
    </xf>
    <xf borderId="30" fillId="2" fontId="6" numFmtId="0" xfId="0" applyAlignment="1" applyBorder="1" applyFont="1">
      <alignment horizontal="center"/>
    </xf>
    <xf borderId="2" fillId="2" fontId="10" numFmtId="0" xfId="0" applyAlignment="1" applyBorder="1" applyFont="1">
      <alignment horizontal="center" vertical="center"/>
    </xf>
    <xf borderId="1" fillId="2" fontId="6" numFmtId="0" xfId="0" applyAlignment="1" applyBorder="1" applyFont="1">
      <alignment horizontal="center"/>
    </xf>
    <xf borderId="1" fillId="2" fontId="1" numFmtId="165" xfId="0" applyBorder="1" applyFont="1" applyNumberFormat="1"/>
    <xf borderId="22" fillId="2" fontId="1" numFmtId="0" xfId="0" applyAlignment="1" applyBorder="1" applyFont="1">
      <alignment horizontal="left"/>
    </xf>
    <xf borderId="1" fillId="2" fontId="1" numFmtId="0" xfId="0" applyAlignment="1" applyBorder="1" applyFont="1">
      <alignment horizontal="right"/>
    </xf>
    <xf borderId="30" fillId="4" fontId="6" numFmtId="165" xfId="0" applyBorder="1" applyFont="1" applyNumberFormat="1"/>
    <xf borderId="30" fillId="0" fontId="1" numFmtId="1" xfId="0" applyAlignment="1" applyBorder="1" applyFont="1" applyNumberFormat="1">
      <alignment horizontal="center"/>
    </xf>
    <xf borderId="30" fillId="2" fontId="10" numFmtId="173" xfId="0" applyAlignment="1" applyBorder="1" applyFont="1" applyNumberFormat="1">
      <alignment horizontal="right" vertical="center"/>
    </xf>
    <xf borderId="1" fillId="6" fontId="6" numFmtId="165" xfId="0" applyBorder="1" applyFill="1" applyFont="1" applyNumberFormat="1"/>
    <xf borderId="2" fillId="2" fontId="10" numFmtId="173" xfId="0" applyAlignment="1" applyBorder="1" applyFont="1" applyNumberFormat="1">
      <alignment horizontal="right" vertical="center"/>
    </xf>
    <xf borderId="30" fillId="2" fontId="10" numFmtId="9" xfId="0" applyAlignment="1" applyBorder="1" applyFont="1" applyNumberFormat="1">
      <alignment horizontal="center" vertical="center"/>
    </xf>
    <xf borderId="60" fillId="2" fontId="1" numFmtId="0" xfId="0" applyBorder="1" applyFont="1"/>
    <xf borderId="61" fillId="2" fontId="1" numFmtId="0" xfId="0" applyBorder="1" applyFont="1"/>
    <xf borderId="62" fillId="2" fontId="10" numFmtId="0" xfId="0" applyAlignment="1" applyBorder="1" applyFont="1">
      <alignment horizontal="left" shrinkToFit="0" vertical="center" wrapText="1"/>
    </xf>
    <xf borderId="63" fillId="0" fontId="5" numFmtId="0" xfId="0" applyBorder="1" applyFont="1"/>
    <xf borderId="64" fillId="0" fontId="5" numFmtId="0" xfId="0" applyBorder="1" applyFont="1"/>
    <xf borderId="65" fillId="0" fontId="5" numFmtId="0" xfId="0" applyBorder="1" applyFont="1"/>
    <xf borderId="66" fillId="0" fontId="5" numFmtId="0" xfId="0" applyBorder="1" applyFont="1"/>
    <xf borderId="67" fillId="0" fontId="5" numFmtId="0" xfId="0" applyBorder="1" applyFont="1"/>
    <xf borderId="1" fillId="2" fontId="10" numFmtId="0" xfId="0" applyAlignment="1" applyBorder="1" applyFont="1">
      <alignment horizontal="left" shrinkToFit="0" vertical="center" wrapText="1"/>
    </xf>
    <xf borderId="1" fillId="2" fontId="14" numFmtId="0" xfId="0" applyAlignment="1" applyBorder="1" applyFont="1">
      <alignment horizontal="left" shrinkToFit="0" vertical="center" wrapText="1"/>
    </xf>
    <xf borderId="2" fillId="2" fontId="14" numFmtId="0" xfId="0" applyAlignment="1" applyBorder="1" applyFont="1">
      <alignment horizontal="center" shrinkToFit="0" vertical="center" wrapText="1"/>
    </xf>
    <xf borderId="30" fillId="2" fontId="14" numFmtId="0" xfId="0" applyAlignment="1" applyBorder="1" applyFont="1">
      <alignment horizontal="center" shrinkToFit="0" vertical="center" wrapText="1"/>
    </xf>
    <xf borderId="2" fillId="2" fontId="10" numFmtId="0" xfId="0" applyAlignment="1" applyBorder="1" applyFont="1">
      <alignment horizontal="center" shrinkToFit="0" vertical="center" wrapText="1"/>
    </xf>
    <xf borderId="30" fillId="2" fontId="10" numFmtId="0" xfId="0" applyAlignment="1" applyBorder="1" applyFont="1">
      <alignment horizontal="center" shrinkToFit="0" vertical="center" wrapText="1"/>
    </xf>
    <xf borderId="2" fillId="2" fontId="10" numFmtId="173" xfId="0" applyAlignment="1" applyBorder="1" applyFont="1" applyNumberFormat="1">
      <alignment horizontal="center" shrinkToFit="0" vertical="center" wrapText="1"/>
    </xf>
    <xf borderId="30" fillId="2" fontId="10" numFmtId="173" xfId="0" applyAlignment="1" applyBorder="1" applyFont="1" applyNumberFormat="1">
      <alignment shrinkToFit="0" vertical="center" wrapText="1"/>
    </xf>
    <xf borderId="1" fillId="2" fontId="10" numFmtId="0" xfId="0" applyAlignment="1" applyBorder="1" applyFont="1">
      <alignment shrinkToFit="0" vertical="center" wrapText="1"/>
    </xf>
    <xf borderId="1" fillId="2" fontId="4" numFmtId="0" xfId="0" applyAlignment="1" applyBorder="1" applyFont="1">
      <alignment horizontal="center"/>
    </xf>
    <xf borderId="7" fillId="2" fontId="4" numFmtId="0" xfId="0" applyAlignment="1" applyBorder="1" applyFont="1">
      <alignment horizontal="left"/>
    </xf>
    <xf borderId="62" fillId="2" fontId="4" numFmtId="0" xfId="0" applyAlignment="1" applyBorder="1" applyFont="1">
      <alignment horizontal="left" shrinkToFit="0" vertical="top" wrapText="1"/>
    </xf>
    <xf borderId="7" fillId="7" fontId="1" numFmtId="0" xfId="0" applyAlignment="1" applyBorder="1" applyFill="1" applyFont="1">
      <alignment horizontal="center"/>
    </xf>
    <xf borderId="7" fillId="4" fontId="1" numFmtId="0" xfId="0" applyAlignment="1" applyBorder="1" applyFont="1">
      <alignment horizontal="center"/>
    </xf>
    <xf borderId="7" fillId="8" fontId="1" numFmtId="0" xfId="0" applyAlignment="1" applyBorder="1" applyFill="1" applyFont="1">
      <alignment horizontal="center"/>
    </xf>
    <xf borderId="0" fillId="0" fontId="1" numFmtId="175" xfId="0" applyFont="1" applyNumberFormat="1"/>
    <xf borderId="7" fillId="7" fontId="6" numFmtId="0" xfId="0" applyAlignment="1" applyBorder="1" applyFont="1">
      <alignment horizontal="center"/>
    </xf>
    <xf borderId="7" fillId="8" fontId="6" numFmtId="0" xfId="0" applyAlignment="1" applyBorder="1" applyFont="1">
      <alignment horizontal="center"/>
    </xf>
    <xf borderId="1" fillId="4" fontId="6" numFmtId="0" xfId="0" applyBorder="1" applyFont="1"/>
    <xf borderId="7" fillId="4" fontId="6" numFmtId="0" xfId="0" applyAlignment="1" applyBorder="1" applyFont="1">
      <alignment horizontal="center" vertical="center"/>
    </xf>
    <xf borderId="1" fillId="4" fontId="6" numFmtId="0" xfId="0" applyAlignment="1" applyBorder="1" applyFont="1">
      <alignment horizontal="center" vertical="center"/>
    </xf>
    <xf borderId="1" fillId="7" fontId="6" numFmtId="0" xfId="0" applyAlignment="1" applyBorder="1" applyFont="1">
      <alignment horizontal="center"/>
    </xf>
    <xf borderId="1" fillId="8" fontId="6" numFmtId="0" xfId="0" applyAlignment="1" applyBorder="1" applyFont="1">
      <alignment horizontal="center"/>
    </xf>
    <xf borderId="48" fillId="4" fontId="6" numFmtId="0" xfId="0" applyAlignment="1" applyBorder="1" applyFont="1">
      <alignment vertical="top"/>
    </xf>
    <xf borderId="1" fillId="4" fontId="1" numFmtId="0" xfId="0" applyBorder="1" applyFont="1"/>
    <xf borderId="68" fillId="0" fontId="5" numFmtId="0" xfId="0" applyBorder="1" applyFont="1"/>
    <xf borderId="1" fillId="4" fontId="1" numFmtId="169" xfId="0" applyBorder="1" applyFont="1" applyNumberFormat="1"/>
    <xf borderId="1" fillId="4" fontId="1" numFmtId="169" xfId="0" applyAlignment="1" applyBorder="1" applyFont="1" applyNumberFormat="1">
      <alignment horizontal="center"/>
    </xf>
    <xf borderId="0" fillId="0" fontId="11" numFmtId="165" xfId="0" applyAlignment="1" applyFont="1" applyNumberFormat="1">
      <alignment horizontal="center"/>
    </xf>
    <xf borderId="0" fillId="0" fontId="1" numFmtId="10" xfId="0" applyAlignment="1" applyFont="1" applyNumberFormat="1">
      <alignment horizontal="center"/>
    </xf>
    <xf borderId="0" fillId="0" fontId="17" numFmtId="0" xfId="0" applyAlignment="1" applyFont="1">
      <alignment horizontal="center" readingOrder="0" shrinkToFit="0" vertical="center" wrapText="0"/>
    </xf>
    <xf borderId="23" fillId="0" fontId="17" numFmtId="0" xfId="0" applyAlignment="1" applyBorder="1" applyFont="1">
      <alignment horizontal="center" readingOrder="0" shrinkToFit="0" vertical="center" wrapText="0"/>
    </xf>
    <xf borderId="0" fillId="0" fontId="1" numFmtId="0" xfId="0" applyAlignment="1" applyFont="1">
      <alignment horizontal="center" shrinkToFit="0" vertical="center" wrapText="0"/>
    </xf>
    <xf borderId="0" fillId="0" fontId="1" numFmtId="176" xfId="0" applyAlignment="1" applyFont="1" applyNumberFormat="1">
      <alignment shrinkToFit="0" vertical="center" wrapText="0"/>
    </xf>
    <xf borderId="0" fillId="0" fontId="1" numFmtId="177" xfId="0" applyAlignment="1" applyFont="1" applyNumberFormat="1">
      <alignment shrinkToFit="0" vertical="center" wrapText="0"/>
    </xf>
    <xf borderId="0" fillId="0" fontId="1" numFmtId="176" xfId="0" applyAlignment="1" applyFont="1" applyNumberFormat="1">
      <alignment horizontal="center" shrinkToFit="0" vertical="center" wrapText="0"/>
    </xf>
    <xf borderId="0" fillId="0" fontId="16" numFmtId="0" xfId="0" applyAlignment="1" applyFont="1">
      <alignment horizontal="center"/>
    </xf>
    <xf borderId="0" fillId="0" fontId="16" numFmtId="0" xfId="0" applyFont="1"/>
    <xf borderId="0" fillId="0" fontId="1" numFmtId="0" xfId="0" applyAlignment="1" applyFont="1">
      <alignment horizontal="right"/>
    </xf>
    <xf borderId="17" fillId="9" fontId="6" numFmtId="165" xfId="0" applyAlignment="1" applyBorder="1" applyFill="1" applyFont="1" applyNumberFormat="1">
      <alignment horizontal="right"/>
    </xf>
    <xf borderId="1" fillId="5" fontId="6" numFmtId="0" xfId="0" applyAlignment="1" applyBorder="1" applyFont="1">
      <alignment horizontal="right"/>
    </xf>
    <xf borderId="0" fillId="0" fontId="6" numFmtId="0" xfId="0" applyAlignment="1" applyFont="1">
      <alignment horizontal="right"/>
    </xf>
    <xf borderId="30" fillId="0" fontId="2" numFmtId="0" xfId="0" applyAlignment="1" applyBorder="1" applyFont="1">
      <alignment horizontal="center"/>
    </xf>
    <xf borderId="17" fillId="9" fontId="1" numFmtId="9" xfId="0" applyAlignment="1" applyBorder="1" applyFont="1" applyNumberFormat="1">
      <alignment horizontal="right"/>
    </xf>
    <xf borderId="0" fillId="0" fontId="6" numFmtId="9" xfId="0" applyAlignment="1" applyFont="1" applyNumberFormat="1">
      <alignment horizontal="right"/>
    </xf>
    <xf borderId="30" fillId="0" fontId="2" numFmtId="9" xfId="0" applyAlignment="1" applyBorder="1" applyFont="1" applyNumberFormat="1">
      <alignment horizontal="center"/>
    </xf>
    <xf borderId="0" fillId="0" fontId="1" numFmtId="9" xfId="0" applyFont="1" applyNumberFormat="1"/>
    <xf borderId="17" fillId="9" fontId="1" numFmtId="165" xfId="0" applyAlignment="1" applyBorder="1" applyFont="1" applyNumberFormat="1">
      <alignment horizontal="right"/>
    </xf>
    <xf borderId="30" fillId="0" fontId="2" numFmtId="1" xfId="0" applyAlignment="1" applyBorder="1" applyFont="1" applyNumberFormat="1">
      <alignment horizontal="center"/>
    </xf>
    <xf borderId="0" fillId="0" fontId="1" numFmtId="176" xfId="0" applyFont="1" applyNumberFormat="1"/>
    <xf borderId="69" fillId="9" fontId="1" numFmtId="167" xfId="0" applyAlignment="1" applyBorder="1" applyFont="1" applyNumberFormat="1">
      <alignment horizontal="right"/>
    </xf>
    <xf borderId="0" fillId="0" fontId="16" numFmtId="0" xfId="0" applyAlignment="1" applyFont="1">
      <alignment horizontal="left"/>
    </xf>
    <xf borderId="0" fillId="0" fontId="1" numFmtId="10" xfId="0" applyAlignment="1" applyFont="1" applyNumberFormat="1">
      <alignment horizontal="right"/>
    </xf>
    <xf borderId="0" fillId="0" fontId="1" numFmtId="173" xfId="0" applyFont="1" applyNumberFormat="1"/>
    <xf borderId="0" fillId="0" fontId="1" numFmtId="0" xfId="0" applyAlignment="1" applyFont="1">
      <alignment horizontal="left"/>
    </xf>
    <xf borderId="0" fillId="0" fontId="1" numFmtId="164" xfId="0" applyAlignment="1" applyFont="1" applyNumberFormat="1">
      <alignment horizontal="right"/>
    </xf>
    <xf borderId="0" fillId="0" fontId="6" numFmtId="0" xfId="0" applyAlignment="1" applyFont="1">
      <alignment horizontal="left"/>
    </xf>
    <xf borderId="17" fillId="9" fontId="1" numFmtId="10" xfId="0" applyAlignment="1" applyBorder="1" applyFont="1" applyNumberFormat="1">
      <alignment horizontal="center"/>
    </xf>
    <xf borderId="17" fillId="0" fontId="1" numFmtId="10" xfId="0" applyAlignment="1" applyBorder="1" applyFont="1" applyNumberFormat="1">
      <alignment horizontal="center"/>
    </xf>
    <xf borderId="0" fillId="0" fontId="17" numFmtId="0" xfId="0" applyFont="1"/>
    <xf borderId="0" fillId="0" fontId="1" numFmtId="178" xfId="0" applyFont="1" applyNumberFormat="1"/>
    <xf borderId="0" fillId="0" fontId="1" numFmtId="179" xfId="0" applyFont="1" applyNumberFormat="1"/>
    <xf borderId="0" fillId="0" fontId="1" numFmtId="180" xfId="0" applyFont="1" applyNumberFormat="1"/>
    <xf borderId="0" fillId="0" fontId="1" numFmtId="2" xfId="0" applyFont="1" applyNumberFormat="1"/>
  </cellXfs>
  <cellStyles count="1">
    <cellStyle xfId="0" name="Normal" builtinId="0"/>
  </cellStyles>
  <dxfs count="6">
    <dxf>
      <font/>
      <fill>
        <patternFill patternType="none"/>
      </fill>
      <border/>
    </dxf>
    <dxf>
      <font/>
      <fill>
        <patternFill patternType="solid">
          <fgColor theme="4"/>
          <bgColor theme="4"/>
        </patternFill>
      </fill>
      <border/>
    </dxf>
    <dxf>
      <font/>
      <fill>
        <patternFill patternType="solid">
          <fgColor rgb="FFD8D8D8"/>
          <bgColor rgb="FFD8D8D8"/>
        </patternFill>
      </fill>
      <border/>
    </dxf>
    <dxf>
      <font/>
      <fill>
        <patternFill patternType="solid">
          <fgColor theme="0"/>
          <bgColor theme="0"/>
        </patternFill>
      </fill>
      <border/>
    </dxf>
    <dxf>
      <border>
        <left style="thin">
          <color theme="4"/>
        </left>
        <right style="thin">
          <color theme="4"/>
        </right>
        <top style="thin">
          <color theme="4"/>
        </top>
        <bottom style="thin">
          <color theme="4"/>
        </bottom>
      </border>
    </dxf>
    <dxf>
      <font>
        <color rgb="FF9C0006"/>
      </font>
      <fill>
        <patternFill patternType="solid">
          <fgColor rgb="FFFFC7CE"/>
          <bgColor rgb="FFFFC7CE"/>
        </patternFill>
      </fill>
      <border/>
    </dxf>
  </dxfs>
  <tableStyles count="1">
    <tableStyle count="4" pivot="0" name="Assumption-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11" Type="http://customschemas.google.com/relationships/workbookmetadata" Target="metadata"/><Relationship Id="rId10" Type="http://schemas.openxmlformats.org/officeDocument/2006/relationships/worksheet" Target="worksheets/sheet6.xml"/><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B2:E101" displayName="COI_Tab" name="COI_Tab" id="1">
  <tableColumns count="4">
    <tableColumn name="Age" id="1"/>
    <tableColumn name="COI Male" id="2"/>
    <tableColumn name="COI Female" id="3"/>
    <tableColumn name="COI ADB" id="4"/>
  </tableColumns>
  <tableStyleInfo name="Assumption-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 Id="rId3"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fitToPage="1"/>
  </sheetPr>
  <sheetViews>
    <sheetView workbookViewId="0"/>
  </sheetViews>
  <sheetFormatPr customHeight="1" defaultColWidth="14.43" defaultRowHeight="15.0"/>
  <cols>
    <col customWidth="1" min="1" max="1" width="1.57"/>
    <col customWidth="1" min="2" max="2" width="23.71"/>
    <col customWidth="1" min="3" max="3" width="22.0"/>
    <col customWidth="1" min="4" max="4" width="25.71"/>
    <col customWidth="1" min="5" max="5" width="14.29"/>
    <col customWidth="1" min="6" max="6" width="3.57"/>
    <col customWidth="1" min="7" max="7" width="47.57"/>
    <col customWidth="1" min="8" max="8" width="26.57"/>
    <col customWidth="1" min="9" max="9" width="17.43"/>
    <col customWidth="1" min="10" max="10" width="5.14"/>
    <col customWidth="1" min="11" max="26" width="9.14"/>
  </cols>
  <sheetData>
    <row r="1" ht="6.75" customHeight="1">
      <c r="A1" s="1"/>
      <c r="B1" s="1"/>
      <c r="C1" s="1"/>
      <c r="D1" s="1"/>
      <c r="E1" s="1"/>
      <c r="F1" s="1"/>
      <c r="G1" s="1"/>
      <c r="H1" s="1"/>
      <c r="I1" s="1"/>
      <c r="J1" s="1"/>
      <c r="K1" s="1"/>
      <c r="L1" s="1"/>
      <c r="M1" s="1"/>
      <c r="N1" s="1"/>
      <c r="O1" s="1"/>
      <c r="P1" s="1"/>
      <c r="Q1" s="1"/>
      <c r="R1" s="1"/>
      <c r="S1" s="1"/>
      <c r="T1" s="1"/>
      <c r="U1" s="1"/>
      <c r="V1" s="1"/>
      <c r="W1" s="1"/>
      <c r="X1" s="1"/>
      <c r="Y1" s="1"/>
      <c r="Z1" s="1"/>
    </row>
    <row r="2" ht="13.5" customHeight="1">
      <c r="A2" s="1"/>
      <c r="B2" s="9" t="s">
        <v>2</v>
      </c>
      <c r="C2" s="1"/>
      <c r="D2" s="1"/>
      <c r="E2" s="1"/>
      <c r="F2" s="1"/>
      <c r="G2" s="1"/>
      <c r="H2" s="1"/>
      <c r="I2" s="1"/>
      <c r="J2" s="1"/>
      <c r="K2" s="1"/>
      <c r="L2" s="1"/>
      <c r="M2" s="1"/>
      <c r="N2" s="1"/>
      <c r="O2" s="1"/>
      <c r="P2" s="1"/>
      <c r="Q2" s="1"/>
      <c r="R2" s="1"/>
      <c r="S2" s="1"/>
      <c r="T2" s="1"/>
      <c r="U2" s="1"/>
      <c r="V2" s="1"/>
      <c r="W2" s="1"/>
      <c r="X2" s="1"/>
      <c r="Y2" s="1"/>
      <c r="Z2" s="1"/>
    </row>
    <row r="3" ht="13.5" customHeight="1">
      <c r="A3" s="1"/>
      <c r="B3" s="1"/>
      <c r="C3" s="1"/>
      <c r="D3" s="1"/>
      <c r="E3" s="1"/>
      <c r="F3" s="1"/>
      <c r="G3" s="1"/>
      <c r="H3" s="1"/>
      <c r="I3" s="1"/>
      <c r="J3" s="1"/>
      <c r="K3" s="1"/>
      <c r="L3" s="1"/>
      <c r="M3" s="1"/>
      <c r="N3" s="1"/>
      <c r="O3" s="1"/>
      <c r="P3" s="1"/>
      <c r="Q3" s="1"/>
      <c r="R3" s="1"/>
      <c r="S3" s="1"/>
      <c r="T3" s="1"/>
      <c r="U3" s="1"/>
      <c r="V3" s="1"/>
      <c r="W3" s="1"/>
      <c r="X3" s="1"/>
      <c r="Y3" s="1"/>
      <c r="Z3" s="1"/>
    </row>
    <row r="4" ht="13.5" customHeight="1">
      <c r="A4" s="1"/>
      <c r="B4" s="15"/>
      <c r="C4" s="18"/>
      <c r="D4" s="18"/>
      <c r="E4" s="21"/>
      <c r="F4" s="1"/>
      <c r="G4" s="15"/>
      <c r="H4" s="18"/>
      <c r="I4" s="21"/>
      <c r="J4" s="1"/>
      <c r="K4" s="1"/>
      <c r="L4" s="1"/>
      <c r="M4" s="1"/>
      <c r="N4" s="1"/>
      <c r="O4" s="1"/>
      <c r="P4" s="1"/>
      <c r="Q4" s="1"/>
      <c r="R4" s="1"/>
      <c r="S4" s="1"/>
      <c r="T4" s="1"/>
      <c r="U4" s="1"/>
      <c r="V4" s="1"/>
      <c r="W4" s="1"/>
      <c r="X4" s="1"/>
      <c r="Y4" s="1"/>
      <c r="Z4" s="1"/>
    </row>
    <row r="5" ht="13.5" customHeight="1">
      <c r="A5" s="1"/>
      <c r="B5" s="25" t="s">
        <v>7</v>
      </c>
      <c r="C5" s="28" t="s">
        <v>10</v>
      </c>
      <c r="D5" s="29">
        <v>45793.0</v>
      </c>
      <c r="E5" s="31"/>
      <c r="F5" s="1"/>
      <c r="G5" s="34" t="s">
        <v>14</v>
      </c>
      <c r="H5" s="37">
        <v>0.0</v>
      </c>
      <c r="I5" s="31"/>
      <c r="J5" s="38"/>
      <c r="K5" s="1"/>
      <c r="L5" s="1"/>
      <c r="M5" s="1"/>
      <c r="N5" s="1"/>
      <c r="O5" s="1"/>
      <c r="P5" s="1"/>
      <c r="Q5" s="1"/>
      <c r="R5" s="1"/>
      <c r="S5" s="1"/>
      <c r="T5" s="1"/>
      <c r="U5" s="1"/>
      <c r="V5" s="1"/>
      <c r="W5" s="1"/>
      <c r="X5" s="1"/>
      <c r="Y5" s="1"/>
      <c r="Z5" s="1"/>
    </row>
    <row r="6" ht="13.5" customHeight="1">
      <c r="A6" s="1"/>
      <c r="B6" s="42"/>
      <c r="C6" s="1"/>
      <c r="D6" s="1"/>
      <c r="E6" s="31"/>
      <c r="F6" s="1"/>
      <c r="G6" s="44"/>
      <c r="H6" s="45"/>
      <c r="I6" s="31"/>
      <c r="J6" s="38"/>
      <c r="K6" s="1"/>
      <c r="L6" s="1"/>
      <c r="M6" s="1"/>
      <c r="N6" s="1"/>
      <c r="O6" s="1"/>
      <c r="P6" s="1"/>
      <c r="Q6" s="1"/>
      <c r="R6" s="1"/>
      <c r="S6" s="1"/>
      <c r="T6" s="1"/>
      <c r="U6" s="1"/>
      <c r="V6" s="1"/>
      <c r="W6" s="1"/>
      <c r="X6" s="1"/>
      <c r="Y6" s="1"/>
      <c r="Z6" s="1"/>
    </row>
    <row r="7" ht="13.5" customHeight="1">
      <c r="A7" s="1"/>
      <c r="B7" s="47"/>
      <c r="C7" s="49"/>
      <c r="D7" s="49"/>
      <c r="E7" s="52"/>
      <c r="F7" s="1"/>
      <c r="G7" s="47"/>
      <c r="H7" s="49"/>
      <c r="I7" s="52"/>
      <c r="J7" s="38"/>
      <c r="K7" s="1"/>
      <c r="L7" s="1"/>
      <c r="M7" s="1"/>
      <c r="N7" s="1"/>
      <c r="O7" s="1"/>
      <c r="P7" s="1"/>
      <c r="Q7" s="1"/>
      <c r="R7" s="1"/>
      <c r="S7" s="1"/>
      <c r="T7" s="1"/>
      <c r="U7" s="1"/>
      <c r="V7" s="1"/>
      <c r="W7" s="1"/>
      <c r="X7" s="1"/>
      <c r="Y7" s="1"/>
      <c r="Z7" s="1"/>
    </row>
    <row r="8" ht="13.5" customHeight="1">
      <c r="A8" s="1"/>
      <c r="B8" s="1"/>
      <c r="C8" s="1"/>
      <c r="D8" s="1"/>
      <c r="E8" s="1"/>
      <c r="F8" s="1"/>
      <c r="G8" s="1"/>
      <c r="H8" s="1"/>
      <c r="I8" s="1"/>
      <c r="J8" s="38"/>
      <c r="K8" s="1"/>
      <c r="L8" s="1"/>
      <c r="M8" s="1"/>
      <c r="N8" s="1"/>
      <c r="O8" s="1"/>
      <c r="P8" s="1"/>
      <c r="Q8" s="1"/>
      <c r="R8" s="1"/>
      <c r="S8" s="1"/>
      <c r="T8" s="1"/>
      <c r="U8" s="1"/>
      <c r="V8" s="1"/>
      <c r="W8" s="1"/>
      <c r="X8" s="1"/>
      <c r="Y8" s="1"/>
      <c r="Z8" s="1"/>
    </row>
    <row r="9" ht="13.5" customHeight="1">
      <c r="A9" s="1"/>
      <c r="B9" s="61"/>
      <c r="C9" s="18"/>
      <c r="D9" s="18"/>
      <c r="E9" s="21"/>
      <c r="F9" s="1"/>
      <c r="G9" s="61" t="s">
        <v>27</v>
      </c>
      <c r="H9" s="18"/>
      <c r="I9" s="21"/>
      <c r="J9" s="38"/>
      <c r="K9" s="1"/>
      <c r="L9" s="1"/>
      <c r="M9" s="1"/>
      <c r="N9" s="1"/>
      <c r="O9" s="1"/>
      <c r="P9" s="1"/>
      <c r="Q9" s="1"/>
      <c r="R9" s="1"/>
      <c r="S9" s="1"/>
      <c r="T9" s="1"/>
      <c r="U9" s="1"/>
      <c r="V9" s="1"/>
      <c r="W9" s="1"/>
      <c r="X9" s="1"/>
      <c r="Y9" s="1"/>
      <c r="Z9" s="1"/>
    </row>
    <row r="10" ht="13.5" customHeight="1">
      <c r="A10" s="1"/>
      <c r="B10" s="25" t="s">
        <v>29</v>
      </c>
      <c r="C10" s="28" t="s">
        <v>30</v>
      </c>
      <c r="D10" s="68" t="s">
        <v>31</v>
      </c>
      <c r="E10" s="31"/>
      <c r="F10" s="1"/>
      <c r="G10" s="34" t="s">
        <v>30</v>
      </c>
      <c r="H10" s="68" t="s">
        <v>31</v>
      </c>
      <c r="I10" s="31"/>
      <c r="J10" s="38"/>
      <c r="K10" s="1"/>
      <c r="L10" s="1"/>
      <c r="M10" s="1"/>
      <c r="N10" s="1"/>
      <c r="O10" s="1"/>
      <c r="P10" s="1"/>
      <c r="Q10" s="1"/>
      <c r="R10" s="1"/>
      <c r="S10" s="1"/>
      <c r="T10" s="1"/>
      <c r="U10" s="1"/>
      <c r="V10" s="1"/>
      <c r="W10" s="1"/>
      <c r="X10" s="1"/>
      <c r="Y10" s="1"/>
      <c r="Z10" s="1"/>
    </row>
    <row r="11" ht="13.5" customHeight="1">
      <c r="A11" s="1"/>
      <c r="B11" s="42"/>
      <c r="C11" s="28" t="s">
        <v>35</v>
      </c>
      <c r="D11" s="82">
        <f>DATEDIF(D13,D5,"Y")+IF(DATEDIF(H13,D5,"yd")&gt;365/2,1)</f>
        <v>60</v>
      </c>
      <c r="E11" s="31"/>
      <c r="F11" s="1"/>
      <c r="G11" s="34" t="s">
        <v>35</v>
      </c>
      <c r="H11" s="82">
        <f>DATEDIF(H13,D5,"Y")+IF(DATEDIF(H13,D5,"yd")&gt;365/2,1)</f>
        <v>59</v>
      </c>
      <c r="I11" s="31"/>
      <c r="J11" s="38"/>
      <c r="K11" s="1"/>
      <c r="L11" s="1"/>
      <c r="M11" s="1"/>
      <c r="N11" s="1"/>
      <c r="O11" s="1"/>
      <c r="P11" s="1"/>
      <c r="Q11" s="1"/>
      <c r="R11" s="1"/>
      <c r="S11" s="1"/>
      <c r="T11" s="1"/>
      <c r="U11" s="1"/>
      <c r="V11" s="1"/>
      <c r="W11" s="1"/>
      <c r="X11" s="1"/>
      <c r="Y11" s="1"/>
      <c r="Z11" s="1"/>
    </row>
    <row r="12" ht="13.5" customHeight="1">
      <c r="A12" s="1"/>
      <c r="B12" s="42"/>
      <c r="C12" s="28" t="s">
        <v>41</v>
      </c>
      <c r="D12" s="88" t="s">
        <v>42</v>
      </c>
      <c r="E12" s="31"/>
      <c r="F12" s="1"/>
      <c r="G12" s="34" t="s">
        <v>41</v>
      </c>
      <c r="H12" s="88" t="s">
        <v>42</v>
      </c>
      <c r="I12" s="31"/>
      <c r="J12" s="38"/>
      <c r="K12" s="1"/>
      <c r="L12" s="1"/>
      <c r="M12" s="1"/>
      <c r="N12" s="1"/>
      <c r="O12" s="1"/>
      <c r="P12" s="1"/>
      <c r="Q12" s="1"/>
      <c r="R12" s="1"/>
      <c r="S12" s="1"/>
      <c r="T12" s="1"/>
      <c r="U12" s="1"/>
      <c r="V12" s="1"/>
      <c r="W12" s="1"/>
      <c r="X12" s="1"/>
      <c r="Y12" s="1"/>
      <c r="Z12" s="1"/>
    </row>
    <row r="13" ht="13.5" customHeight="1">
      <c r="A13" s="1"/>
      <c r="B13" s="42"/>
      <c r="C13" s="28" t="s">
        <v>50</v>
      </c>
      <c r="D13" s="29">
        <v>23743.0</v>
      </c>
      <c r="E13" s="31"/>
      <c r="F13" s="1"/>
      <c r="G13" s="34" t="s">
        <v>50</v>
      </c>
      <c r="H13" s="29">
        <v>24184.0</v>
      </c>
      <c r="I13" s="31"/>
      <c r="J13" s="38"/>
      <c r="K13" s="1"/>
      <c r="L13" s="1"/>
      <c r="M13" s="1"/>
      <c r="N13" s="1"/>
      <c r="O13" s="1"/>
      <c r="P13" s="1"/>
      <c r="Q13" s="1"/>
      <c r="R13" s="1"/>
      <c r="S13" s="1"/>
      <c r="T13" s="1"/>
      <c r="U13" s="1"/>
      <c r="V13" s="1"/>
      <c r="W13" s="1"/>
      <c r="X13" s="1"/>
      <c r="Y13" s="1"/>
      <c r="Z13" s="1"/>
    </row>
    <row r="14" ht="13.5" customHeight="1">
      <c r="A14" s="1"/>
      <c r="B14" s="47"/>
      <c r="C14" s="49"/>
      <c r="D14" s="49"/>
      <c r="E14" s="52"/>
      <c r="F14" s="1"/>
      <c r="G14" s="47"/>
      <c r="H14" s="49"/>
      <c r="I14" s="52"/>
      <c r="J14" s="38"/>
      <c r="K14" s="1"/>
      <c r="L14" s="1"/>
      <c r="M14" s="1"/>
      <c r="N14" s="1"/>
      <c r="O14" s="1"/>
      <c r="P14" s="1"/>
      <c r="Q14" s="1"/>
      <c r="R14" s="1"/>
      <c r="S14" s="1"/>
      <c r="T14" s="1"/>
      <c r="U14" s="1"/>
      <c r="V14" s="1"/>
      <c r="W14" s="1"/>
      <c r="X14" s="1"/>
      <c r="Y14" s="1"/>
      <c r="Z14" s="1"/>
    </row>
    <row r="15" ht="13.5" customHeight="1">
      <c r="A15" s="1"/>
      <c r="B15" s="1"/>
      <c r="C15" s="1"/>
      <c r="D15" s="1"/>
      <c r="E15" s="1"/>
      <c r="F15" s="1"/>
      <c r="G15" s="1"/>
      <c r="H15" s="1"/>
      <c r="I15" s="1"/>
      <c r="J15" s="38"/>
      <c r="K15" s="1"/>
      <c r="L15" s="1"/>
      <c r="M15" s="1"/>
      <c r="N15" s="1"/>
      <c r="O15" s="1"/>
      <c r="P15" s="1"/>
      <c r="Q15" s="1"/>
      <c r="R15" s="1"/>
      <c r="S15" s="1"/>
      <c r="T15" s="1"/>
      <c r="U15" s="1"/>
      <c r="V15" s="1"/>
      <c r="W15" s="1"/>
      <c r="X15" s="1"/>
      <c r="Y15" s="1"/>
      <c r="Z15" s="1"/>
    </row>
    <row r="16" ht="13.5" customHeight="1">
      <c r="A16" s="1"/>
      <c r="B16" s="61" t="s">
        <v>55</v>
      </c>
      <c r="C16" s="18"/>
      <c r="D16" s="18"/>
      <c r="E16" s="21"/>
      <c r="F16" s="1"/>
      <c r="G16" s="101" t="s">
        <v>58</v>
      </c>
      <c r="H16" s="18"/>
      <c r="I16" s="103"/>
      <c r="J16" s="38"/>
      <c r="K16" s="1"/>
      <c r="L16" s="1"/>
      <c r="M16" s="1"/>
      <c r="N16" s="1"/>
      <c r="O16" s="1"/>
      <c r="P16" s="1"/>
      <c r="Q16" s="1"/>
      <c r="R16" s="1"/>
      <c r="S16" s="1"/>
      <c r="T16" s="1"/>
      <c r="U16" s="1"/>
      <c r="V16" s="1"/>
      <c r="W16" s="1"/>
      <c r="X16" s="1"/>
      <c r="Y16" s="1"/>
      <c r="Z16" s="1"/>
    </row>
    <row r="17" ht="13.5" customHeight="1">
      <c r="A17" s="1"/>
      <c r="B17" s="42"/>
      <c r="C17" s="28" t="s">
        <v>68</v>
      </c>
      <c r="D17" s="105" t="s">
        <v>69</v>
      </c>
      <c r="E17" s="31"/>
      <c r="F17" s="1"/>
      <c r="G17" s="106" t="s">
        <v>71</v>
      </c>
      <c r="H17" s="109">
        <v>0.15</v>
      </c>
      <c r="I17" s="31"/>
      <c r="J17" s="112"/>
      <c r="K17" s="1"/>
      <c r="L17" s="1"/>
      <c r="M17" s="1"/>
      <c r="N17" s="1"/>
      <c r="O17" s="1"/>
      <c r="P17" s="1"/>
      <c r="Q17" s="1"/>
      <c r="R17" s="1"/>
      <c r="S17" s="1"/>
      <c r="T17" s="1"/>
      <c r="U17" s="1"/>
      <c r="V17" s="1"/>
      <c r="W17" s="1"/>
      <c r="X17" s="1"/>
      <c r="Y17" s="1"/>
      <c r="Z17" s="1"/>
    </row>
    <row r="18" ht="13.5" customHeight="1">
      <c r="A18" s="1"/>
      <c r="B18" s="42"/>
      <c r="C18" s="28" t="s">
        <v>76</v>
      </c>
      <c r="D18" s="116" t="s">
        <v>77</v>
      </c>
      <c r="E18" s="31"/>
      <c r="F18" s="1"/>
      <c r="G18" s="44" t="s">
        <v>78</v>
      </c>
      <c r="H18" s="109">
        <v>0.25</v>
      </c>
      <c r="I18" s="31"/>
      <c r="J18" s="112"/>
      <c r="K18" s="1"/>
      <c r="L18" s="1"/>
      <c r="M18" s="1"/>
      <c r="N18" s="1"/>
      <c r="O18" s="1"/>
      <c r="P18" s="1"/>
      <c r="Q18" s="1"/>
      <c r="R18" s="1"/>
      <c r="S18" s="1"/>
      <c r="T18" s="1"/>
      <c r="U18" s="1"/>
      <c r="V18" s="1"/>
      <c r="W18" s="1"/>
      <c r="X18" s="1"/>
      <c r="Y18" s="1"/>
      <c r="Z18" s="1"/>
    </row>
    <row r="19" ht="13.5" customHeight="1">
      <c r="A19" s="1"/>
      <c r="B19" s="42"/>
      <c r="C19" s="28" t="s">
        <v>79</v>
      </c>
      <c r="D19" s="124">
        <v>1.0</v>
      </c>
      <c r="E19" s="31"/>
      <c r="F19" s="1"/>
      <c r="G19" s="44" t="s">
        <v>82</v>
      </c>
      <c r="H19" s="109">
        <v>0.4</v>
      </c>
      <c r="I19" s="31"/>
      <c r="J19" s="112"/>
      <c r="K19" s="1"/>
      <c r="L19" s="1"/>
      <c r="M19" s="1"/>
      <c r="N19" s="1"/>
      <c r="O19" s="1"/>
      <c r="P19" s="1"/>
      <c r="Q19" s="1"/>
      <c r="R19" s="1"/>
      <c r="S19" s="1"/>
      <c r="T19" s="1"/>
      <c r="U19" s="1"/>
      <c r="V19" s="1"/>
      <c r="W19" s="1"/>
      <c r="X19" s="1"/>
      <c r="Y19" s="1"/>
      <c r="Z19" s="1"/>
    </row>
    <row r="20" ht="13.5" customHeight="1">
      <c r="A20" s="1"/>
      <c r="B20" s="42"/>
      <c r="C20" s="28" t="s">
        <v>84</v>
      </c>
      <c r="D20" s="124">
        <f>80-Insured_Age</f>
        <v>20</v>
      </c>
      <c r="E20" s="127" t="str">
        <f>+"Maksimum " &amp; Coverage</f>
        <v>Maksimum 20</v>
      </c>
      <c r="F20" s="128"/>
      <c r="G20" s="44" t="s">
        <v>86</v>
      </c>
      <c r="H20" s="109">
        <v>0.2</v>
      </c>
      <c r="I20" s="31"/>
      <c r="J20" s="112"/>
      <c r="K20" s="1"/>
      <c r="L20" s="1"/>
      <c r="M20" s="1"/>
      <c r="N20" s="1"/>
      <c r="O20" s="1"/>
      <c r="P20" s="1"/>
      <c r="Q20" s="1"/>
      <c r="R20" s="1"/>
      <c r="S20" s="1"/>
      <c r="T20" s="1"/>
      <c r="U20" s="1"/>
      <c r="V20" s="1"/>
      <c r="W20" s="1"/>
      <c r="X20" s="1"/>
      <c r="Y20" s="1"/>
      <c r="Z20" s="1"/>
    </row>
    <row r="21" ht="13.5" customHeight="1">
      <c r="A21" s="1"/>
      <c r="B21" s="42"/>
      <c r="C21" s="28" t="s">
        <v>87</v>
      </c>
      <c r="D21" s="130" t="s">
        <v>88</v>
      </c>
      <c r="E21" s="132"/>
      <c r="F21" s="128"/>
      <c r="G21" s="44"/>
      <c r="H21" s="138">
        <f>IF(SUM(H17:H20)&lt;&gt;100%,"Total % fund should be 100%",SUM(H17:H20))</f>
        <v>1</v>
      </c>
      <c r="I21" s="31"/>
      <c r="J21" s="139"/>
      <c r="K21" s="1"/>
      <c r="L21" s="1"/>
      <c r="M21" s="1"/>
      <c r="N21" s="1"/>
      <c r="O21" s="1"/>
      <c r="P21" s="1"/>
      <c r="Q21" s="1"/>
      <c r="R21" s="1"/>
      <c r="S21" s="1"/>
      <c r="T21" s="1"/>
      <c r="U21" s="1"/>
      <c r="V21" s="1"/>
      <c r="W21" s="1"/>
      <c r="X21" s="1"/>
      <c r="Y21" s="1"/>
      <c r="Z21" s="1"/>
    </row>
    <row r="22" ht="13.5" customHeight="1">
      <c r="A22" s="1"/>
      <c r="B22" s="42"/>
      <c r="C22" s="1"/>
      <c r="D22" s="1"/>
      <c r="E22" s="31"/>
      <c r="F22" s="1"/>
      <c r="G22" s="44"/>
      <c r="H22" s="45"/>
      <c r="I22" s="31"/>
      <c r="J22" s="38"/>
      <c r="K22" s="1"/>
      <c r="L22" s="1"/>
      <c r="M22" s="1"/>
      <c r="N22" s="1"/>
      <c r="O22" s="1"/>
      <c r="P22" s="1"/>
      <c r="Q22" s="1"/>
      <c r="R22" s="1"/>
      <c r="S22" s="1"/>
      <c r="T22" s="1"/>
      <c r="U22" s="1"/>
      <c r="V22" s="1"/>
      <c r="W22" s="1"/>
      <c r="X22" s="1"/>
      <c r="Y22" s="1"/>
      <c r="Z22" s="1"/>
    </row>
    <row r="23" ht="13.5" customHeight="1">
      <c r="A23" s="1"/>
      <c r="B23" s="47"/>
      <c r="C23" s="49"/>
      <c r="D23" s="49"/>
      <c r="E23" s="52"/>
      <c r="F23" s="1"/>
      <c r="G23" s="141"/>
      <c r="H23" s="142"/>
      <c r="I23" s="52"/>
      <c r="J23" s="38"/>
      <c r="K23" s="1"/>
      <c r="L23" s="1"/>
      <c r="M23" s="1"/>
      <c r="N23" s="1"/>
      <c r="O23" s="1"/>
      <c r="P23" s="1"/>
      <c r="Q23" s="1"/>
      <c r="R23" s="1"/>
      <c r="S23" s="1"/>
      <c r="T23" s="1"/>
      <c r="U23" s="1"/>
      <c r="V23" s="1"/>
      <c r="W23" s="1"/>
      <c r="X23" s="1"/>
      <c r="Y23" s="1"/>
      <c r="Z23" s="1"/>
    </row>
    <row r="24" ht="13.5" customHeight="1">
      <c r="A24" s="1"/>
      <c r="B24" s="1"/>
      <c r="C24" s="1"/>
      <c r="D24" s="1"/>
      <c r="E24" s="1"/>
      <c r="F24" s="1"/>
      <c r="G24" s="144"/>
      <c r="H24" s="45"/>
      <c r="I24" s="1"/>
      <c r="J24" s="38"/>
      <c r="K24" s="1"/>
      <c r="L24" s="1"/>
      <c r="M24" s="1"/>
      <c r="N24" s="1"/>
      <c r="O24" s="1"/>
      <c r="P24" s="1"/>
      <c r="Q24" s="1"/>
      <c r="R24" s="1"/>
      <c r="S24" s="1"/>
      <c r="T24" s="1"/>
      <c r="U24" s="1"/>
      <c r="V24" s="1"/>
      <c r="W24" s="1"/>
      <c r="X24" s="1"/>
      <c r="Y24" s="1"/>
      <c r="Z24" s="1"/>
    </row>
    <row r="25" ht="13.5" customHeight="1">
      <c r="A25" s="1"/>
      <c r="B25" s="1"/>
      <c r="C25" s="1"/>
      <c r="D25" s="1"/>
      <c r="E25" s="1"/>
      <c r="F25" s="1"/>
      <c r="G25" s="144"/>
      <c r="H25" s="45"/>
      <c r="I25" s="1"/>
      <c r="J25" s="38"/>
      <c r="K25" s="1"/>
      <c r="L25" s="1"/>
      <c r="M25" s="1"/>
      <c r="N25" s="1"/>
      <c r="O25" s="1"/>
      <c r="P25" s="1"/>
      <c r="Q25" s="1"/>
      <c r="R25" s="1"/>
      <c r="S25" s="1"/>
      <c r="T25" s="1"/>
      <c r="U25" s="1"/>
      <c r="V25" s="1"/>
      <c r="W25" s="1"/>
      <c r="X25" s="1"/>
      <c r="Y25" s="1"/>
      <c r="Z25" s="1"/>
    </row>
    <row r="26" ht="13.5" customHeight="1">
      <c r="A26" s="1"/>
      <c r="B26" s="15"/>
      <c r="C26" s="18"/>
      <c r="D26" s="18"/>
      <c r="E26" s="21"/>
      <c r="F26" s="1"/>
      <c r="G26" s="1"/>
      <c r="H26" s="1"/>
      <c r="I26" s="1"/>
      <c r="J26" s="38"/>
      <c r="K26" s="1"/>
      <c r="L26" s="1"/>
      <c r="M26" s="1"/>
      <c r="N26" s="1"/>
      <c r="O26" s="1"/>
      <c r="P26" s="1"/>
      <c r="Q26" s="1"/>
      <c r="R26" s="1"/>
      <c r="S26" s="1"/>
      <c r="T26" s="1"/>
      <c r="U26" s="1"/>
      <c r="V26" s="1"/>
      <c r="W26" s="1"/>
      <c r="X26" s="1"/>
      <c r="Y26" s="1"/>
      <c r="Z26" s="1"/>
    </row>
    <row r="27" ht="13.5" customHeight="1">
      <c r="A27" s="1"/>
      <c r="B27" s="25" t="s">
        <v>95</v>
      </c>
      <c r="C27" s="28" t="s">
        <v>96</v>
      </c>
      <c r="D27" s="147">
        <v>2.20000778E8</v>
      </c>
      <c r="E27" s="148"/>
      <c r="F27" s="45"/>
      <c r="G27" s="45"/>
      <c r="H27" s="45"/>
      <c r="I27" s="1"/>
      <c r="J27" s="38"/>
      <c r="K27" s="1"/>
      <c r="L27" s="1"/>
      <c r="M27" s="1"/>
      <c r="N27" s="1"/>
      <c r="O27" s="1"/>
      <c r="P27" s="1"/>
      <c r="Q27" s="1"/>
      <c r="R27" s="1"/>
      <c r="S27" s="1"/>
      <c r="T27" s="1"/>
      <c r="U27" s="1"/>
      <c r="V27" s="1"/>
      <c r="W27" s="1"/>
      <c r="X27" s="1"/>
      <c r="Y27" s="1"/>
      <c r="Z27" s="1"/>
    </row>
    <row r="28" ht="13.5" customHeight="1">
      <c r="A28" s="1"/>
      <c r="B28" s="47"/>
      <c r="C28" s="49"/>
      <c r="D28" s="49"/>
      <c r="E28" s="150"/>
      <c r="F28" s="128"/>
      <c r="G28" s="128"/>
      <c r="H28" s="1"/>
      <c r="I28" s="1"/>
      <c r="J28" s="151"/>
      <c r="K28" s="1"/>
      <c r="L28" s="1"/>
      <c r="M28" s="1"/>
      <c r="N28" s="1"/>
      <c r="O28" s="1"/>
      <c r="P28" s="1"/>
      <c r="Q28" s="1"/>
      <c r="R28" s="1"/>
      <c r="S28" s="1"/>
      <c r="T28" s="1"/>
      <c r="U28" s="1"/>
      <c r="V28" s="1"/>
      <c r="W28" s="1"/>
      <c r="X28" s="1"/>
      <c r="Y28" s="1"/>
      <c r="Z28" s="1"/>
    </row>
    <row r="29" ht="13.5" customHeight="1">
      <c r="A29" s="1"/>
      <c r="B29" s="1"/>
      <c r="C29" s="1"/>
      <c r="D29" s="1"/>
      <c r="E29" s="128"/>
      <c r="F29" s="128"/>
      <c r="G29" s="128"/>
      <c r="H29" s="1"/>
      <c r="I29" s="1"/>
      <c r="J29" s="151"/>
      <c r="K29" s="1"/>
      <c r="L29" s="1"/>
      <c r="M29" s="1"/>
      <c r="N29" s="1"/>
      <c r="O29" s="1"/>
      <c r="P29" s="1"/>
      <c r="Q29" s="1"/>
      <c r="R29" s="1"/>
      <c r="S29" s="1"/>
      <c r="T29" s="1"/>
      <c r="U29" s="1"/>
      <c r="V29" s="1"/>
      <c r="W29" s="1"/>
      <c r="X29" s="1"/>
      <c r="Y29" s="1"/>
      <c r="Z29" s="1"/>
    </row>
    <row r="30" ht="13.5" customHeight="1">
      <c r="A30" s="1"/>
      <c r="B30" s="15"/>
      <c r="C30" s="18"/>
      <c r="D30" s="18"/>
      <c r="E30" s="152"/>
      <c r="F30" s="128"/>
      <c r="G30" s="128"/>
      <c r="H30" s="1"/>
      <c r="I30" s="1"/>
      <c r="J30" s="151"/>
      <c r="K30" s="1"/>
      <c r="L30" s="1"/>
      <c r="M30" s="1"/>
      <c r="N30" s="1"/>
      <c r="O30" s="1"/>
      <c r="P30" s="1"/>
      <c r="Q30" s="1"/>
      <c r="R30" s="1"/>
      <c r="S30" s="1"/>
      <c r="T30" s="1"/>
      <c r="U30" s="1"/>
      <c r="V30" s="1"/>
      <c r="W30" s="1"/>
      <c r="X30" s="1"/>
      <c r="Y30" s="1"/>
      <c r="Z30" s="1"/>
    </row>
    <row r="31" ht="13.5" customHeight="1">
      <c r="A31" s="1"/>
      <c r="B31" s="25" t="s">
        <v>99</v>
      </c>
      <c r="C31" s="1"/>
      <c r="D31" s="1"/>
      <c r="E31" s="132"/>
      <c r="F31" s="128"/>
      <c r="G31" s="128"/>
      <c r="H31" s="128"/>
      <c r="I31" s="1"/>
      <c r="J31" s="38"/>
      <c r="K31" s="1"/>
      <c r="L31" s="1"/>
      <c r="M31" s="1"/>
      <c r="N31" s="1"/>
      <c r="O31" s="1"/>
      <c r="P31" s="1"/>
      <c r="Q31" s="1"/>
      <c r="R31" s="1"/>
      <c r="S31" s="1"/>
      <c r="T31" s="1"/>
      <c r="U31" s="1"/>
      <c r="V31" s="1"/>
      <c r="W31" s="1"/>
      <c r="X31" s="1"/>
      <c r="Y31" s="1"/>
      <c r="Z31" s="1"/>
    </row>
    <row r="32" ht="13.5" customHeight="1">
      <c r="A32" s="1"/>
      <c r="B32" s="42"/>
      <c r="C32" s="28" t="s">
        <v>101</v>
      </c>
      <c r="D32" s="153">
        <f>premi_dasar*1.5</f>
        <v>330001167</v>
      </c>
      <c r="E32" s="154"/>
      <c r="F32" s="155"/>
      <c r="G32" s="157" t="str">
        <f>+IF(E21&lt;&gt;5,MAX(5*VLOOKUP(E21,Assumption!$R$10:$S$14,2,0)*D27,7500000),MAX(1.25*D27,15000000))</f>
        <v>#N/A</v>
      </c>
      <c r="H32" s="128"/>
      <c r="I32" s="1"/>
      <c r="J32" s="38"/>
      <c r="K32" s="1"/>
      <c r="L32" s="1"/>
      <c r="M32" s="1"/>
      <c r="N32" s="1"/>
      <c r="O32" s="1"/>
      <c r="P32" s="1"/>
      <c r="Q32" s="1"/>
      <c r="R32" s="1"/>
      <c r="S32" s="1"/>
      <c r="T32" s="1"/>
      <c r="U32" s="1"/>
      <c r="V32" s="1"/>
      <c r="W32" s="1"/>
      <c r="X32" s="1"/>
      <c r="Y32" s="1"/>
      <c r="Z32" s="1"/>
    </row>
    <row r="33" ht="13.5" customHeight="1">
      <c r="A33" s="1"/>
      <c r="B33" s="42"/>
      <c r="C33" s="28" t="s">
        <v>104</v>
      </c>
      <c r="D33" s="153">
        <f>Sum_Assured</f>
        <v>330001167</v>
      </c>
      <c r="E33" s="31"/>
      <c r="F33" s="128"/>
      <c r="G33" s="157"/>
      <c r="H33" s="1"/>
      <c r="I33" s="1"/>
      <c r="J33" s="38"/>
      <c r="K33" s="1"/>
      <c r="L33" s="1"/>
      <c r="M33" s="1"/>
      <c r="N33" s="1"/>
      <c r="O33" s="1"/>
      <c r="P33" s="1"/>
      <c r="Q33" s="1"/>
      <c r="R33" s="1"/>
      <c r="S33" s="1"/>
      <c r="T33" s="1"/>
      <c r="U33" s="1"/>
      <c r="V33" s="1"/>
      <c r="W33" s="1"/>
      <c r="X33" s="1"/>
      <c r="Y33" s="1"/>
      <c r="Z33" s="1"/>
    </row>
    <row r="34" ht="13.5" customHeight="1">
      <c r="A34" s="1"/>
      <c r="B34" s="47"/>
      <c r="C34" s="49"/>
      <c r="D34" s="49"/>
      <c r="E34" s="150"/>
      <c r="F34" s="128"/>
      <c r="G34" s="128"/>
      <c r="H34" s="1"/>
      <c r="I34" s="1"/>
      <c r="J34" s="38"/>
      <c r="K34" s="1"/>
      <c r="L34" s="1"/>
      <c r="M34" s="1"/>
      <c r="N34" s="1"/>
      <c r="O34" s="1"/>
      <c r="P34" s="1"/>
      <c r="Q34" s="1"/>
      <c r="R34" s="1"/>
      <c r="S34" s="1"/>
      <c r="T34" s="1"/>
      <c r="U34" s="1"/>
      <c r="V34" s="1"/>
      <c r="W34" s="1"/>
      <c r="X34" s="1"/>
      <c r="Y34" s="1"/>
      <c r="Z34" s="1"/>
    </row>
    <row r="35" ht="13.5" customHeight="1">
      <c r="A35" s="1"/>
      <c r="B35" s="1"/>
      <c r="C35" s="1"/>
      <c r="D35" s="1"/>
      <c r="E35" s="128"/>
      <c r="F35" s="128"/>
      <c r="G35" s="128"/>
      <c r="H35" s="1"/>
      <c r="I35" s="1"/>
      <c r="J35" s="38"/>
      <c r="K35" s="1"/>
      <c r="L35" s="1"/>
      <c r="M35" s="1"/>
      <c r="N35" s="1"/>
      <c r="O35" s="1"/>
      <c r="P35" s="1"/>
      <c r="Q35" s="1"/>
      <c r="R35" s="1"/>
      <c r="S35" s="1"/>
      <c r="T35" s="1"/>
      <c r="U35" s="1"/>
      <c r="V35" s="1"/>
      <c r="W35" s="1"/>
      <c r="X35" s="1"/>
      <c r="Y35" s="1"/>
      <c r="Z35" s="1"/>
    </row>
    <row r="36" ht="13.5" customHeight="1">
      <c r="A36" s="1"/>
      <c r="B36" s="1"/>
      <c r="C36" s="1"/>
      <c r="D36" s="1"/>
      <c r="E36" s="1"/>
      <c r="F36" s="1"/>
      <c r="G36" s="1"/>
      <c r="H36" s="1"/>
      <c r="I36" s="1"/>
      <c r="J36" s="38"/>
      <c r="K36" s="1"/>
      <c r="L36" s="1"/>
      <c r="M36" s="1"/>
      <c r="N36" s="1"/>
      <c r="O36" s="1"/>
      <c r="P36" s="1"/>
      <c r="Q36" s="1"/>
      <c r="R36" s="1"/>
      <c r="S36" s="1"/>
      <c r="T36" s="1"/>
      <c r="U36" s="1"/>
      <c r="V36" s="1"/>
      <c r="W36" s="1"/>
      <c r="X36" s="1"/>
      <c r="Y36" s="1"/>
      <c r="Z36" s="1"/>
    </row>
    <row r="37" ht="13.5" customHeight="1">
      <c r="A37" s="1"/>
      <c r="B37" s="158" t="s">
        <v>105</v>
      </c>
      <c r="C37" s="159" t="s">
        <v>106</v>
      </c>
      <c r="D37" s="159" t="s">
        <v>52</v>
      </c>
      <c r="E37" s="159" t="s">
        <v>107</v>
      </c>
      <c r="F37" s="161"/>
      <c r="G37" s="1"/>
      <c r="H37" s="1"/>
      <c r="I37" s="162"/>
      <c r="J37" s="163"/>
      <c r="K37" s="1"/>
      <c r="L37" s="1"/>
      <c r="M37" s="1"/>
      <c r="N37" s="1"/>
      <c r="O37" s="1"/>
      <c r="P37" s="1"/>
      <c r="Q37" s="1"/>
      <c r="R37" s="1"/>
      <c r="S37" s="1"/>
      <c r="T37" s="1"/>
      <c r="U37" s="1"/>
      <c r="V37" s="1"/>
      <c r="W37" s="1"/>
      <c r="X37" s="1"/>
      <c r="Y37" s="1"/>
      <c r="Z37" s="1"/>
    </row>
    <row r="38" ht="13.5" customHeight="1">
      <c r="A38" s="1"/>
      <c r="B38" s="164"/>
      <c r="C38" s="165">
        <v>60.0</v>
      </c>
      <c r="D38" s="166">
        <f>+IF(C38="","",C38-Insured_Age+1)</f>
        <v>1</v>
      </c>
      <c r="E38" s="165">
        <v>1.0E8</v>
      </c>
      <c r="F38" s="168"/>
      <c r="G38" s="1"/>
      <c r="H38" s="1"/>
      <c r="I38" s="1"/>
      <c r="J38" s="38"/>
      <c r="K38" s="1"/>
      <c r="L38" s="1"/>
      <c r="M38" s="1"/>
      <c r="N38" s="1"/>
      <c r="O38" s="1"/>
      <c r="P38" s="1"/>
      <c r="Q38" s="1"/>
      <c r="R38" s="1"/>
      <c r="S38" s="1"/>
      <c r="T38" s="1"/>
      <c r="U38" s="1"/>
      <c r="V38" s="1"/>
      <c r="W38" s="1"/>
      <c r="X38" s="1"/>
      <c r="Y38" s="1"/>
      <c r="Z38" s="1"/>
    </row>
    <row r="39" ht="13.5" customHeight="1">
      <c r="A39" s="1"/>
      <c r="B39" s="164"/>
      <c r="C39" s="165"/>
      <c r="D39" s="166" t="str">
        <f>+IF(C39="","",C39-Insured_Age+1)</f>
        <v/>
      </c>
      <c r="E39" s="165"/>
      <c r="F39" s="168"/>
      <c r="G39" s="1"/>
      <c r="H39" s="1"/>
      <c r="I39" s="1"/>
      <c r="J39" s="38"/>
      <c r="K39" s="1"/>
      <c r="L39" s="1"/>
      <c r="M39" s="1"/>
      <c r="N39" s="1"/>
      <c r="O39" s="1"/>
      <c r="P39" s="1"/>
      <c r="Q39" s="1"/>
      <c r="R39" s="1"/>
      <c r="S39" s="1"/>
      <c r="T39" s="1"/>
      <c r="U39" s="1"/>
      <c r="V39" s="1"/>
      <c r="W39" s="1"/>
      <c r="X39" s="1"/>
      <c r="Y39" s="1"/>
      <c r="Z39" s="1"/>
    </row>
    <row r="40" ht="13.5" customHeight="1">
      <c r="A40" s="1"/>
      <c r="B40" s="164"/>
      <c r="C40" s="165"/>
      <c r="D40" s="166" t="str">
        <f>+IF(C40="","",C40-Insured_Age+1)</f>
        <v/>
      </c>
      <c r="E40" s="165"/>
      <c r="F40" s="168"/>
      <c r="G40" s="162"/>
      <c r="H40" s="162"/>
      <c r="I40" s="1"/>
      <c r="J40" s="38"/>
      <c r="K40" s="1"/>
      <c r="L40" s="1"/>
      <c r="M40" s="1"/>
      <c r="N40" s="1"/>
      <c r="O40" s="1"/>
      <c r="P40" s="1"/>
      <c r="Q40" s="1"/>
      <c r="R40" s="1"/>
      <c r="S40" s="1"/>
      <c r="T40" s="1"/>
      <c r="U40" s="1"/>
      <c r="V40" s="1"/>
      <c r="W40" s="1"/>
      <c r="X40" s="1"/>
      <c r="Y40" s="1"/>
      <c r="Z40" s="1"/>
    </row>
    <row r="41" ht="13.5" customHeight="1">
      <c r="A41" s="1"/>
      <c r="B41" s="164"/>
      <c r="C41" s="165"/>
      <c r="D41" s="166" t="str">
        <f>+IF(C41="","",C41-Insured_Age+1)</f>
        <v/>
      </c>
      <c r="E41" s="165"/>
      <c r="F41" s="168"/>
      <c r="G41" s="1"/>
      <c r="H41" s="1"/>
      <c r="I41" s="1"/>
      <c r="J41" s="38"/>
      <c r="K41" s="1"/>
      <c r="L41" s="1"/>
      <c r="M41" s="1"/>
      <c r="N41" s="1"/>
      <c r="O41" s="1"/>
      <c r="P41" s="1"/>
      <c r="Q41" s="1"/>
      <c r="R41" s="1"/>
      <c r="S41" s="1"/>
      <c r="T41" s="1"/>
      <c r="U41" s="1"/>
      <c r="V41" s="1"/>
      <c r="W41" s="1"/>
      <c r="X41" s="1"/>
      <c r="Y41" s="1"/>
      <c r="Z41" s="1"/>
    </row>
    <row r="42" ht="13.5" customHeight="1">
      <c r="A42" s="1"/>
      <c r="B42" s="164"/>
      <c r="C42" s="165"/>
      <c r="D42" s="166" t="str">
        <f>+IF(C42="","",C42-Insured_Age+1)</f>
        <v/>
      </c>
      <c r="E42" s="165"/>
      <c r="F42" s="168"/>
      <c r="G42" s="1"/>
      <c r="H42" s="1"/>
      <c r="I42" s="1"/>
      <c r="J42" s="38"/>
      <c r="K42" s="1"/>
      <c r="L42" s="1"/>
      <c r="M42" s="1"/>
      <c r="N42" s="1"/>
      <c r="O42" s="1"/>
      <c r="P42" s="1"/>
      <c r="Q42" s="1"/>
      <c r="R42" s="1"/>
      <c r="S42" s="1"/>
      <c r="T42" s="1"/>
      <c r="U42" s="1"/>
      <c r="V42" s="1"/>
      <c r="W42" s="1"/>
      <c r="X42" s="1"/>
      <c r="Y42" s="1"/>
      <c r="Z42" s="1"/>
    </row>
    <row r="43" ht="13.5" customHeight="1">
      <c r="A43" s="1"/>
      <c r="B43" s="164"/>
      <c r="C43" s="165"/>
      <c r="D43" s="166" t="str">
        <f>+IF(C43="","",C43-Insured_Age+1)</f>
        <v/>
      </c>
      <c r="E43" s="165"/>
      <c r="F43" s="168"/>
      <c r="G43" s="1"/>
      <c r="H43" s="1"/>
      <c r="I43" s="1"/>
      <c r="J43" s="151"/>
      <c r="K43" s="1"/>
      <c r="L43" s="1"/>
      <c r="M43" s="1"/>
      <c r="N43" s="1"/>
      <c r="O43" s="1"/>
      <c r="P43" s="1"/>
      <c r="Q43" s="1"/>
      <c r="R43" s="1"/>
      <c r="S43" s="1"/>
      <c r="T43" s="1"/>
      <c r="U43" s="1"/>
      <c r="V43" s="1"/>
      <c r="W43" s="1"/>
      <c r="X43" s="1"/>
      <c r="Y43" s="1"/>
      <c r="Z43" s="1"/>
    </row>
    <row r="44" ht="13.5" customHeight="1">
      <c r="A44" s="1"/>
      <c r="B44" s="164"/>
      <c r="C44" s="165"/>
      <c r="D44" s="166" t="str">
        <f>+IF(C44="","",C44-Insured_Age+1)</f>
        <v/>
      </c>
      <c r="E44" s="165"/>
      <c r="F44" s="168"/>
      <c r="G44" s="1"/>
      <c r="H44" s="1"/>
      <c r="I44" s="1"/>
      <c r="J44" s="38"/>
      <c r="K44" s="1"/>
      <c r="L44" s="1"/>
      <c r="M44" s="1"/>
      <c r="N44" s="1"/>
      <c r="O44" s="1"/>
      <c r="P44" s="1"/>
      <c r="Q44" s="1"/>
      <c r="R44" s="1"/>
      <c r="S44" s="1"/>
      <c r="T44" s="1"/>
      <c r="U44" s="1"/>
      <c r="V44" s="1"/>
      <c r="W44" s="1"/>
      <c r="X44" s="1"/>
      <c r="Y44" s="1"/>
      <c r="Z44" s="1"/>
    </row>
    <row r="45" ht="13.5" customHeight="1">
      <c r="A45" s="1"/>
      <c r="B45" s="164"/>
      <c r="C45" s="165"/>
      <c r="D45" s="166" t="str">
        <f>+IF(C45="","",C45-Insured_Age+1)</f>
        <v/>
      </c>
      <c r="E45" s="165"/>
      <c r="F45" s="168"/>
      <c r="G45" s="1"/>
      <c r="H45" s="1"/>
      <c r="I45" s="1"/>
      <c r="J45" s="38"/>
      <c r="K45" s="1"/>
      <c r="L45" s="1"/>
      <c r="M45" s="1"/>
      <c r="N45" s="1"/>
      <c r="O45" s="1"/>
      <c r="P45" s="1"/>
      <c r="Q45" s="1"/>
      <c r="R45" s="1"/>
      <c r="S45" s="1"/>
      <c r="T45" s="1"/>
      <c r="U45" s="1"/>
      <c r="V45" s="1"/>
      <c r="W45" s="1"/>
      <c r="X45" s="1"/>
      <c r="Y45" s="1"/>
      <c r="Z45" s="1"/>
    </row>
    <row r="46" ht="13.5" customHeight="1">
      <c r="A46" s="1"/>
      <c r="B46" s="164"/>
      <c r="C46" s="165"/>
      <c r="D46" s="166" t="str">
        <f>+IF(C46="","",C46-Insured_Age+1)</f>
        <v/>
      </c>
      <c r="E46" s="165"/>
      <c r="F46" s="168"/>
      <c r="G46" s="1"/>
      <c r="H46" s="1"/>
      <c r="I46" s="1"/>
      <c r="J46" s="38"/>
      <c r="K46" s="1"/>
      <c r="L46" s="1"/>
      <c r="M46" s="1"/>
      <c r="N46" s="1"/>
      <c r="O46" s="1"/>
      <c r="P46" s="1"/>
      <c r="Q46" s="1"/>
      <c r="R46" s="1"/>
      <c r="S46" s="1"/>
      <c r="T46" s="1"/>
      <c r="U46" s="1"/>
      <c r="V46" s="1"/>
      <c r="W46" s="1"/>
      <c r="X46" s="1"/>
      <c r="Y46" s="1"/>
      <c r="Z46" s="1"/>
    </row>
    <row r="47" ht="13.5" customHeight="1">
      <c r="A47" s="1"/>
      <c r="B47" s="164"/>
      <c r="C47" s="165"/>
      <c r="D47" s="166" t="str">
        <f>+IF(C47="","",C47-Insured_Age+1)</f>
        <v/>
      </c>
      <c r="E47" s="165"/>
      <c r="F47" s="168"/>
      <c r="G47" s="1"/>
      <c r="H47" s="1"/>
      <c r="I47" s="1"/>
      <c r="J47" s="38"/>
      <c r="K47" s="1"/>
      <c r="L47" s="1"/>
      <c r="M47" s="1"/>
      <c r="N47" s="1"/>
      <c r="O47" s="1"/>
      <c r="P47" s="1"/>
      <c r="Q47" s="1"/>
      <c r="R47" s="1"/>
      <c r="S47" s="1"/>
      <c r="T47" s="1"/>
      <c r="U47" s="1"/>
      <c r="V47" s="1"/>
      <c r="W47" s="1"/>
      <c r="X47" s="1"/>
      <c r="Y47" s="1"/>
      <c r="Z47" s="1"/>
    </row>
    <row r="48" ht="13.5" customHeight="1">
      <c r="A48" s="1"/>
      <c r="B48" s="164"/>
      <c r="C48" s="165"/>
      <c r="D48" s="166" t="str">
        <f>+IF(C48="","",C48-Insured_Age+1)</f>
        <v/>
      </c>
      <c r="E48" s="165"/>
      <c r="F48" s="168"/>
      <c r="G48" s="1"/>
      <c r="H48" s="1"/>
      <c r="I48" s="1"/>
      <c r="J48" s="38"/>
      <c r="K48" s="1"/>
      <c r="L48" s="1"/>
      <c r="M48" s="1"/>
      <c r="N48" s="1"/>
      <c r="O48" s="1"/>
      <c r="P48" s="1"/>
      <c r="Q48" s="1"/>
      <c r="R48" s="1"/>
      <c r="S48" s="1"/>
      <c r="T48" s="1"/>
      <c r="U48" s="1"/>
      <c r="V48" s="1"/>
      <c r="W48" s="1"/>
      <c r="X48" s="1"/>
      <c r="Y48" s="1"/>
      <c r="Z48" s="1"/>
    </row>
    <row r="49" ht="13.5" customHeight="1">
      <c r="A49" s="1"/>
      <c r="B49" s="164"/>
      <c r="C49" s="165"/>
      <c r="D49" s="166" t="str">
        <f>+IF(C49="","",C49-Insured_Age+1)</f>
        <v/>
      </c>
      <c r="E49" s="165"/>
      <c r="F49" s="168"/>
      <c r="G49" s="1"/>
      <c r="H49" s="1"/>
      <c r="I49" s="1"/>
      <c r="J49" s="38"/>
      <c r="K49" s="1"/>
      <c r="L49" s="1"/>
      <c r="M49" s="1"/>
      <c r="N49" s="1"/>
      <c r="O49" s="1"/>
      <c r="P49" s="1"/>
      <c r="Q49" s="1"/>
      <c r="R49" s="1"/>
      <c r="S49" s="1"/>
      <c r="T49" s="1"/>
      <c r="U49" s="1"/>
      <c r="V49" s="1"/>
      <c r="W49" s="1"/>
      <c r="X49" s="1"/>
      <c r="Y49" s="1"/>
      <c r="Z49" s="1"/>
    </row>
    <row r="50" ht="13.5" customHeight="1">
      <c r="A50" s="1"/>
      <c r="B50" s="164"/>
      <c r="C50" s="165"/>
      <c r="D50" s="166" t="str">
        <f>+IF(C50="","",C50-Insured_Age+1)</f>
        <v/>
      </c>
      <c r="E50" s="165"/>
      <c r="F50" s="168"/>
      <c r="G50" s="1"/>
      <c r="H50" s="1"/>
      <c r="I50" s="1"/>
      <c r="J50" s="38"/>
      <c r="K50" s="1"/>
      <c r="L50" s="1"/>
      <c r="M50" s="1"/>
      <c r="N50" s="1"/>
      <c r="O50" s="1"/>
      <c r="P50" s="1"/>
      <c r="Q50" s="1"/>
      <c r="R50" s="1"/>
      <c r="S50" s="1"/>
      <c r="T50" s="1"/>
      <c r="U50" s="1"/>
      <c r="V50" s="1"/>
      <c r="W50" s="1"/>
      <c r="X50" s="1"/>
      <c r="Y50" s="1"/>
      <c r="Z50" s="1"/>
    </row>
    <row r="51" ht="13.5" customHeight="1">
      <c r="A51" s="1"/>
      <c r="B51" s="164"/>
      <c r="C51" s="1"/>
      <c r="D51" s="1"/>
      <c r="E51" s="1"/>
      <c r="F51" s="1"/>
      <c r="G51" s="1"/>
      <c r="H51" s="1"/>
      <c r="I51" s="1"/>
      <c r="J51" s="38"/>
      <c r="K51" s="1"/>
      <c r="L51" s="1"/>
      <c r="M51" s="1"/>
      <c r="N51" s="1"/>
      <c r="O51" s="1"/>
      <c r="P51" s="1"/>
      <c r="Q51" s="1"/>
      <c r="R51" s="1"/>
      <c r="S51" s="1"/>
      <c r="T51" s="1"/>
      <c r="U51" s="1"/>
      <c r="V51" s="1"/>
      <c r="W51" s="1"/>
      <c r="X51" s="1"/>
      <c r="Y51" s="1"/>
      <c r="Z51" s="1"/>
    </row>
    <row r="52" ht="13.5" customHeight="1">
      <c r="A52" s="1"/>
      <c r="B52" s="158" t="s">
        <v>73</v>
      </c>
      <c r="C52" s="159" t="s">
        <v>106</v>
      </c>
      <c r="D52" s="159" t="s">
        <v>52</v>
      </c>
      <c r="E52" s="159" t="s">
        <v>107</v>
      </c>
      <c r="F52" s="161"/>
      <c r="G52" s="1"/>
      <c r="H52" s="1"/>
      <c r="I52" s="1"/>
      <c r="J52" s="38"/>
      <c r="K52" s="1"/>
      <c r="L52" s="1"/>
      <c r="M52" s="1"/>
      <c r="N52" s="1"/>
      <c r="O52" s="1"/>
      <c r="P52" s="1"/>
      <c r="Q52" s="1"/>
      <c r="R52" s="1"/>
      <c r="S52" s="1"/>
      <c r="T52" s="1"/>
      <c r="U52" s="1"/>
      <c r="V52" s="1"/>
      <c r="W52" s="1"/>
      <c r="X52" s="1"/>
      <c r="Y52" s="1"/>
      <c r="Z52" s="1"/>
    </row>
    <row r="53" ht="13.5" customHeight="1">
      <c r="A53" s="1"/>
      <c r="B53" s="1"/>
      <c r="C53" s="165"/>
      <c r="D53" s="166" t="str">
        <f>+IF(C53="","",(C53-Insured_Age)+1)</f>
        <v/>
      </c>
      <c r="E53" s="165"/>
      <c r="F53" s="168"/>
      <c r="G53" s="128">
        <f>+COUNTIF($C$53:$C$87,C53)-COUNTIF(C54:$C$87,C53)</f>
        <v>0</v>
      </c>
      <c r="H53" s="1"/>
      <c r="I53" s="1"/>
      <c r="J53" s="38"/>
      <c r="K53" s="1"/>
      <c r="L53" s="1"/>
      <c r="M53" s="1"/>
      <c r="N53" s="1"/>
      <c r="O53" s="1"/>
      <c r="P53" s="1"/>
      <c r="Q53" s="1"/>
      <c r="R53" s="1"/>
      <c r="S53" s="1"/>
      <c r="T53" s="1"/>
      <c r="U53" s="1"/>
      <c r="V53" s="1"/>
      <c r="W53" s="1"/>
      <c r="X53" s="1"/>
      <c r="Y53" s="1"/>
      <c r="Z53" s="1"/>
    </row>
    <row r="54" ht="13.5" customHeight="1">
      <c r="A54" s="1"/>
      <c r="B54" s="1"/>
      <c r="C54" s="165"/>
      <c r="D54" s="166" t="str">
        <f>+IF(C54="","",(C54-Insured_Age)+1)</f>
        <v/>
      </c>
      <c r="E54" s="165"/>
      <c r="F54" s="168"/>
      <c r="G54" s="128">
        <f t="shared" ref="G54:G87" si="1">+COUNTIF($C$53:$C$77,C54)-COUNTIF($C55:C$77,C54)</f>
        <v>0</v>
      </c>
      <c r="H54" s="1"/>
      <c r="I54" s="1"/>
      <c r="J54" s="38"/>
      <c r="K54" s="1"/>
      <c r="L54" s="1"/>
      <c r="M54" s="1"/>
      <c r="N54" s="1"/>
      <c r="O54" s="1"/>
      <c r="P54" s="1"/>
      <c r="Q54" s="1"/>
      <c r="R54" s="1"/>
      <c r="S54" s="1"/>
      <c r="T54" s="1"/>
      <c r="U54" s="1"/>
      <c r="V54" s="1"/>
      <c r="W54" s="1"/>
      <c r="X54" s="1"/>
      <c r="Y54" s="1"/>
      <c r="Z54" s="1"/>
    </row>
    <row r="55" ht="13.5" customHeight="1">
      <c r="A55" s="1"/>
      <c r="B55" s="1"/>
      <c r="C55" s="165"/>
      <c r="D55" s="166" t="str">
        <f>+IF(C55="","",(C55-Insured_Age)+1)</f>
        <v/>
      </c>
      <c r="E55" s="165"/>
      <c r="F55" s="168"/>
      <c r="G55" s="128">
        <f t="shared" si="1"/>
        <v>0</v>
      </c>
      <c r="H55" s="1"/>
      <c r="I55" s="1"/>
      <c r="J55" s="38"/>
      <c r="K55" s="1"/>
      <c r="L55" s="1"/>
      <c r="M55" s="1"/>
      <c r="N55" s="1"/>
      <c r="O55" s="1"/>
      <c r="P55" s="1"/>
      <c r="Q55" s="1"/>
      <c r="R55" s="1"/>
      <c r="S55" s="1"/>
      <c r="T55" s="1"/>
      <c r="U55" s="1"/>
      <c r="V55" s="1"/>
      <c r="W55" s="1"/>
      <c r="X55" s="1"/>
      <c r="Y55" s="1"/>
      <c r="Z55" s="1"/>
    </row>
    <row r="56" ht="13.5" customHeight="1">
      <c r="A56" s="1"/>
      <c r="B56" s="1"/>
      <c r="C56" s="165"/>
      <c r="D56" s="166" t="str">
        <f>+IF(C56="","",(C56-Insured_Age)+1)</f>
        <v/>
      </c>
      <c r="E56" s="165"/>
      <c r="F56" s="168"/>
      <c r="G56" s="128">
        <f t="shared" si="1"/>
        <v>0</v>
      </c>
      <c r="H56" s="1"/>
      <c r="I56" s="1"/>
      <c r="J56" s="38"/>
      <c r="K56" s="1"/>
      <c r="L56" s="1"/>
      <c r="M56" s="1"/>
      <c r="N56" s="1"/>
      <c r="O56" s="1"/>
      <c r="P56" s="1"/>
      <c r="Q56" s="1"/>
      <c r="R56" s="1"/>
      <c r="S56" s="1"/>
      <c r="T56" s="1"/>
      <c r="U56" s="1"/>
      <c r="V56" s="1"/>
      <c r="W56" s="1"/>
      <c r="X56" s="1"/>
      <c r="Y56" s="1"/>
      <c r="Z56" s="1"/>
    </row>
    <row r="57" ht="13.5" customHeight="1">
      <c r="A57" s="1"/>
      <c r="B57" s="1"/>
      <c r="C57" s="165"/>
      <c r="D57" s="166" t="str">
        <f>+IF(C57="","",(C57-Insured_Age)+1)</f>
        <v/>
      </c>
      <c r="E57" s="165"/>
      <c r="F57" s="168"/>
      <c r="G57" s="128">
        <f t="shared" si="1"/>
        <v>0</v>
      </c>
      <c r="H57" s="1"/>
      <c r="I57" s="1"/>
      <c r="J57" s="38"/>
      <c r="K57" s="1"/>
      <c r="L57" s="1"/>
      <c r="M57" s="1"/>
      <c r="N57" s="1"/>
      <c r="O57" s="1"/>
      <c r="P57" s="1"/>
      <c r="Q57" s="1"/>
      <c r="R57" s="1"/>
      <c r="S57" s="1"/>
      <c r="T57" s="1"/>
      <c r="U57" s="1"/>
      <c r="V57" s="1"/>
      <c r="W57" s="1"/>
      <c r="X57" s="1"/>
      <c r="Y57" s="1"/>
      <c r="Z57" s="1"/>
    </row>
    <row r="58" ht="13.5" customHeight="1">
      <c r="A58" s="1"/>
      <c r="B58" s="1"/>
      <c r="C58" s="165"/>
      <c r="D58" s="166" t="str">
        <f>+IF(C58="","",(C58-Insured_Age)+1)</f>
        <v/>
      </c>
      <c r="E58" s="165"/>
      <c r="F58" s="168"/>
      <c r="G58" s="128">
        <f t="shared" si="1"/>
        <v>0</v>
      </c>
      <c r="H58" s="1"/>
      <c r="I58" s="1"/>
      <c r="J58" s="38"/>
      <c r="K58" s="1"/>
      <c r="L58" s="1"/>
      <c r="M58" s="1"/>
      <c r="N58" s="1"/>
      <c r="O58" s="1"/>
      <c r="P58" s="1"/>
      <c r="Q58" s="1"/>
      <c r="R58" s="1"/>
      <c r="S58" s="1"/>
      <c r="T58" s="1"/>
      <c r="U58" s="1"/>
      <c r="V58" s="1"/>
      <c r="W58" s="1"/>
      <c r="X58" s="1"/>
      <c r="Y58" s="1"/>
      <c r="Z58" s="1"/>
    </row>
    <row r="59" ht="13.5" customHeight="1">
      <c r="A59" s="1"/>
      <c r="B59" s="1"/>
      <c r="C59" s="165"/>
      <c r="D59" s="166" t="str">
        <f>+IF(C59="","",(C59-Insured_Age)+1)</f>
        <v/>
      </c>
      <c r="E59" s="165"/>
      <c r="F59" s="168"/>
      <c r="G59" s="128">
        <f t="shared" si="1"/>
        <v>0</v>
      </c>
      <c r="H59" s="1"/>
      <c r="I59" s="1"/>
      <c r="J59" s="38"/>
      <c r="K59" s="1"/>
      <c r="L59" s="1"/>
      <c r="M59" s="1"/>
      <c r="N59" s="1"/>
      <c r="O59" s="1"/>
      <c r="P59" s="1"/>
      <c r="Q59" s="1"/>
      <c r="R59" s="1"/>
      <c r="S59" s="1"/>
      <c r="T59" s="1"/>
      <c r="U59" s="1"/>
      <c r="V59" s="1"/>
      <c r="W59" s="1"/>
      <c r="X59" s="1"/>
      <c r="Y59" s="1"/>
      <c r="Z59" s="1"/>
    </row>
    <row r="60" ht="13.5" customHeight="1">
      <c r="A60" s="1"/>
      <c r="B60" s="1"/>
      <c r="C60" s="165"/>
      <c r="D60" s="166" t="str">
        <f>+IF(C60="","",(C60-Insured_Age)+1)</f>
        <v/>
      </c>
      <c r="E60" s="165"/>
      <c r="F60" s="168"/>
      <c r="G60" s="128">
        <f t="shared" si="1"/>
        <v>0</v>
      </c>
      <c r="H60" s="1"/>
      <c r="I60" s="1"/>
      <c r="J60" s="38"/>
      <c r="K60" s="1"/>
      <c r="L60" s="1"/>
      <c r="M60" s="1"/>
      <c r="N60" s="1"/>
      <c r="O60" s="1"/>
      <c r="P60" s="1"/>
      <c r="Q60" s="1"/>
      <c r="R60" s="1"/>
      <c r="S60" s="1"/>
      <c r="T60" s="1"/>
      <c r="U60" s="1"/>
      <c r="V60" s="1"/>
      <c r="W60" s="1"/>
      <c r="X60" s="1"/>
      <c r="Y60" s="1"/>
      <c r="Z60" s="1"/>
    </row>
    <row r="61" ht="13.5" customHeight="1">
      <c r="A61" s="1"/>
      <c r="B61" s="1"/>
      <c r="C61" s="165"/>
      <c r="D61" s="166" t="str">
        <f>+IF(C61="","",(C61-Insured_Age)+1)</f>
        <v/>
      </c>
      <c r="E61" s="165"/>
      <c r="F61" s="168"/>
      <c r="G61" s="128">
        <f t="shared" si="1"/>
        <v>0</v>
      </c>
      <c r="H61" s="1"/>
      <c r="I61" s="1"/>
      <c r="J61" s="38"/>
      <c r="K61" s="1"/>
      <c r="L61" s="1"/>
      <c r="M61" s="1"/>
      <c r="N61" s="1"/>
      <c r="O61" s="1"/>
      <c r="P61" s="1"/>
      <c r="Q61" s="1"/>
      <c r="R61" s="1"/>
      <c r="S61" s="1"/>
      <c r="T61" s="1"/>
      <c r="U61" s="1"/>
      <c r="V61" s="1"/>
      <c r="W61" s="1"/>
      <c r="X61" s="1"/>
      <c r="Y61" s="1"/>
      <c r="Z61" s="1"/>
    </row>
    <row r="62" ht="13.5" customHeight="1">
      <c r="A62" s="1"/>
      <c r="B62" s="1"/>
      <c r="C62" s="165"/>
      <c r="D62" s="166" t="str">
        <f>+IF(C62="","",(C62-Insured_Age)+1)</f>
        <v/>
      </c>
      <c r="E62" s="165"/>
      <c r="F62" s="168"/>
      <c r="G62" s="128">
        <f t="shared" si="1"/>
        <v>0</v>
      </c>
      <c r="H62" s="1"/>
      <c r="I62" s="1"/>
      <c r="J62" s="38"/>
      <c r="K62" s="1"/>
      <c r="L62" s="1"/>
      <c r="M62" s="1"/>
      <c r="N62" s="1"/>
      <c r="O62" s="1"/>
      <c r="P62" s="1"/>
      <c r="Q62" s="1"/>
      <c r="R62" s="1"/>
      <c r="S62" s="1"/>
      <c r="T62" s="1"/>
      <c r="U62" s="1"/>
      <c r="V62" s="1"/>
      <c r="W62" s="1"/>
      <c r="X62" s="1"/>
      <c r="Y62" s="1"/>
      <c r="Z62" s="1"/>
    </row>
    <row r="63" ht="13.5" customHeight="1">
      <c r="A63" s="1"/>
      <c r="B63" s="1"/>
      <c r="C63" s="165"/>
      <c r="D63" s="166" t="str">
        <f>+IF(C63="","",(C63-Insured_Age)+1)</f>
        <v/>
      </c>
      <c r="E63" s="165"/>
      <c r="F63" s="168"/>
      <c r="G63" s="128">
        <f t="shared" si="1"/>
        <v>0</v>
      </c>
      <c r="H63" s="1"/>
      <c r="I63" s="1"/>
      <c r="J63" s="38"/>
      <c r="K63" s="1"/>
      <c r="L63" s="1"/>
      <c r="M63" s="1"/>
      <c r="N63" s="1"/>
      <c r="O63" s="1"/>
      <c r="P63" s="1"/>
      <c r="Q63" s="1"/>
      <c r="R63" s="1"/>
      <c r="S63" s="1"/>
      <c r="T63" s="1"/>
      <c r="U63" s="1"/>
      <c r="V63" s="1"/>
      <c r="W63" s="1"/>
      <c r="X63" s="1"/>
      <c r="Y63" s="1"/>
      <c r="Z63" s="1"/>
    </row>
    <row r="64" ht="13.5" customHeight="1">
      <c r="A64" s="1"/>
      <c r="B64" s="1"/>
      <c r="C64" s="165"/>
      <c r="D64" s="166" t="str">
        <f>+IF(C64="","",(C64-Insured_Age)+1)</f>
        <v/>
      </c>
      <c r="E64" s="165"/>
      <c r="F64" s="168"/>
      <c r="G64" s="128">
        <f t="shared" si="1"/>
        <v>0</v>
      </c>
      <c r="H64" s="1"/>
      <c r="I64" s="1"/>
      <c r="J64" s="38"/>
      <c r="K64" s="1"/>
      <c r="L64" s="1"/>
      <c r="M64" s="1"/>
      <c r="N64" s="1"/>
      <c r="O64" s="1"/>
      <c r="P64" s="1"/>
      <c r="Q64" s="1"/>
      <c r="R64" s="1"/>
      <c r="S64" s="1"/>
      <c r="T64" s="1"/>
      <c r="U64" s="1"/>
      <c r="V64" s="1"/>
      <c r="W64" s="1"/>
      <c r="X64" s="1"/>
      <c r="Y64" s="1"/>
      <c r="Z64" s="1"/>
    </row>
    <row r="65" ht="13.5" customHeight="1">
      <c r="A65" s="1"/>
      <c r="B65" s="1"/>
      <c r="C65" s="165"/>
      <c r="D65" s="166" t="str">
        <f>+IF(C65="","",(C65-Insured_Age)+1)</f>
        <v/>
      </c>
      <c r="E65" s="165"/>
      <c r="F65" s="168"/>
      <c r="G65" s="128">
        <f t="shared" si="1"/>
        <v>0</v>
      </c>
      <c r="H65" s="1"/>
      <c r="I65" s="1"/>
      <c r="J65" s="38"/>
      <c r="K65" s="1"/>
      <c r="L65" s="1"/>
      <c r="M65" s="1"/>
      <c r="N65" s="1"/>
      <c r="O65" s="1"/>
      <c r="P65" s="1"/>
      <c r="Q65" s="1"/>
      <c r="R65" s="1"/>
      <c r="S65" s="1"/>
      <c r="T65" s="1"/>
      <c r="U65" s="1"/>
      <c r="V65" s="1"/>
      <c r="W65" s="1"/>
      <c r="X65" s="1"/>
      <c r="Y65" s="1"/>
      <c r="Z65" s="1"/>
    </row>
    <row r="66" ht="13.5" customHeight="1">
      <c r="A66" s="1"/>
      <c r="B66" s="1"/>
      <c r="C66" s="165"/>
      <c r="D66" s="166" t="str">
        <f>+IF(C66="","",(C66-Insured_Age)+1)</f>
        <v/>
      </c>
      <c r="E66" s="165"/>
      <c r="F66" s="168"/>
      <c r="G66" s="128">
        <f t="shared" si="1"/>
        <v>0</v>
      </c>
      <c r="H66" s="1"/>
      <c r="I66" s="1"/>
      <c r="J66" s="38"/>
      <c r="K66" s="1"/>
      <c r="L66" s="1"/>
      <c r="M66" s="1"/>
      <c r="N66" s="1"/>
      <c r="O66" s="1"/>
      <c r="P66" s="1"/>
      <c r="Q66" s="1"/>
      <c r="R66" s="1"/>
      <c r="S66" s="1"/>
      <c r="T66" s="1"/>
      <c r="U66" s="1"/>
      <c r="V66" s="1"/>
      <c r="W66" s="1"/>
      <c r="X66" s="1"/>
      <c r="Y66" s="1"/>
      <c r="Z66" s="1"/>
    </row>
    <row r="67" ht="13.5" customHeight="1">
      <c r="A67" s="1"/>
      <c r="B67" s="1"/>
      <c r="C67" s="165"/>
      <c r="D67" s="166" t="str">
        <f>+IF(C67="","",(C67-Insured_Age)+1)</f>
        <v/>
      </c>
      <c r="E67" s="165"/>
      <c r="F67" s="168"/>
      <c r="G67" s="128">
        <f t="shared" si="1"/>
        <v>0</v>
      </c>
      <c r="H67" s="1"/>
      <c r="I67" s="1"/>
      <c r="J67" s="38"/>
      <c r="K67" s="1"/>
      <c r="L67" s="1"/>
      <c r="M67" s="1"/>
      <c r="N67" s="1"/>
      <c r="O67" s="1"/>
      <c r="P67" s="1"/>
      <c r="Q67" s="1"/>
      <c r="R67" s="1"/>
      <c r="S67" s="1"/>
      <c r="T67" s="1"/>
      <c r="U67" s="1"/>
      <c r="V67" s="1"/>
      <c r="W67" s="1"/>
      <c r="X67" s="1"/>
      <c r="Y67" s="1"/>
      <c r="Z67" s="1"/>
    </row>
    <row r="68" ht="13.5" customHeight="1">
      <c r="A68" s="1"/>
      <c r="B68" s="1"/>
      <c r="C68" s="165"/>
      <c r="D68" s="166" t="str">
        <f>+IF(C68="","",(C68-Insured_Age)+1)</f>
        <v/>
      </c>
      <c r="E68" s="165"/>
      <c r="F68" s="168"/>
      <c r="G68" s="128">
        <f t="shared" si="1"/>
        <v>0</v>
      </c>
      <c r="H68" s="1"/>
      <c r="I68" s="1"/>
      <c r="J68" s="38"/>
      <c r="K68" s="1"/>
      <c r="L68" s="1"/>
      <c r="M68" s="1"/>
      <c r="N68" s="1"/>
      <c r="O68" s="1"/>
      <c r="P68" s="1"/>
      <c r="Q68" s="1"/>
      <c r="R68" s="1"/>
      <c r="S68" s="1"/>
      <c r="T68" s="1"/>
      <c r="U68" s="1"/>
      <c r="V68" s="1"/>
      <c r="W68" s="1"/>
      <c r="X68" s="1"/>
      <c r="Y68" s="1"/>
      <c r="Z68" s="1"/>
    </row>
    <row r="69" ht="13.5" customHeight="1">
      <c r="A69" s="1"/>
      <c r="B69" s="1"/>
      <c r="C69" s="165"/>
      <c r="D69" s="166" t="str">
        <f>+IF(C69="","",(C69-Insured_Age)+1)</f>
        <v/>
      </c>
      <c r="E69" s="165"/>
      <c r="F69" s="168"/>
      <c r="G69" s="128">
        <f t="shared" si="1"/>
        <v>0</v>
      </c>
      <c r="H69" s="1"/>
      <c r="I69" s="1"/>
      <c r="J69" s="38"/>
      <c r="K69" s="1"/>
      <c r="L69" s="1"/>
      <c r="M69" s="1"/>
      <c r="N69" s="1"/>
      <c r="O69" s="1"/>
      <c r="P69" s="1"/>
      <c r="Q69" s="1"/>
      <c r="R69" s="1"/>
      <c r="S69" s="1"/>
      <c r="T69" s="1"/>
      <c r="U69" s="1"/>
      <c r="V69" s="1"/>
      <c r="W69" s="1"/>
      <c r="X69" s="1"/>
      <c r="Y69" s="1"/>
      <c r="Z69" s="1"/>
    </row>
    <row r="70" ht="13.5" customHeight="1">
      <c r="A70" s="1"/>
      <c r="B70" s="1"/>
      <c r="C70" s="165"/>
      <c r="D70" s="166" t="str">
        <f>+IF(C70="","",(C70-Insured_Age)+1)</f>
        <v/>
      </c>
      <c r="E70" s="165"/>
      <c r="F70" s="168"/>
      <c r="G70" s="128">
        <f t="shared" si="1"/>
        <v>0</v>
      </c>
      <c r="H70" s="1"/>
      <c r="I70" s="1"/>
      <c r="J70" s="38"/>
      <c r="K70" s="1"/>
      <c r="L70" s="1"/>
      <c r="M70" s="1"/>
      <c r="N70" s="1"/>
      <c r="O70" s="1"/>
      <c r="P70" s="1"/>
      <c r="Q70" s="1"/>
      <c r="R70" s="1"/>
      <c r="S70" s="1"/>
      <c r="T70" s="1"/>
      <c r="U70" s="1"/>
      <c r="V70" s="1"/>
      <c r="W70" s="1"/>
      <c r="X70" s="1"/>
      <c r="Y70" s="1"/>
      <c r="Z70" s="1"/>
    </row>
    <row r="71" ht="13.5" customHeight="1">
      <c r="A71" s="1"/>
      <c r="B71" s="1"/>
      <c r="C71" s="165"/>
      <c r="D71" s="166" t="str">
        <f>+IF(C71="","",(C71-Insured_Age)+1)</f>
        <v/>
      </c>
      <c r="E71" s="165"/>
      <c r="F71" s="168"/>
      <c r="G71" s="128">
        <f t="shared" si="1"/>
        <v>0</v>
      </c>
      <c r="H71" s="1"/>
      <c r="I71" s="1"/>
      <c r="J71" s="38"/>
      <c r="K71" s="1"/>
      <c r="L71" s="1"/>
      <c r="M71" s="1"/>
      <c r="N71" s="1"/>
      <c r="O71" s="1"/>
      <c r="P71" s="1"/>
      <c r="Q71" s="1"/>
      <c r="R71" s="1"/>
      <c r="S71" s="1"/>
      <c r="T71" s="1"/>
      <c r="U71" s="1"/>
      <c r="V71" s="1"/>
      <c r="W71" s="1"/>
      <c r="X71" s="1"/>
      <c r="Y71" s="1"/>
      <c r="Z71" s="1"/>
    </row>
    <row r="72" ht="13.5" customHeight="1">
      <c r="A72" s="1"/>
      <c r="B72" s="1"/>
      <c r="C72" s="165"/>
      <c r="D72" s="166" t="str">
        <f>+IF(C72="","",(C72-Insured_Age)+1)</f>
        <v/>
      </c>
      <c r="E72" s="165"/>
      <c r="F72" s="168"/>
      <c r="G72" s="128">
        <f t="shared" si="1"/>
        <v>0</v>
      </c>
      <c r="H72" s="1"/>
      <c r="I72" s="1"/>
      <c r="J72" s="38"/>
      <c r="K72" s="1"/>
      <c r="L72" s="1"/>
      <c r="M72" s="1"/>
      <c r="N72" s="1"/>
      <c r="O72" s="1"/>
      <c r="P72" s="1"/>
      <c r="Q72" s="1"/>
      <c r="R72" s="1"/>
      <c r="S72" s="1"/>
      <c r="T72" s="1"/>
      <c r="U72" s="1"/>
      <c r="V72" s="1"/>
      <c r="W72" s="1"/>
      <c r="X72" s="1"/>
      <c r="Y72" s="1"/>
      <c r="Z72" s="1"/>
    </row>
    <row r="73" ht="13.5" customHeight="1">
      <c r="A73" s="1"/>
      <c r="B73" s="1"/>
      <c r="C73" s="165"/>
      <c r="D73" s="166" t="str">
        <f>+IF(C73="","",(C73-Insured_Age)+1)</f>
        <v/>
      </c>
      <c r="E73" s="165"/>
      <c r="F73" s="168"/>
      <c r="G73" s="128">
        <f t="shared" si="1"/>
        <v>0</v>
      </c>
      <c r="H73" s="1"/>
      <c r="I73" s="1"/>
      <c r="J73" s="38"/>
      <c r="K73" s="1"/>
      <c r="L73" s="1"/>
      <c r="M73" s="1"/>
      <c r="N73" s="1"/>
      <c r="O73" s="1"/>
      <c r="P73" s="1"/>
      <c r="Q73" s="1"/>
      <c r="R73" s="1"/>
      <c r="S73" s="1"/>
      <c r="T73" s="1"/>
      <c r="U73" s="1"/>
      <c r="V73" s="1"/>
      <c r="W73" s="1"/>
      <c r="X73" s="1"/>
      <c r="Y73" s="1"/>
      <c r="Z73" s="1"/>
    </row>
    <row r="74" ht="13.5" customHeight="1">
      <c r="A74" s="1"/>
      <c r="B74" s="1"/>
      <c r="C74" s="165"/>
      <c r="D74" s="166" t="str">
        <f>+IF(C74="","",(C74-Insured_Age)+1)</f>
        <v/>
      </c>
      <c r="E74" s="165"/>
      <c r="F74" s="168"/>
      <c r="G74" s="128">
        <f t="shared" si="1"/>
        <v>0</v>
      </c>
      <c r="H74" s="1"/>
      <c r="I74" s="1"/>
      <c r="J74" s="38"/>
      <c r="K74" s="1"/>
      <c r="L74" s="1"/>
      <c r="M74" s="1"/>
      <c r="N74" s="1"/>
      <c r="O74" s="1"/>
      <c r="P74" s="1"/>
      <c r="Q74" s="1"/>
      <c r="R74" s="1"/>
      <c r="S74" s="1"/>
      <c r="T74" s="1"/>
      <c r="U74" s="1"/>
      <c r="V74" s="1"/>
      <c r="W74" s="1"/>
      <c r="X74" s="1"/>
      <c r="Y74" s="1"/>
      <c r="Z74" s="1"/>
    </row>
    <row r="75" ht="13.5" customHeight="1">
      <c r="A75" s="1"/>
      <c r="B75" s="1"/>
      <c r="C75" s="165"/>
      <c r="D75" s="166" t="str">
        <f>+IF(C75="","",(C75-Insured_Age)+1)</f>
        <v/>
      </c>
      <c r="E75" s="165"/>
      <c r="F75" s="168"/>
      <c r="G75" s="128">
        <f t="shared" si="1"/>
        <v>0</v>
      </c>
      <c r="H75" s="1"/>
      <c r="I75" s="1"/>
      <c r="J75" s="38"/>
      <c r="K75" s="1"/>
      <c r="L75" s="1"/>
      <c r="M75" s="1"/>
      <c r="N75" s="1"/>
      <c r="O75" s="1"/>
      <c r="P75" s="1"/>
      <c r="Q75" s="1"/>
      <c r="R75" s="1"/>
      <c r="S75" s="1"/>
      <c r="T75" s="1"/>
      <c r="U75" s="1"/>
      <c r="V75" s="1"/>
      <c r="W75" s="1"/>
      <c r="X75" s="1"/>
      <c r="Y75" s="1"/>
      <c r="Z75" s="1"/>
    </row>
    <row r="76" ht="13.5" customHeight="1">
      <c r="A76" s="1"/>
      <c r="B76" s="1"/>
      <c r="C76" s="165"/>
      <c r="D76" s="166" t="str">
        <f>+IF(C76="","",(C76-Insured_Age)+1)</f>
        <v/>
      </c>
      <c r="E76" s="165"/>
      <c r="F76" s="168"/>
      <c r="G76" s="128">
        <f t="shared" si="1"/>
        <v>0</v>
      </c>
      <c r="H76" s="1"/>
      <c r="I76" s="1"/>
      <c r="J76" s="38"/>
      <c r="K76" s="1"/>
      <c r="L76" s="1"/>
      <c r="M76" s="1"/>
      <c r="N76" s="1"/>
      <c r="O76" s="1"/>
      <c r="P76" s="1"/>
      <c r="Q76" s="1"/>
      <c r="R76" s="1"/>
      <c r="S76" s="1"/>
      <c r="T76" s="1"/>
      <c r="U76" s="1"/>
      <c r="V76" s="1"/>
      <c r="W76" s="1"/>
      <c r="X76" s="1"/>
      <c r="Y76" s="1"/>
      <c r="Z76" s="1"/>
    </row>
    <row r="77" ht="13.5" customHeight="1">
      <c r="A77" s="1"/>
      <c r="B77" s="1"/>
      <c r="C77" s="165"/>
      <c r="D77" s="166" t="str">
        <f>+IF(C77="","",(C77-Insured_Age)+1)</f>
        <v/>
      </c>
      <c r="E77" s="165"/>
      <c r="F77" s="168"/>
      <c r="G77" s="128">
        <f t="shared" si="1"/>
        <v>0</v>
      </c>
      <c r="H77" s="1"/>
      <c r="I77" s="1"/>
      <c r="J77" s="38"/>
      <c r="K77" s="1"/>
      <c r="L77" s="1"/>
      <c r="M77" s="1"/>
      <c r="N77" s="1"/>
      <c r="O77" s="1"/>
      <c r="P77" s="1"/>
      <c r="Q77" s="1"/>
      <c r="R77" s="1"/>
      <c r="S77" s="1"/>
      <c r="T77" s="1"/>
      <c r="U77" s="1"/>
      <c r="V77" s="1"/>
      <c r="W77" s="1"/>
      <c r="X77" s="1"/>
      <c r="Y77" s="1"/>
      <c r="Z77" s="1"/>
    </row>
    <row r="78" ht="13.5" customHeight="1">
      <c r="A78" s="1"/>
      <c r="B78" s="1"/>
      <c r="C78" s="165"/>
      <c r="D78" s="166" t="str">
        <f>+IF(C78="","",(C78-Insured_Age)+1)</f>
        <v/>
      </c>
      <c r="E78" s="165"/>
      <c r="F78" s="168"/>
      <c r="G78" s="128">
        <f t="shared" si="1"/>
        <v>0</v>
      </c>
      <c r="H78" s="1"/>
      <c r="I78" s="1"/>
      <c r="J78" s="38"/>
      <c r="K78" s="1"/>
      <c r="L78" s="1"/>
      <c r="M78" s="1"/>
      <c r="N78" s="1"/>
      <c r="O78" s="1"/>
      <c r="P78" s="1"/>
      <c r="Q78" s="1"/>
      <c r="R78" s="1"/>
      <c r="S78" s="1"/>
      <c r="T78" s="1"/>
      <c r="U78" s="1"/>
      <c r="V78" s="1"/>
      <c r="W78" s="1"/>
      <c r="X78" s="1"/>
      <c r="Y78" s="1"/>
      <c r="Z78" s="1"/>
    </row>
    <row r="79" ht="13.5" customHeight="1">
      <c r="A79" s="1"/>
      <c r="B79" s="1"/>
      <c r="C79" s="165"/>
      <c r="D79" s="166" t="str">
        <f>+IF(C79="","",(C79-Insured_Age)+1)</f>
        <v/>
      </c>
      <c r="E79" s="165"/>
      <c r="F79" s="168"/>
      <c r="G79" s="128">
        <f t="shared" si="1"/>
        <v>0</v>
      </c>
      <c r="H79" s="1"/>
      <c r="I79" s="1"/>
      <c r="J79" s="38"/>
      <c r="K79" s="1"/>
      <c r="L79" s="1"/>
      <c r="M79" s="1"/>
      <c r="N79" s="1"/>
      <c r="O79" s="1"/>
      <c r="P79" s="1"/>
      <c r="Q79" s="1"/>
      <c r="R79" s="1"/>
      <c r="S79" s="1"/>
      <c r="T79" s="1"/>
      <c r="U79" s="1"/>
      <c r="V79" s="1"/>
      <c r="W79" s="1"/>
      <c r="X79" s="1"/>
      <c r="Y79" s="1"/>
      <c r="Z79" s="1"/>
    </row>
    <row r="80" ht="13.5" customHeight="1">
      <c r="A80" s="1"/>
      <c r="B80" s="1"/>
      <c r="C80" s="165"/>
      <c r="D80" s="166" t="str">
        <f>+IF(C80="","",(C80-Insured_Age)+1)</f>
        <v/>
      </c>
      <c r="E80" s="165"/>
      <c r="F80" s="168"/>
      <c r="G80" s="128">
        <f t="shared" si="1"/>
        <v>0</v>
      </c>
      <c r="H80" s="1"/>
      <c r="I80" s="1"/>
      <c r="J80" s="38"/>
      <c r="K80" s="1"/>
      <c r="L80" s="1"/>
      <c r="M80" s="1"/>
      <c r="N80" s="1"/>
      <c r="O80" s="1"/>
      <c r="P80" s="1"/>
      <c r="Q80" s="1"/>
      <c r="R80" s="1"/>
      <c r="S80" s="1"/>
      <c r="T80" s="1"/>
      <c r="U80" s="1"/>
      <c r="V80" s="1"/>
      <c r="W80" s="1"/>
      <c r="X80" s="1"/>
      <c r="Y80" s="1"/>
      <c r="Z80" s="1"/>
    </row>
    <row r="81" ht="13.5" customHeight="1">
      <c r="A81" s="1"/>
      <c r="B81" s="1"/>
      <c r="C81" s="165"/>
      <c r="D81" s="166" t="str">
        <f>+IF(C81="","",(C81-Insured_Age)+1)</f>
        <v/>
      </c>
      <c r="E81" s="165"/>
      <c r="F81" s="168"/>
      <c r="G81" s="128">
        <f t="shared" si="1"/>
        <v>0</v>
      </c>
      <c r="H81" s="1"/>
      <c r="I81" s="1"/>
      <c r="J81" s="38"/>
      <c r="K81" s="1"/>
      <c r="L81" s="1"/>
      <c r="M81" s="1"/>
      <c r="N81" s="1"/>
      <c r="O81" s="1"/>
      <c r="P81" s="1"/>
      <c r="Q81" s="1"/>
      <c r="R81" s="1"/>
      <c r="S81" s="1"/>
      <c r="T81" s="1"/>
      <c r="U81" s="1"/>
      <c r="V81" s="1"/>
      <c r="W81" s="1"/>
      <c r="X81" s="1"/>
      <c r="Y81" s="1"/>
      <c r="Z81" s="1"/>
    </row>
    <row r="82" ht="13.5" customHeight="1">
      <c r="A82" s="1"/>
      <c r="B82" s="1"/>
      <c r="C82" s="165"/>
      <c r="D82" s="166" t="str">
        <f>+IF(C82="","",(C82-Insured_Age)+1)</f>
        <v/>
      </c>
      <c r="E82" s="165"/>
      <c r="F82" s="168"/>
      <c r="G82" s="128">
        <f t="shared" si="1"/>
        <v>0</v>
      </c>
      <c r="H82" s="1"/>
      <c r="I82" s="1"/>
      <c r="J82" s="38"/>
      <c r="K82" s="1"/>
      <c r="L82" s="1"/>
      <c r="M82" s="1"/>
      <c r="N82" s="1"/>
      <c r="O82" s="1"/>
      <c r="P82" s="1"/>
      <c r="Q82" s="1"/>
      <c r="R82" s="1"/>
      <c r="S82" s="1"/>
      <c r="T82" s="1"/>
      <c r="U82" s="1"/>
      <c r="V82" s="1"/>
      <c r="W82" s="1"/>
      <c r="X82" s="1"/>
      <c r="Y82" s="1"/>
      <c r="Z82" s="1"/>
    </row>
    <row r="83" ht="13.5" customHeight="1">
      <c r="A83" s="1"/>
      <c r="B83" s="1"/>
      <c r="C83" s="165"/>
      <c r="D83" s="166" t="str">
        <f>+IF(C83="","",(C83-Insured_Age)+1)</f>
        <v/>
      </c>
      <c r="E83" s="165"/>
      <c r="F83" s="168"/>
      <c r="G83" s="128">
        <f t="shared" si="1"/>
        <v>0</v>
      </c>
      <c r="H83" s="1"/>
      <c r="I83" s="1"/>
      <c r="J83" s="38"/>
      <c r="K83" s="1"/>
      <c r="L83" s="1"/>
      <c r="M83" s="1"/>
      <c r="N83" s="1"/>
      <c r="O83" s="1"/>
      <c r="P83" s="1"/>
      <c r="Q83" s="1"/>
      <c r="R83" s="1"/>
      <c r="S83" s="1"/>
      <c r="T83" s="1"/>
      <c r="U83" s="1"/>
      <c r="V83" s="1"/>
      <c r="W83" s="1"/>
      <c r="X83" s="1"/>
      <c r="Y83" s="1"/>
      <c r="Z83" s="1"/>
    </row>
    <row r="84" ht="13.5" customHeight="1">
      <c r="A84" s="1"/>
      <c r="B84" s="1"/>
      <c r="C84" s="165"/>
      <c r="D84" s="166" t="str">
        <f>+IF(C84="","",(C84-Insured_Age)+1)</f>
        <v/>
      </c>
      <c r="E84" s="165"/>
      <c r="F84" s="168"/>
      <c r="G84" s="128">
        <f t="shared" si="1"/>
        <v>0</v>
      </c>
      <c r="H84" s="1"/>
      <c r="I84" s="1"/>
      <c r="J84" s="38"/>
      <c r="K84" s="1"/>
      <c r="L84" s="1"/>
      <c r="M84" s="1"/>
      <c r="N84" s="1"/>
      <c r="O84" s="1"/>
      <c r="P84" s="1"/>
      <c r="Q84" s="1"/>
      <c r="R84" s="1"/>
      <c r="S84" s="1"/>
      <c r="T84" s="1"/>
      <c r="U84" s="1"/>
      <c r="V84" s="1"/>
      <c r="W84" s="1"/>
      <c r="X84" s="1"/>
      <c r="Y84" s="1"/>
      <c r="Z84" s="1"/>
    </row>
    <row r="85" ht="13.5" customHeight="1">
      <c r="A85" s="1"/>
      <c r="B85" s="1"/>
      <c r="C85" s="165"/>
      <c r="D85" s="166" t="str">
        <f>+IF(C85="","",(C85-Insured_Age)+1)</f>
        <v/>
      </c>
      <c r="E85" s="165"/>
      <c r="F85" s="168"/>
      <c r="G85" s="128">
        <f t="shared" si="1"/>
        <v>0</v>
      </c>
      <c r="H85" s="1"/>
      <c r="I85" s="1"/>
      <c r="J85" s="38"/>
      <c r="K85" s="1"/>
      <c r="L85" s="1"/>
      <c r="M85" s="1"/>
      <c r="N85" s="1"/>
      <c r="O85" s="1"/>
      <c r="P85" s="1"/>
      <c r="Q85" s="1"/>
      <c r="R85" s="1"/>
      <c r="S85" s="1"/>
      <c r="T85" s="1"/>
      <c r="U85" s="1"/>
      <c r="V85" s="1"/>
      <c r="W85" s="1"/>
      <c r="X85" s="1"/>
      <c r="Y85" s="1"/>
      <c r="Z85" s="1"/>
    </row>
    <row r="86" ht="13.5" customHeight="1">
      <c r="A86" s="1"/>
      <c r="B86" s="1"/>
      <c r="C86" s="165"/>
      <c r="D86" s="166" t="str">
        <f>+IF(C86="","",(C86-Insured_Age)+1)</f>
        <v/>
      </c>
      <c r="E86" s="165"/>
      <c r="F86" s="168"/>
      <c r="G86" s="128">
        <f t="shared" si="1"/>
        <v>0</v>
      </c>
      <c r="H86" s="1"/>
      <c r="I86" s="1"/>
      <c r="J86" s="38"/>
      <c r="K86" s="1"/>
      <c r="L86" s="1"/>
      <c r="M86" s="1"/>
      <c r="N86" s="1"/>
      <c r="O86" s="1"/>
      <c r="P86" s="1"/>
      <c r="Q86" s="1"/>
      <c r="R86" s="1"/>
      <c r="S86" s="1"/>
      <c r="T86" s="1"/>
      <c r="U86" s="1"/>
      <c r="V86" s="1"/>
      <c r="W86" s="1"/>
      <c r="X86" s="1"/>
      <c r="Y86" s="1"/>
      <c r="Z86" s="1"/>
    </row>
    <row r="87" ht="13.5" customHeight="1">
      <c r="A87" s="1"/>
      <c r="B87" s="1"/>
      <c r="C87" s="165"/>
      <c r="D87" s="166" t="str">
        <f>+IF(C87="","",(C87-Insured_Age)+1)</f>
        <v/>
      </c>
      <c r="E87" s="165"/>
      <c r="F87" s="168"/>
      <c r="G87" s="128">
        <f t="shared" si="1"/>
        <v>0</v>
      </c>
      <c r="H87" s="1"/>
      <c r="I87" s="1"/>
      <c r="J87" s="38"/>
      <c r="K87" s="1"/>
      <c r="L87" s="1"/>
      <c r="M87" s="1"/>
      <c r="N87" s="1"/>
      <c r="O87" s="1"/>
      <c r="P87" s="1"/>
      <c r="Q87" s="1"/>
      <c r="R87" s="1"/>
      <c r="S87" s="1"/>
      <c r="T87" s="1"/>
      <c r="U87" s="1"/>
      <c r="V87" s="1"/>
      <c r="W87" s="1"/>
      <c r="X87" s="1"/>
      <c r="Y87" s="1"/>
      <c r="Z87" s="1"/>
    </row>
    <row r="88" ht="13.5" customHeight="1">
      <c r="A88" s="1"/>
      <c r="B88" s="171"/>
      <c r="C88" s="171"/>
      <c r="D88" s="171"/>
      <c r="E88" s="171"/>
      <c r="F88" s="171"/>
      <c r="G88" s="171"/>
      <c r="H88" s="171"/>
      <c r="I88" s="171"/>
      <c r="J88" s="172"/>
      <c r="K88" s="1"/>
      <c r="L88" s="1"/>
      <c r="M88" s="1"/>
      <c r="N88" s="1"/>
      <c r="O88" s="1"/>
      <c r="P88" s="1"/>
      <c r="Q88" s="1"/>
      <c r="R88" s="1"/>
      <c r="S88" s="1"/>
      <c r="T88" s="1"/>
      <c r="U88" s="1"/>
      <c r="V88" s="1"/>
      <c r="W88" s="1"/>
      <c r="X88" s="1"/>
      <c r="Y88" s="1"/>
      <c r="Z88" s="1"/>
    </row>
    <row r="89" ht="13.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3.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3.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3.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3.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3.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3.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3.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3.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3.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3.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3.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3.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3.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3.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3.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3.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3.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3.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3.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3.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3.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3.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3.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3.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3.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3.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3.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3.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3.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3.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3.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3.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3.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3.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3.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3.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3.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3.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3.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3.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3.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3.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3.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3.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3.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3.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3.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3.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3.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3.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3.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3.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3.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3.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3.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3.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3.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3.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3.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3.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3.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3.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3.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3.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3.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3.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3.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3.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3.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3.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3.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3.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3.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3.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3.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3.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3.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3.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3.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3.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3.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3.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3.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3.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3.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3.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3.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3.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3.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3.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3.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3.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3.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3.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3.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3.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3.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3.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3.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3.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3.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3.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3.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3.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3.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3.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3.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3.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3.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3.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3.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3.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3.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3.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3.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3.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3.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3.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3.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3.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3.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3.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3.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3.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3.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3.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3.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3.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3.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3.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3.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3.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3.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3.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3.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3.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3.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3.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3.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3.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3.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3.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3.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3.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3.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3.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3.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3.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3.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3.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3.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3.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3.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3.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3.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3.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3.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3.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3.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3.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3.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3.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3.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3.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3.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3.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3.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3.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3.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3.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3.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3.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3.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3.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3.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3.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3.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3.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3.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3.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3.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3.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3.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3.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3.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3.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3.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3.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3.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3.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3.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3.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3.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3.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3.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3.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3.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3.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3.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3.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3.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3.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3.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3.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3.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3.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3.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3.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3.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3.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3.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3.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3.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3.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3.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3.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3.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3.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3.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3.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3.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3.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3.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3.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3.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3.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3.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3.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3.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3.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3.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3.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3.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3.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3.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3.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3.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3.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3.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3.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3.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3.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3.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3.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3.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3.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3.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3.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3.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3.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3.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3.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3.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3.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3.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3.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3.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3.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3.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3.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3.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3.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3.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3.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3.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3.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3.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3.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3.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3.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3.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3.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3.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3.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3.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3.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3.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3.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3.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3.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3.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3.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3.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3.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3.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3.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3.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3.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3.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3.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3.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3.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3.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3.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3.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3.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3.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3.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3.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3.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3.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3.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3.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3.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3.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3.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3.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3.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3.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3.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3.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3.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3.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3.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3.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3.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3.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3.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3.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3.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3.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3.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3.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3.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3.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3.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3.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3.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3.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3.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3.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3.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3.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3.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3.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3.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3.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3.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3.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3.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3.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3.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3.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3.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3.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3.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3.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3.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3.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3.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3.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3.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3.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3.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3.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3.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3.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3.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3.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3.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3.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3.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3.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3.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3.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3.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3.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3.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3.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3.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3.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3.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3.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3.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3.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3.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3.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3.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3.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3.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3.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3.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3.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3.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3.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3.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3.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3.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3.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3.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3.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3.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3.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3.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3.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3.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3.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3.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3.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3.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3.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3.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3.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3.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3.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3.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3.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3.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3.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3.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3.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3.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3.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3.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3.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3.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3.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3.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3.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3.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3.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3.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3.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3.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3.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3.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3.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3.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3.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3.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3.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3.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3.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3.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3.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3.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3.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3.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3.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3.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3.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3.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3.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3.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3.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3.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3.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3.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3.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3.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3.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3.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3.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3.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3.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3.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3.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3.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3.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3.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3.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3.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3.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3.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3.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3.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3.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3.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3.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3.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3.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3.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3.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3.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3.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3.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3.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3.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3.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3.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3.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3.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3.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3.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3.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3.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3.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3.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3.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3.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3.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3.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3.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3.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3.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3.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3.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3.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3.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3.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3.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3.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3.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3.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3.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3.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3.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3.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3.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3.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3.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3.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3.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3.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3.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3.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3.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3.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3.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3.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3.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3.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3.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3.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3.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3.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3.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3.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3.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3.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3.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3.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3.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3.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3.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3.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3.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3.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3.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3.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3.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3.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3.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3.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3.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3.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3.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3.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3.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3.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3.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3.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3.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3.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3.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3.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3.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3.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3.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3.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3.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3.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3.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3.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3.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3.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3.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3.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3.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3.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3.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3.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3.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3.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3.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3.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3.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3.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3.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3.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3.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3.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3.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3.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3.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3.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3.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3.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3.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3.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3.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3.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3.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3.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3.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3.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3.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3.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3.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3.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3.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3.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3.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3.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3.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3.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3.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3.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3.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3.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3.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3.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3.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3.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3.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3.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3.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3.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3.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3.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3.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3.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3.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3.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3.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3.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3.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3.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3.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3.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3.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3.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3.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3.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3.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3.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3.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3.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3.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3.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3.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3.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3.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3.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3.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3.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3.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3.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3.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3.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3.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3.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3.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3.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3.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3.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3.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3.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3.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3.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3.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3.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3.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3.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3.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3.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3.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3.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3.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3.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3.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3.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3.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3.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3.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3.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3.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3.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3.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3.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3.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3.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3.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3.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3.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3.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3.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3.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3.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3.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3.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3.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3.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3.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3.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3.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3.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3.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3.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3.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3.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3.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3.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3.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3.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3.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3.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3.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3.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3.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3.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3.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3.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3.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3.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3.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3.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3.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3.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3.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3.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3.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3.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3.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3.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3.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3.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3.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3.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3.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3.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3.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3.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3.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3.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3.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3.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3.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3.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3.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3.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3.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3.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3.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3.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3.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3.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3.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3.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3.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3.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3.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3.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3.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3.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3.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3.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3.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3.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3.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3.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3.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3.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3.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3.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3.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3.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3.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3.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3.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3.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3.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3.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3.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3.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3.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3.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3.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3.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3.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3.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3.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3.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3.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3.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3.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3.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3.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3.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3.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3.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3.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3.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3.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3.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3.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3.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3.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3.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3.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3.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3.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3.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3.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3.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3.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3.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3.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3.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3.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3.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3.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3.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3.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3.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3.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3.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3.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3.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3.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3.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3.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3.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3.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3.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3.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3.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3.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3.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3.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3.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3.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3.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3.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3.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3.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3.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3.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3.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3.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3.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3.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3.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3.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3.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3.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3.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3.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3.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3.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3.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3.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3.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3.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3.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3.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3.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3.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3.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3.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3.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3.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3.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3.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3.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3.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3.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3.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3.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3.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3.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3.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3.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3.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3.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3.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3.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3.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3.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3.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3.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3.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3.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3.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3.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3.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3.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3.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3.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3.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3.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3.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3.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3.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3.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3.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3.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3.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3.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3.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3.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3.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3.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3.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3.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3.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3.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3.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3.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3.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3.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dataValidations>
    <dataValidation type="list" allowBlank="1" showErrorMessage="1" sqref="D12 H12">
      <formula1>"Male,Female"</formula1>
    </dataValidation>
    <dataValidation type="custom" allowBlank="1" showInputMessage="1" showErrorMessage="1" prompt="Total = 100%" sqref="H21">
      <formula1>OR(H21&lt;=1,H21&gt;=1)</formula1>
    </dataValidation>
    <dataValidation type="custom" allowBlank="1" showInputMessage="1" showErrorMessage="1" prompt="Minimal Penarikan Rp.1.000.000_x000a_Minimal Sisa Nilai Polis Setelah Penarikan Rp.2.500.000 Per Dana Investasi _x000a_Penarikan &gt; 2 X Dalam 1 Tahun Polis dikenakan biaya 1.25%" sqref="F53:F87">
      <formula1>OR(F53=0,F53&gt;=1000000)</formula1>
    </dataValidation>
    <dataValidation type="custom" allowBlank="1" showInputMessage="1" showErrorMessage="1" prompt="Incorrect Min Premium/ SA - Minimum Single Premium IDR 50 Mio_x000a_Minimum Sum Assured IDR 100 Mio" sqref="D27">
      <formula1>AND($D$27&gt;=50000000,$D$32&gt;=100000000)</formula1>
    </dataValidation>
    <dataValidation type="custom" allowBlank="1" showInputMessage="1" showErrorMessage="1" prompt="Minimal Top Up Irreguler : 1.000.000" sqref="F38:F50">
      <formula1>OR(F38=0,F38&gt;=1000000)</formula1>
    </dataValidation>
  </dataValidations>
  <printOptions/>
  <pageMargins bottom="0.75" footer="0.0" header="0.0" left="0.7" right="0.7" top="0.75"/>
  <pageSetup fitToHeight="0" orientation="portrait"/>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fitToPage="1"/>
  </sheetPr>
  <sheetViews>
    <sheetView showGridLines="0" workbookViewId="0"/>
  </sheetViews>
  <sheetFormatPr customHeight="1" defaultColWidth="14.43" defaultRowHeight="15.0"/>
  <cols>
    <col customWidth="1" min="1" max="1" width="32.14"/>
    <col customWidth="1" min="2" max="2" width="5.14"/>
    <col customWidth="1" min="3" max="3" width="25.0"/>
    <col customWidth="1" min="4" max="4" width="21.14"/>
    <col customWidth="1" min="5" max="5" width="2.57"/>
    <col customWidth="1" min="6" max="6" width="17.57"/>
    <col customWidth="1" min="7" max="7" width="20.57"/>
    <col customWidth="1" min="8" max="11" width="21.43"/>
    <col customWidth="1" min="12" max="26" width="8.71"/>
  </cols>
  <sheetData>
    <row r="1" ht="14.25" customHeight="1">
      <c r="A1" s="2"/>
      <c r="B1" s="4"/>
      <c r="C1" s="2"/>
      <c r="D1" s="2"/>
      <c r="E1" s="4"/>
      <c r="F1" s="2"/>
      <c r="G1" s="4"/>
      <c r="H1" s="4"/>
      <c r="I1" s="4"/>
      <c r="J1" s="4"/>
      <c r="K1" s="4"/>
      <c r="L1" s="4"/>
      <c r="M1" s="4"/>
      <c r="N1" s="4"/>
      <c r="O1" s="4"/>
      <c r="P1" s="4"/>
      <c r="Q1" s="4"/>
      <c r="R1" s="4"/>
      <c r="S1" s="4"/>
      <c r="T1" s="4"/>
      <c r="U1" s="4"/>
      <c r="V1" s="4"/>
      <c r="W1" s="4"/>
      <c r="X1" s="4"/>
      <c r="Y1" s="4"/>
      <c r="Z1" s="4"/>
    </row>
    <row r="2" ht="19.5" customHeight="1">
      <c r="A2" s="13" t="s">
        <v>3</v>
      </c>
      <c r="B2" s="5"/>
      <c r="C2" s="5"/>
      <c r="D2" s="5"/>
      <c r="E2" s="5"/>
      <c r="F2" s="5"/>
      <c r="G2" s="8"/>
      <c r="H2" s="4"/>
      <c r="I2" s="4"/>
      <c r="J2" s="4"/>
      <c r="K2" s="4"/>
      <c r="L2" s="4"/>
      <c r="M2" s="4"/>
      <c r="N2" s="4"/>
      <c r="O2" s="4"/>
      <c r="P2" s="4"/>
      <c r="Q2" s="4"/>
      <c r="R2" s="4"/>
      <c r="S2" s="4"/>
      <c r="T2" s="4"/>
      <c r="U2" s="4"/>
      <c r="V2" s="4"/>
      <c r="W2" s="4"/>
      <c r="X2" s="4"/>
      <c r="Y2" s="4"/>
      <c r="Z2" s="4"/>
    </row>
    <row r="3" ht="7.5" customHeight="1">
      <c r="A3" s="17"/>
      <c r="B3" s="17"/>
      <c r="C3" s="17"/>
      <c r="D3" s="17"/>
      <c r="E3" s="17"/>
      <c r="F3" s="17"/>
      <c r="G3" s="17"/>
      <c r="H3" s="4"/>
      <c r="I3" s="4"/>
      <c r="J3" s="4"/>
      <c r="K3" s="4"/>
      <c r="L3" s="4"/>
      <c r="M3" s="4"/>
      <c r="N3" s="4"/>
      <c r="O3" s="4"/>
      <c r="P3" s="4"/>
      <c r="Q3" s="4"/>
      <c r="R3" s="4"/>
      <c r="S3" s="4"/>
      <c r="T3" s="4"/>
      <c r="U3" s="4"/>
      <c r="V3" s="4"/>
      <c r="W3" s="4"/>
      <c r="X3" s="4"/>
      <c r="Y3" s="4"/>
      <c r="Z3" s="4"/>
    </row>
    <row r="4" ht="15.0" customHeight="1">
      <c r="A4" s="24" t="s">
        <v>6</v>
      </c>
      <c r="B4" s="26" t="s">
        <v>8</v>
      </c>
      <c r="C4" s="33" t="str">
        <f>input!H10</f>
        <v>Test</v>
      </c>
      <c r="D4" s="24" t="s">
        <v>12</v>
      </c>
      <c r="E4" s="35" t="s">
        <v>8</v>
      </c>
      <c r="F4" s="41">
        <f>input!D27</f>
        <v>220000778</v>
      </c>
      <c r="G4" s="43"/>
      <c r="H4" s="4"/>
      <c r="I4" s="4"/>
      <c r="J4" s="4"/>
      <c r="K4" s="4"/>
      <c r="L4" s="4"/>
      <c r="M4" s="4"/>
      <c r="N4" s="4"/>
      <c r="O4" s="4"/>
      <c r="P4" s="4"/>
      <c r="Q4" s="4"/>
      <c r="R4" s="4"/>
      <c r="S4" s="4"/>
      <c r="T4" s="4"/>
      <c r="U4" s="4"/>
      <c r="V4" s="4"/>
      <c r="W4" s="4"/>
      <c r="X4" s="4"/>
      <c r="Y4" s="4"/>
      <c r="Z4" s="4"/>
    </row>
    <row r="5" ht="15.0" customHeight="1">
      <c r="A5" s="46" t="s">
        <v>18</v>
      </c>
      <c r="B5" s="48" t="s">
        <v>8</v>
      </c>
      <c r="C5" s="55">
        <f>input!H13</f>
        <v>24184</v>
      </c>
      <c r="D5" s="46"/>
      <c r="E5" s="58"/>
      <c r="F5" s="60"/>
      <c r="G5" s="62"/>
      <c r="H5" s="4"/>
      <c r="I5" s="4"/>
      <c r="J5" s="4"/>
      <c r="K5" s="4"/>
      <c r="L5" s="4"/>
      <c r="M5" s="4"/>
      <c r="N5" s="4"/>
      <c r="O5" s="4"/>
      <c r="P5" s="4"/>
      <c r="Q5" s="4"/>
      <c r="R5" s="4"/>
      <c r="S5" s="4"/>
      <c r="T5" s="4"/>
      <c r="U5" s="4"/>
      <c r="V5" s="4"/>
      <c r="W5" s="4"/>
      <c r="X5" s="4"/>
      <c r="Y5" s="4"/>
      <c r="Z5" s="4"/>
    </row>
    <row r="6" ht="15.0" customHeight="1">
      <c r="A6" s="46" t="s">
        <v>28</v>
      </c>
      <c r="B6" s="48" t="s">
        <v>8</v>
      </c>
      <c r="C6" s="71" t="str">
        <f>name</f>
        <v>Test</v>
      </c>
      <c r="D6" s="46" t="s">
        <v>34</v>
      </c>
      <c r="E6" s="58" t="s">
        <v>8</v>
      </c>
      <c r="F6" s="77">
        <f>SUM(input!E38:E50)</f>
        <v>100000000</v>
      </c>
      <c r="G6" s="43"/>
      <c r="H6" s="80"/>
      <c r="I6" s="80"/>
      <c r="J6" s="80"/>
      <c r="K6" s="80"/>
      <c r="L6" s="4"/>
      <c r="M6" s="4"/>
      <c r="N6" s="4"/>
      <c r="O6" s="4"/>
      <c r="P6" s="4"/>
      <c r="Q6" s="4"/>
      <c r="R6" s="4"/>
      <c r="S6" s="4"/>
      <c r="T6" s="4"/>
      <c r="U6" s="4"/>
      <c r="V6" s="4"/>
      <c r="W6" s="4"/>
      <c r="X6" s="4"/>
      <c r="Y6" s="4"/>
      <c r="Z6" s="4"/>
    </row>
    <row r="7" ht="15.0" customHeight="1">
      <c r="A7" s="46" t="s">
        <v>18</v>
      </c>
      <c r="B7" s="48" t="s">
        <v>8</v>
      </c>
      <c r="C7" s="55">
        <f>input!D13</f>
        <v>23743</v>
      </c>
      <c r="D7" s="46"/>
      <c r="E7" s="58"/>
      <c r="F7" s="60"/>
      <c r="G7" s="62"/>
      <c r="H7" s="80"/>
      <c r="I7" s="80"/>
      <c r="J7" s="80"/>
      <c r="K7" s="80"/>
      <c r="L7" s="4"/>
      <c r="M7" s="4"/>
      <c r="N7" s="4"/>
      <c r="O7" s="4"/>
      <c r="P7" s="4"/>
      <c r="Q7" s="4"/>
      <c r="R7" s="4"/>
      <c r="S7" s="4"/>
      <c r="T7" s="4"/>
      <c r="U7" s="4"/>
      <c r="V7" s="4"/>
      <c r="W7" s="4"/>
      <c r="X7" s="4"/>
      <c r="Y7" s="4"/>
      <c r="Z7" s="4"/>
    </row>
    <row r="8" ht="15.0" customHeight="1">
      <c r="A8" s="46" t="s">
        <v>40</v>
      </c>
      <c r="B8" s="48" t="s">
        <v>8</v>
      </c>
      <c r="C8" s="89">
        <f>Insured_Age</f>
        <v>60</v>
      </c>
      <c r="D8" s="46" t="s">
        <v>48</v>
      </c>
      <c r="E8" s="58" t="s">
        <v>8</v>
      </c>
      <c r="F8" s="92">
        <v>100000.0</v>
      </c>
      <c r="G8" s="94"/>
      <c r="H8" s="80"/>
      <c r="I8" s="80"/>
      <c r="J8" s="80"/>
      <c r="K8" s="80"/>
      <c r="L8" s="4"/>
      <c r="M8" s="4"/>
      <c r="N8" s="4"/>
      <c r="O8" s="4"/>
      <c r="P8" s="4"/>
      <c r="Q8" s="4"/>
      <c r="R8" s="4"/>
      <c r="S8" s="4"/>
      <c r="T8" s="4"/>
      <c r="U8" s="4"/>
      <c r="V8" s="4"/>
      <c r="W8" s="4"/>
      <c r="X8" s="4"/>
      <c r="Y8" s="4"/>
      <c r="Z8" s="4"/>
    </row>
    <row r="9" ht="15.0" customHeight="1">
      <c r="A9" s="46" t="s">
        <v>51</v>
      </c>
      <c r="B9" s="48" t="s">
        <v>8</v>
      </c>
      <c r="C9" s="55">
        <f>input!D5</f>
        <v>45793</v>
      </c>
      <c r="D9" s="46"/>
      <c r="E9" s="58"/>
      <c r="F9" s="60"/>
      <c r="G9" s="62"/>
      <c r="H9" s="80"/>
      <c r="I9" s="80"/>
      <c r="J9" s="80"/>
      <c r="K9" s="80"/>
      <c r="L9" s="4"/>
      <c r="M9" s="4"/>
      <c r="N9" s="4"/>
      <c r="O9" s="4"/>
      <c r="P9" s="4"/>
      <c r="Q9" s="4"/>
      <c r="R9" s="4"/>
      <c r="S9" s="4"/>
      <c r="T9" s="4"/>
      <c r="U9" s="4"/>
      <c r="V9" s="4"/>
      <c r="W9" s="4"/>
      <c r="X9" s="4"/>
      <c r="Y9" s="4"/>
      <c r="Z9" s="4"/>
    </row>
    <row r="10" ht="15.0" customHeight="1">
      <c r="A10" s="46" t="s">
        <v>53</v>
      </c>
      <c r="B10" s="48" t="s">
        <v>8</v>
      </c>
      <c r="C10" s="55">
        <f>DATE(YEAR(C9)+(80-C8),MONTH(C9),DAY(C9)-1)</f>
        <v>53097</v>
      </c>
      <c r="D10" s="46" t="s">
        <v>70</v>
      </c>
      <c r="E10" s="58" t="s">
        <v>8</v>
      </c>
      <c r="F10" s="77">
        <f>SUM(F4:G8)</f>
        <v>320100778</v>
      </c>
      <c r="G10" s="43"/>
      <c r="H10" s="80"/>
      <c r="I10" s="80"/>
      <c r="J10" s="80"/>
      <c r="K10" s="80"/>
      <c r="L10" s="4"/>
      <c r="M10" s="4"/>
      <c r="N10" s="4"/>
      <c r="O10" s="4"/>
      <c r="P10" s="4"/>
      <c r="Q10" s="4"/>
      <c r="R10" s="4"/>
      <c r="S10" s="4"/>
      <c r="T10" s="4"/>
      <c r="U10" s="4"/>
      <c r="V10" s="4"/>
      <c r="W10" s="4"/>
      <c r="X10" s="4"/>
      <c r="Y10" s="4"/>
      <c r="Z10" s="4"/>
    </row>
    <row r="11" ht="15.0" customHeight="1">
      <c r="A11" s="46" t="s">
        <v>74</v>
      </c>
      <c r="B11" s="48" t="s">
        <v>8</v>
      </c>
      <c r="C11" s="71" t="s">
        <v>75</v>
      </c>
      <c r="D11" s="115"/>
      <c r="E11" s="4"/>
      <c r="F11" s="118"/>
      <c r="G11" s="4"/>
      <c r="H11" s="80"/>
      <c r="I11" s="80"/>
      <c r="J11" s="80"/>
      <c r="K11" s="80"/>
      <c r="L11" s="4"/>
      <c r="M11" s="4"/>
      <c r="N11" s="4"/>
      <c r="O11" s="4"/>
      <c r="P11" s="4"/>
      <c r="Q11" s="4"/>
      <c r="R11" s="4"/>
      <c r="S11" s="4"/>
      <c r="T11" s="4"/>
      <c r="U11" s="4"/>
      <c r="V11" s="4"/>
      <c r="W11" s="4"/>
      <c r="X11" s="4"/>
      <c r="Y11" s="4"/>
      <c r="Z11" s="4"/>
    </row>
    <row r="12" ht="15.0" customHeight="1">
      <c r="A12" s="46" t="s">
        <v>80</v>
      </c>
      <c r="B12" s="48" t="s">
        <v>8</v>
      </c>
      <c r="C12" s="71" t="s">
        <v>81</v>
      </c>
      <c r="D12" s="115"/>
      <c r="E12" s="4"/>
      <c r="F12" s="118"/>
      <c r="G12" s="4"/>
      <c r="H12" s="80"/>
      <c r="I12" s="80"/>
      <c r="J12" s="80"/>
      <c r="K12" s="80"/>
      <c r="L12" s="4"/>
      <c r="M12" s="4"/>
      <c r="N12" s="4"/>
      <c r="O12" s="4"/>
      <c r="P12" s="4"/>
      <c r="Q12" s="4"/>
      <c r="R12" s="4"/>
      <c r="S12" s="4"/>
      <c r="T12" s="4"/>
      <c r="U12" s="4"/>
      <c r="V12" s="4"/>
      <c r="W12" s="4"/>
      <c r="X12" s="4"/>
      <c r="Y12" s="4"/>
      <c r="Z12" s="4"/>
    </row>
    <row r="13" ht="15.0" customHeight="1">
      <c r="A13" s="46" t="s">
        <v>85</v>
      </c>
      <c r="B13" s="48" t="s">
        <v>8</v>
      </c>
      <c r="C13" s="71" t="str">
        <f>Currency</f>
        <v>IDR</v>
      </c>
      <c r="D13" s="46"/>
      <c r="E13" s="58"/>
      <c r="F13" s="60"/>
      <c r="G13" s="62"/>
      <c r="H13" s="80"/>
      <c r="I13" s="80"/>
      <c r="J13" s="80"/>
      <c r="K13" s="80"/>
      <c r="L13" s="4"/>
      <c r="M13" s="4"/>
      <c r="N13" s="4"/>
      <c r="O13" s="4"/>
      <c r="P13" s="4"/>
      <c r="Q13" s="4"/>
      <c r="R13" s="4"/>
      <c r="S13" s="4"/>
      <c r="T13" s="4"/>
      <c r="U13" s="4"/>
      <c r="V13" s="4"/>
      <c r="W13" s="4"/>
      <c r="X13" s="4"/>
      <c r="Y13" s="4"/>
      <c r="Z13" s="4"/>
    </row>
    <row r="14" ht="15.0" customHeight="1">
      <c r="A14" s="131" t="s">
        <v>89</v>
      </c>
      <c r="B14" s="133" t="s">
        <v>8</v>
      </c>
      <c r="C14" s="135">
        <f>Sum_Assured</f>
        <v>330001167</v>
      </c>
      <c r="D14" s="131"/>
      <c r="E14" s="136"/>
      <c r="F14" s="137"/>
      <c r="G14" s="62"/>
      <c r="H14" s="80"/>
      <c r="I14" s="80"/>
      <c r="J14" s="80"/>
      <c r="K14" s="80"/>
      <c r="L14" s="4"/>
      <c r="M14" s="4"/>
      <c r="N14" s="4"/>
      <c r="O14" s="4"/>
      <c r="P14" s="4"/>
      <c r="Q14" s="4"/>
      <c r="R14" s="4"/>
      <c r="S14" s="4"/>
      <c r="T14" s="4"/>
      <c r="U14" s="4"/>
      <c r="V14" s="4"/>
      <c r="W14" s="4"/>
      <c r="X14" s="4"/>
      <c r="Y14" s="4"/>
      <c r="Z14" s="4"/>
    </row>
    <row r="15" ht="21.0" customHeight="1">
      <c r="A15" s="140" t="s">
        <v>90</v>
      </c>
      <c r="B15" s="19"/>
      <c r="C15" s="19"/>
      <c r="D15" s="19"/>
      <c r="E15" s="19"/>
      <c r="F15" s="19"/>
      <c r="G15" s="22"/>
      <c r="H15" s="80"/>
      <c r="I15" s="80"/>
      <c r="J15" s="80"/>
      <c r="K15" s="80"/>
      <c r="L15" s="4"/>
      <c r="M15" s="4"/>
      <c r="N15" s="4"/>
      <c r="O15" s="4"/>
      <c r="P15" s="4"/>
      <c r="Q15" s="4"/>
      <c r="R15" s="4"/>
      <c r="S15" s="4"/>
      <c r="T15" s="4"/>
      <c r="U15" s="4"/>
      <c r="V15" s="4"/>
      <c r="W15" s="4"/>
      <c r="X15" s="4"/>
      <c r="Y15" s="4"/>
      <c r="Z15" s="4"/>
    </row>
    <row r="16" ht="8.25" customHeight="1">
      <c r="A16" s="58"/>
      <c r="B16" s="58"/>
      <c r="C16" s="58"/>
      <c r="D16" s="58"/>
      <c r="E16" s="58"/>
      <c r="F16" s="58"/>
      <c r="G16" s="58"/>
      <c r="H16" s="80"/>
      <c r="I16" s="80"/>
      <c r="J16" s="80"/>
      <c r="K16" s="80"/>
      <c r="L16" s="4"/>
      <c r="M16" s="4"/>
      <c r="N16" s="4"/>
      <c r="O16" s="4"/>
      <c r="P16" s="4"/>
      <c r="Q16" s="4"/>
      <c r="R16" s="4"/>
      <c r="S16" s="4"/>
      <c r="T16" s="4"/>
      <c r="U16" s="4"/>
      <c r="V16" s="4"/>
      <c r="W16" s="4"/>
      <c r="X16" s="4"/>
      <c r="Y16" s="4"/>
      <c r="Z16" s="4"/>
    </row>
    <row r="17" ht="15.0" customHeight="1">
      <c r="A17" s="143" t="s">
        <v>91</v>
      </c>
      <c r="B17" s="58"/>
      <c r="C17" s="58"/>
      <c r="D17" s="58"/>
      <c r="E17" s="58"/>
      <c r="F17" s="58"/>
      <c r="G17" s="58"/>
      <c r="H17" s="80"/>
      <c r="I17" s="80"/>
      <c r="J17" s="80"/>
      <c r="K17" s="80"/>
      <c r="L17" s="4"/>
      <c r="M17" s="4"/>
      <c r="N17" s="4"/>
      <c r="O17" s="4"/>
      <c r="P17" s="4"/>
      <c r="Q17" s="4"/>
      <c r="R17" s="4"/>
      <c r="S17" s="4"/>
      <c r="T17" s="4"/>
      <c r="U17" s="4"/>
      <c r="V17" s="4"/>
      <c r="W17" s="4"/>
      <c r="X17" s="4"/>
      <c r="Y17" s="4"/>
      <c r="Z17" s="4"/>
    </row>
    <row r="18" ht="15.0" customHeight="1">
      <c r="A18" s="145" t="s">
        <v>92</v>
      </c>
      <c r="B18" s="5"/>
      <c r="C18" s="8"/>
      <c r="D18" s="145" t="s">
        <v>93</v>
      </c>
      <c r="E18" s="5"/>
      <c r="F18" s="8"/>
      <c r="G18" s="80"/>
      <c r="H18" s="80"/>
      <c r="I18" s="80"/>
      <c r="J18" s="80"/>
      <c r="K18" s="80"/>
      <c r="L18" s="4"/>
      <c r="M18" s="4"/>
      <c r="N18" s="4"/>
      <c r="O18" s="4"/>
      <c r="P18" s="4"/>
      <c r="Q18" s="4"/>
      <c r="R18" s="4"/>
      <c r="S18" s="4"/>
      <c r="T18" s="4"/>
      <c r="U18" s="4"/>
      <c r="V18" s="4"/>
      <c r="W18" s="4"/>
      <c r="X18" s="4"/>
      <c r="Y18" s="4"/>
      <c r="Z18" s="4"/>
    </row>
    <row r="19" ht="14.25" customHeight="1">
      <c r="A19" s="146" t="s">
        <v>94</v>
      </c>
      <c r="B19" s="5"/>
      <c r="C19" s="8"/>
      <c r="D19" s="149">
        <f>input!H17</f>
        <v>0.15</v>
      </c>
      <c r="E19" s="5"/>
      <c r="F19" s="8"/>
      <c r="G19" s="80"/>
      <c r="H19" s="80"/>
      <c r="I19" s="80"/>
      <c r="J19" s="80"/>
      <c r="K19" s="80"/>
      <c r="L19" s="4"/>
      <c r="M19" s="4"/>
      <c r="N19" s="4"/>
      <c r="O19" s="4"/>
      <c r="P19" s="4"/>
      <c r="Q19" s="4"/>
      <c r="R19" s="4"/>
      <c r="S19" s="4"/>
      <c r="T19" s="4"/>
      <c r="U19" s="4"/>
      <c r="V19" s="4"/>
      <c r="W19" s="4"/>
      <c r="X19" s="4"/>
      <c r="Y19" s="4"/>
      <c r="Z19" s="4"/>
    </row>
    <row r="20" ht="14.25" customHeight="1">
      <c r="A20" s="146" t="s">
        <v>97</v>
      </c>
      <c r="B20" s="5"/>
      <c r="C20" s="8"/>
      <c r="D20" s="149">
        <f>input!H20</f>
        <v>0.2</v>
      </c>
      <c r="E20" s="5"/>
      <c r="F20" s="8"/>
      <c r="G20" s="80"/>
      <c r="H20" s="80"/>
      <c r="I20" s="80"/>
      <c r="J20" s="80"/>
      <c r="K20" s="80"/>
      <c r="L20" s="4"/>
      <c r="M20" s="4"/>
      <c r="N20" s="4"/>
      <c r="O20" s="4"/>
      <c r="P20" s="4"/>
      <c r="Q20" s="4"/>
      <c r="R20" s="4"/>
      <c r="S20" s="4"/>
      <c r="T20" s="4"/>
      <c r="U20" s="4"/>
      <c r="V20" s="4"/>
      <c r="W20" s="4"/>
      <c r="X20" s="4"/>
      <c r="Y20" s="4"/>
      <c r="Z20" s="4"/>
    </row>
    <row r="21" ht="14.25" customHeight="1">
      <c r="A21" s="146" t="s">
        <v>98</v>
      </c>
      <c r="B21" s="5"/>
      <c r="C21" s="8"/>
      <c r="D21" s="149">
        <f>input!H18</f>
        <v>0.25</v>
      </c>
      <c r="E21" s="5"/>
      <c r="F21" s="8"/>
      <c r="G21" s="80"/>
      <c r="H21" s="80"/>
      <c r="I21" s="80"/>
      <c r="J21" s="80"/>
      <c r="K21" s="80"/>
      <c r="L21" s="4"/>
      <c r="M21" s="4"/>
      <c r="N21" s="4"/>
      <c r="O21" s="4"/>
      <c r="P21" s="4"/>
      <c r="Q21" s="4"/>
      <c r="R21" s="4"/>
      <c r="S21" s="4"/>
      <c r="T21" s="4"/>
      <c r="U21" s="4"/>
      <c r="V21" s="4"/>
      <c r="W21" s="4"/>
      <c r="X21" s="4"/>
      <c r="Y21" s="4"/>
      <c r="Z21" s="4"/>
    </row>
    <row r="22" ht="14.25" customHeight="1">
      <c r="A22" s="146" t="s">
        <v>100</v>
      </c>
      <c r="B22" s="5"/>
      <c r="C22" s="8"/>
      <c r="D22" s="149">
        <f>input!H19</f>
        <v>0.4</v>
      </c>
      <c r="E22" s="5"/>
      <c r="F22" s="8"/>
      <c r="G22" s="80"/>
      <c r="H22" s="80"/>
      <c r="I22" s="80"/>
      <c r="J22" s="80"/>
      <c r="K22" s="80"/>
      <c r="L22" s="4"/>
      <c r="M22" s="4"/>
      <c r="N22" s="4"/>
      <c r="O22" s="4"/>
      <c r="P22" s="4"/>
      <c r="Q22" s="4"/>
      <c r="R22" s="4"/>
      <c r="S22" s="4"/>
      <c r="T22" s="4"/>
      <c r="U22" s="4"/>
      <c r="V22" s="4"/>
      <c r="W22" s="4"/>
      <c r="X22" s="4"/>
      <c r="Y22" s="4"/>
      <c r="Z22" s="4"/>
    </row>
    <row r="23" ht="10.5" customHeight="1">
      <c r="A23" s="71"/>
      <c r="B23" s="71"/>
      <c r="C23" s="48"/>
      <c r="D23" s="48"/>
      <c r="E23" s="58"/>
      <c r="F23" s="58"/>
      <c r="G23" s="58"/>
      <c r="H23" s="80"/>
      <c r="I23" s="80"/>
      <c r="J23" s="80"/>
      <c r="K23" s="80"/>
      <c r="L23" s="4"/>
      <c r="M23" s="4"/>
      <c r="N23" s="4"/>
      <c r="O23" s="4"/>
      <c r="P23" s="4"/>
      <c r="Q23" s="4"/>
      <c r="R23" s="4"/>
      <c r="S23" s="4"/>
      <c r="T23" s="4"/>
      <c r="U23" s="4"/>
      <c r="V23" s="4"/>
      <c r="W23" s="4"/>
      <c r="X23" s="4"/>
      <c r="Y23" s="4"/>
      <c r="Z23" s="4"/>
    </row>
    <row r="24" ht="15.0" customHeight="1">
      <c r="A24" s="143" t="s">
        <v>102</v>
      </c>
      <c r="B24" s="58"/>
      <c r="C24" s="58"/>
      <c r="D24" s="58"/>
      <c r="E24" s="58"/>
      <c r="F24" s="58"/>
      <c r="G24" s="58"/>
      <c r="H24" s="80"/>
      <c r="I24" s="80"/>
      <c r="J24" s="80"/>
      <c r="K24" s="80"/>
      <c r="L24" s="4"/>
      <c r="M24" s="4"/>
      <c r="N24" s="4"/>
      <c r="O24" s="4"/>
      <c r="P24" s="4"/>
      <c r="Q24" s="4"/>
      <c r="R24" s="4"/>
      <c r="S24" s="4"/>
      <c r="T24" s="4"/>
      <c r="U24" s="4"/>
      <c r="V24" s="4"/>
      <c r="W24" s="4"/>
      <c r="X24" s="4"/>
      <c r="Y24" s="4"/>
      <c r="Z24" s="4"/>
    </row>
    <row r="25" ht="15.0" customHeight="1">
      <c r="A25" s="156" t="s">
        <v>103</v>
      </c>
      <c r="B25" s="145" t="s">
        <v>85</v>
      </c>
      <c r="C25" s="8"/>
      <c r="D25" s="156" t="s">
        <v>21</v>
      </c>
      <c r="E25" s="145" t="s">
        <v>23</v>
      </c>
      <c r="F25" s="8"/>
      <c r="G25" s="156" t="s">
        <v>24</v>
      </c>
      <c r="H25" s="80"/>
      <c r="I25" s="80"/>
      <c r="J25" s="80"/>
      <c r="K25" s="80"/>
      <c r="L25" s="4"/>
      <c r="M25" s="4"/>
      <c r="N25" s="4"/>
      <c r="O25" s="4"/>
      <c r="P25" s="4"/>
      <c r="Q25" s="4"/>
      <c r="R25" s="4"/>
      <c r="S25" s="4"/>
      <c r="T25" s="4"/>
      <c r="U25" s="4"/>
      <c r="V25" s="4"/>
      <c r="W25" s="4"/>
      <c r="X25" s="4"/>
      <c r="Y25" s="4"/>
      <c r="Z25" s="4"/>
    </row>
    <row r="26" ht="14.25" customHeight="1">
      <c r="A26" s="63">
        <f>IF(MROUND(C8+5,10)=80,79,MROUND(C8+5,10))</f>
        <v>70</v>
      </c>
      <c r="B26" s="160" t="str">
        <f>IF(A26="","",IF(input!$D$18="IDR","Rupiah","USD"))</f>
        <v>Rupiah</v>
      </c>
      <c r="C26" s="8"/>
      <c r="D26" s="167">
        <f>IFERROR(IF((VLOOKUP($A26,output!$C$8:$T$107,14,FALSE)&lt;0),"***",VLOOKUP($A26,output!$C$8:$T$107,14,FALSE)),"")</f>
        <v>203822653</v>
      </c>
      <c r="E26" s="169">
        <f>IFERROR(IF((VLOOKUP($A26,output!$C$8:$T$107,16,FALSE)&lt;0),"***",VLOOKUP($A26,output!$C$8:$T$107,16,FALSE)),"")</f>
        <v>232054095</v>
      </c>
      <c r="F26" s="8"/>
      <c r="G26" s="167">
        <f>IFERROR(IF((VLOOKUP($A26,output!$C$8:$T$107,18,FALSE)&lt;0),"***",VLOOKUP($A26,output!$C$8:$T$107,18,FALSE)),"")</f>
        <v>515685399</v>
      </c>
      <c r="H26" s="80"/>
      <c r="I26" s="80"/>
      <c r="J26" s="80"/>
      <c r="K26" s="80"/>
      <c r="L26" s="4"/>
      <c r="M26" s="4"/>
      <c r="N26" s="4"/>
      <c r="O26" s="4"/>
      <c r="P26" s="4"/>
      <c r="Q26" s="4"/>
      <c r="R26" s="4"/>
      <c r="S26" s="4"/>
      <c r="T26" s="4"/>
      <c r="U26" s="4"/>
      <c r="V26" s="4"/>
      <c r="W26" s="4"/>
      <c r="X26" s="4"/>
      <c r="Y26" s="4"/>
      <c r="Z26" s="4"/>
    </row>
    <row r="27" ht="14.25" customHeight="1">
      <c r="A27" s="63">
        <f t="shared" ref="A27:A35" si="1">IFERROR(IF(A26&gt;=79,"",IF(A26=70,79,(A26+10))),)</f>
        <v>79</v>
      </c>
      <c r="B27" s="160" t="str">
        <f>IF(A27="","",IF(input!$D$18="IDR","Rupiah","USD"))</f>
        <v>Rupiah</v>
      </c>
      <c r="C27" s="8"/>
      <c r="D27" s="167">
        <f>IFERROR(IF((VLOOKUP($A27,output!$C$8:$T$107,14,FALSE)&lt;0),"***",VLOOKUP($A27,output!$C$8:$T$107,14,FALSE)),"")</f>
        <v>80447034</v>
      </c>
      <c r="E27" s="169">
        <f>IFERROR(IF((VLOOKUP($A27,output!$C$8:$T$107,16,FALSE)&lt;0),"***",VLOOKUP($A27,output!$C$8:$T$107,16,FALSE)),"")</f>
        <v>122239678</v>
      </c>
      <c r="F27" s="8"/>
      <c r="G27" s="167">
        <f>IFERROR(IF((VLOOKUP($A27,output!$C$8:$T$107,18,FALSE)&lt;0),"***",VLOOKUP($A27,output!$C$8:$T$107,18,FALSE)),"")</f>
        <v>796563661</v>
      </c>
      <c r="H27" s="80"/>
      <c r="I27" s="80"/>
      <c r="J27" s="80"/>
      <c r="K27" s="80"/>
      <c r="L27" s="4"/>
      <c r="M27" s="4"/>
      <c r="N27" s="4"/>
      <c r="O27" s="4"/>
      <c r="P27" s="4"/>
      <c r="Q27" s="4"/>
      <c r="R27" s="4"/>
      <c r="S27" s="4"/>
      <c r="T27" s="4"/>
      <c r="U27" s="4"/>
      <c r="V27" s="4"/>
      <c r="W27" s="4"/>
      <c r="X27" s="4"/>
      <c r="Y27" s="4"/>
      <c r="Z27" s="4"/>
    </row>
    <row r="28" ht="14.25" customHeight="1">
      <c r="A28" s="63" t="str">
        <f t="shared" si="1"/>
        <v/>
      </c>
      <c r="B28" s="160" t="str">
        <f>IF(A28="","",IF(input!$D$18="IDR","Rupiah","USD"))</f>
        <v/>
      </c>
      <c r="C28" s="8"/>
      <c r="D28" s="167" t="str">
        <f>IFERROR(IF((VLOOKUP($A28,output!$C$8:$T$107,14,FALSE)&lt;0),"***",VLOOKUP($A28,output!$C$8:$T$107,14,FALSE)),"")</f>
        <v/>
      </c>
      <c r="E28" s="169" t="str">
        <f>IFERROR(IF((VLOOKUP($A28,output!$C$8:$T$107,16,FALSE)&lt;0),"***",VLOOKUP($A28,output!$C$8:$T$107,16,FALSE)),"")</f>
        <v/>
      </c>
      <c r="F28" s="8"/>
      <c r="G28" s="167" t="str">
        <f>IFERROR(IF((VLOOKUP($A28,output!$C$8:$T$107,18,FALSE)&lt;0),"***",VLOOKUP($A28,output!$C$8:$T$107,18,FALSE)),"")</f>
        <v/>
      </c>
      <c r="H28" s="80"/>
      <c r="I28" s="80"/>
      <c r="J28" s="80"/>
      <c r="K28" s="80"/>
      <c r="L28" s="4"/>
      <c r="M28" s="4"/>
      <c r="N28" s="4"/>
      <c r="O28" s="4"/>
      <c r="P28" s="4"/>
      <c r="Q28" s="4"/>
      <c r="R28" s="4"/>
      <c r="S28" s="4"/>
      <c r="T28" s="4"/>
      <c r="U28" s="4"/>
      <c r="V28" s="4"/>
      <c r="W28" s="4"/>
      <c r="X28" s="4"/>
      <c r="Y28" s="4"/>
      <c r="Z28" s="4"/>
    </row>
    <row r="29" ht="14.25" customHeight="1">
      <c r="A29" s="63" t="str">
        <f t="shared" si="1"/>
        <v/>
      </c>
      <c r="B29" s="160" t="str">
        <f>IF(A29="","",IF(input!$D$18="IDR","Rupiah","USD"))</f>
        <v/>
      </c>
      <c r="C29" s="8"/>
      <c r="D29" s="167" t="str">
        <f>IFERROR(IF((VLOOKUP($A29,output!$C$8:$T$107,14,FALSE)&lt;0),"***",VLOOKUP($A29,output!$C$8:$T$107,14,FALSE)),"")</f>
        <v/>
      </c>
      <c r="E29" s="169" t="str">
        <f>IFERROR(IF((VLOOKUP($A29,output!$C$8:$T$107,16,FALSE)&lt;0),"***",VLOOKUP($A29,output!$C$8:$T$107,16,FALSE)),"")</f>
        <v/>
      </c>
      <c r="F29" s="8"/>
      <c r="G29" s="167" t="str">
        <f>IFERROR(IF((VLOOKUP($A29,output!$C$8:$T$107,18,FALSE)&lt;0),"***",VLOOKUP($A29,output!$C$8:$T$107,18,FALSE)),"")</f>
        <v/>
      </c>
      <c r="H29" s="80"/>
      <c r="I29" s="80"/>
      <c r="J29" s="80"/>
      <c r="K29" s="80"/>
      <c r="L29" s="4"/>
      <c r="M29" s="4"/>
      <c r="N29" s="4"/>
      <c r="O29" s="4"/>
      <c r="P29" s="4"/>
      <c r="Q29" s="4"/>
      <c r="R29" s="4"/>
      <c r="S29" s="4"/>
      <c r="T29" s="4"/>
      <c r="U29" s="4"/>
      <c r="V29" s="4"/>
      <c r="W29" s="4"/>
      <c r="X29" s="4"/>
      <c r="Y29" s="4"/>
      <c r="Z29" s="4"/>
    </row>
    <row r="30" ht="14.25" customHeight="1">
      <c r="A30" s="63" t="str">
        <f t="shared" si="1"/>
        <v/>
      </c>
      <c r="B30" s="160" t="str">
        <f>IF(A30="","",IF(input!$D$18="IDR","Rupiah","USD"))</f>
        <v/>
      </c>
      <c r="C30" s="8"/>
      <c r="D30" s="167" t="str">
        <f>IFERROR(IF((VLOOKUP($A30,output!$C$8:$T$107,14,FALSE)&lt;0),"***",VLOOKUP($A30,output!$C$8:$T$107,14,FALSE)),"")</f>
        <v/>
      </c>
      <c r="E30" s="169" t="str">
        <f>IFERROR(IF((VLOOKUP($A30,output!$C$8:$T$107,16,FALSE)&lt;0),"***",VLOOKUP($A30,output!$C$8:$T$107,16,FALSE)),"")</f>
        <v/>
      </c>
      <c r="F30" s="8"/>
      <c r="G30" s="167" t="str">
        <f>IFERROR(IF((VLOOKUP($A30,output!$C$8:$T$107,18,FALSE)&lt;0),"***",VLOOKUP($A30,output!$C$8:$T$107,18,FALSE)),"")</f>
        <v/>
      </c>
      <c r="H30" s="80"/>
      <c r="I30" s="80"/>
      <c r="J30" s="80"/>
      <c r="K30" s="80"/>
      <c r="L30" s="4"/>
      <c r="M30" s="4"/>
      <c r="N30" s="4"/>
      <c r="O30" s="4"/>
      <c r="P30" s="4"/>
      <c r="Q30" s="4"/>
      <c r="R30" s="4"/>
      <c r="S30" s="4"/>
      <c r="T30" s="4"/>
      <c r="U30" s="4"/>
      <c r="V30" s="4"/>
      <c r="W30" s="4"/>
      <c r="X30" s="4"/>
      <c r="Y30" s="4"/>
      <c r="Z30" s="4"/>
    </row>
    <row r="31" ht="14.25" customHeight="1">
      <c r="A31" s="63" t="str">
        <f t="shared" si="1"/>
        <v/>
      </c>
      <c r="B31" s="160" t="str">
        <f>IF(A31="","",IF(input!$D$18="IDR","Rupiah","USD"))</f>
        <v/>
      </c>
      <c r="C31" s="8"/>
      <c r="D31" s="167" t="str">
        <f>IFERROR(IF((VLOOKUP($A31,output!$C$8:$T$107,14,FALSE)&lt;0),"***",VLOOKUP($A31,output!$C$8:$T$107,14,FALSE)),"")</f>
        <v/>
      </c>
      <c r="E31" s="169" t="str">
        <f>IFERROR(IF((VLOOKUP($A31,output!$C$8:$T$107,16,FALSE)&lt;0),"***",VLOOKUP($A31,output!$C$8:$T$107,16,FALSE)),"")</f>
        <v/>
      </c>
      <c r="F31" s="8"/>
      <c r="G31" s="167" t="str">
        <f>IFERROR(IF((VLOOKUP($A31,output!$C$8:$T$107,18,FALSE)&lt;0),"***",VLOOKUP($A31,output!$C$8:$T$107,18,FALSE)),"")</f>
        <v/>
      </c>
      <c r="H31" s="80"/>
      <c r="I31" s="80"/>
      <c r="J31" s="80"/>
      <c r="K31" s="80"/>
      <c r="L31" s="4"/>
      <c r="M31" s="4"/>
      <c r="N31" s="4"/>
      <c r="O31" s="4"/>
      <c r="P31" s="4"/>
      <c r="Q31" s="4"/>
      <c r="R31" s="4"/>
      <c r="S31" s="4"/>
      <c r="T31" s="4"/>
      <c r="U31" s="4"/>
      <c r="V31" s="4"/>
      <c r="W31" s="4"/>
      <c r="X31" s="4"/>
      <c r="Y31" s="4"/>
      <c r="Z31" s="4"/>
    </row>
    <row r="32" ht="14.25" customHeight="1">
      <c r="A32" s="63" t="str">
        <f t="shared" si="1"/>
        <v/>
      </c>
      <c r="B32" s="160" t="str">
        <f>IF(A32="","",IF(input!$D$18="IDR","Rupiah","USD"))</f>
        <v/>
      </c>
      <c r="C32" s="8"/>
      <c r="D32" s="167" t="str">
        <f>IFERROR(IF((VLOOKUP($A32,output!$C$8:$T$107,14,FALSE)&lt;0),"***",VLOOKUP($A32,output!$C$8:$T$107,14,FALSE)),"")</f>
        <v/>
      </c>
      <c r="E32" s="169" t="str">
        <f>IFERROR(IF((VLOOKUP($A32,output!$C$8:$T$107,16,FALSE)&lt;0),"***",VLOOKUP($A32,output!$C$8:$T$107,16,FALSE)),"")</f>
        <v/>
      </c>
      <c r="F32" s="8"/>
      <c r="G32" s="167" t="str">
        <f>IFERROR(IF((VLOOKUP($A32,output!$C$8:$T$107,18,FALSE)&lt;0),"***",VLOOKUP($A32,output!$C$8:$T$107,18,FALSE)),"")</f>
        <v/>
      </c>
      <c r="H32" s="80"/>
      <c r="I32" s="80"/>
      <c r="J32" s="80"/>
      <c r="K32" s="80"/>
      <c r="L32" s="4"/>
      <c r="M32" s="4"/>
      <c r="N32" s="4"/>
      <c r="O32" s="4"/>
      <c r="P32" s="4"/>
      <c r="Q32" s="4"/>
      <c r="R32" s="4"/>
      <c r="S32" s="4"/>
      <c r="T32" s="4"/>
      <c r="U32" s="4"/>
      <c r="V32" s="4"/>
      <c r="W32" s="4"/>
      <c r="X32" s="4"/>
      <c r="Y32" s="4"/>
      <c r="Z32" s="4"/>
    </row>
    <row r="33" ht="14.25" customHeight="1">
      <c r="A33" s="63" t="str">
        <f t="shared" si="1"/>
        <v/>
      </c>
      <c r="B33" s="160" t="str">
        <f>IF(A33="","",IF(input!$D$18="IDR","Rupiah","USD"))</f>
        <v/>
      </c>
      <c r="C33" s="8"/>
      <c r="D33" s="167" t="str">
        <f>IFERROR(IF((VLOOKUP($A33,output!$C$8:$T$107,14,FALSE)&lt;0),"***",VLOOKUP($A33,output!$C$8:$T$107,14,FALSE)),"")</f>
        <v/>
      </c>
      <c r="E33" s="169" t="str">
        <f>IFERROR(IF((VLOOKUP($A33,output!$C$8:$T$107,16,FALSE)&lt;0),"***",VLOOKUP($A33,output!$C$8:$T$107,16,FALSE)),"")</f>
        <v/>
      </c>
      <c r="F33" s="8"/>
      <c r="G33" s="167" t="str">
        <f>IFERROR(IF((VLOOKUP($A33,output!$C$8:$T$107,18,FALSE)&lt;0),"***",VLOOKUP($A33,output!$C$8:$T$107,18,FALSE)),"")</f>
        <v/>
      </c>
      <c r="H33" s="80"/>
      <c r="I33" s="80"/>
      <c r="J33" s="80"/>
      <c r="K33" s="80"/>
      <c r="L33" s="4"/>
      <c r="M33" s="4"/>
      <c r="N33" s="4"/>
      <c r="O33" s="4"/>
      <c r="P33" s="4"/>
      <c r="Q33" s="4"/>
      <c r="R33" s="4"/>
      <c r="S33" s="4"/>
      <c r="T33" s="4"/>
      <c r="U33" s="4"/>
      <c r="V33" s="4"/>
      <c r="W33" s="4"/>
      <c r="X33" s="4"/>
      <c r="Y33" s="4"/>
      <c r="Z33" s="4"/>
    </row>
    <row r="34" ht="14.25" customHeight="1">
      <c r="A34" s="63" t="str">
        <f t="shared" si="1"/>
        <v/>
      </c>
      <c r="B34" s="160" t="str">
        <f>IF(A34="","",IF(input!$D$18="IDR","Rupiah","USD"))</f>
        <v/>
      </c>
      <c r="C34" s="8"/>
      <c r="D34" s="167" t="str">
        <f>IFERROR(IF((VLOOKUP($A34,output!$C$8:$T$107,14,FALSE)&lt;0),"***",VLOOKUP($A34,output!$C$8:$T$107,14,FALSE)),"")</f>
        <v/>
      </c>
      <c r="E34" s="169" t="str">
        <f>IFERROR(IF((VLOOKUP($A34,output!$C$8:$T$107,16,FALSE)&lt;0),"***",VLOOKUP($A34,output!$C$8:$T$107,16,FALSE)),"")</f>
        <v/>
      </c>
      <c r="F34" s="8"/>
      <c r="G34" s="167" t="str">
        <f>IFERROR(IF((VLOOKUP($A34,output!$C$8:$T$107,18,FALSE)&lt;0),"***",VLOOKUP($A34,output!$C$8:$T$107,18,FALSE)),"")</f>
        <v/>
      </c>
      <c r="H34" s="80"/>
      <c r="I34" s="80"/>
      <c r="J34" s="80"/>
      <c r="K34" s="80"/>
      <c r="L34" s="4"/>
      <c r="M34" s="4"/>
      <c r="N34" s="4"/>
      <c r="O34" s="4"/>
      <c r="P34" s="4"/>
      <c r="Q34" s="4"/>
      <c r="R34" s="4"/>
      <c r="S34" s="4"/>
      <c r="T34" s="4"/>
      <c r="U34" s="4"/>
      <c r="V34" s="4"/>
      <c r="W34" s="4"/>
      <c r="X34" s="4"/>
      <c r="Y34" s="4"/>
      <c r="Z34" s="4"/>
    </row>
    <row r="35" ht="14.25" customHeight="1">
      <c r="A35" s="63" t="str">
        <f t="shared" si="1"/>
        <v/>
      </c>
      <c r="B35" s="160" t="str">
        <f>IF(A35="","",IF(input!$D$18="IDR","Rupiah","USD"))</f>
        <v/>
      </c>
      <c r="C35" s="8"/>
      <c r="D35" s="167" t="str">
        <f>IFERROR(IF((VLOOKUP($A35,output!$C$8:$T$107,14,FALSE)&lt;0),"***",VLOOKUP($A35,output!$C$8:$T$107,14,FALSE)),"")</f>
        <v/>
      </c>
      <c r="E35" s="169" t="str">
        <f>IFERROR(IF((VLOOKUP($A35,output!$C$8:$T$107,16,FALSE)&lt;0),"***",VLOOKUP($A35,output!$C$8:$T$107,16,FALSE)),"")</f>
        <v/>
      </c>
      <c r="F35" s="8"/>
      <c r="G35" s="167" t="str">
        <f>IFERROR(IF((VLOOKUP($A35,output!$C$8:$T$107,18,FALSE)&lt;0),"***",VLOOKUP($A35,output!$C$8:$T$107,18,FALSE)),"")</f>
        <v/>
      </c>
      <c r="H35" s="80"/>
      <c r="I35" s="80"/>
      <c r="J35" s="80"/>
      <c r="K35" s="80"/>
      <c r="L35" s="4"/>
      <c r="M35" s="4"/>
      <c r="N35" s="4"/>
      <c r="O35" s="4"/>
      <c r="P35" s="4"/>
      <c r="Q35" s="4"/>
      <c r="R35" s="4"/>
      <c r="S35" s="4"/>
      <c r="T35" s="4"/>
      <c r="U35" s="4"/>
      <c r="V35" s="4"/>
      <c r="W35" s="4"/>
      <c r="X35" s="4"/>
      <c r="Y35" s="4"/>
      <c r="Z35" s="4"/>
    </row>
    <row r="36" ht="10.5" customHeight="1">
      <c r="A36" s="58"/>
      <c r="B36" s="58"/>
      <c r="C36" s="58"/>
      <c r="D36" s="58"/>
      <c r="E36" s="58"/>
      <c r="F36" s="58"/>
      <c r="G36" s="58"/>
      <c r="H36" s="80"/>
      <c r="I36" s="80"/>
      <c r="J36" s="80"/>
      <c r="K36" s="80"/>
      <c r="L36" s="4"/>
      <c r="M36" s="4"/>
      <c r="N36" s="4"/>
      <c r="O36" s="4"/>
      <c r="P36" s="4"/>
      <c r="Q36" s="4"/>
      <c r="R36" s="4"/>
      <c r="S36" s="4"/>
      <c r="T36" s="4"/>
      <c r="U36" s="4"/>
      <c r="V36" s="4"/>
      <c r="W36" s="4"/>
      <c r="X36" s="4"/>
      <c r="Y36" s="4"/>
      <c r="Z36" s="4"/>
    </row>
    <row r="37" ht="15.0" customHeight="1">
      <c r="A37" s="140" t="s">
        <v>108</v>
      </c>
      <c r="B37" s="19"/>
      <c r="C37" s="19"/>
      <c r="D37" s="19"/>
      <c r="E37" s="19"/>
      <c r="F37" s="19"/>
      <c r="G37" s="22"/>
      <c r="H37" s="80"/>
      <c r="I37" s="80"/>
      <c r="J37" s="80"/>
      <c r="K37" s="80"/>
      <c r="L37" s="4"/>
      <c r="M37" s="4"/>
      <c r="N37" s="4"/>
      <c r="O37" s="4"/>
      <c r="P37" s="4"/>
      <c r="Q37" s="4"/>
      <c r="R37" s="4"/>
      <c r="S37" s="4"/>
      <c r="T37" s="4"/>
      <c r="U37" s="4"/>
      <c r="V37" s="4"/>
      <c r="W37" s="4"/>
      <c r="X37" s="4"/>
      <c r="Y37" s="4"/>
      <c r="Z37" s="4"/>
    </row>
    <row r="38" ht="15.0" customHeight="1">
      <c r="A38" s="145" t="s">
        <v>109</v>
      </c>
      <c r="B38" s="8"/>
      <c r="C38" s="156" t="s">
        <v>110</v>
      </c>
      <c r="D38" s="156" t="s">
        <v>23</v>
      </c>
      <c r="E38" s="145" t="s">
        <v>24</v>
      </c>
      <c r="F38" s="8"/>
      <c r="G38" s="58"/>
      <c r="H38" s="80"/>
      <c r="I38" s="80"/>
      <c r="J38" s="80"/>
      <c r="K38" s="80"/>
      <c r="L38" s="4"/>
      <c r="M38" s="4"/>
      <c r="N38" s="4"/>
      <c r="O38" s="4"/>
      <c r="P38" s="4"/>
      <c r="Q38" s="4"/>
      <c r="R38" s="4"/>
      <c r="S38" s="4"/>
      <c r="T38" s="4"/>
      <c r="U38" s="4"/>
      <c r="V38" s="4"/>
      <c r="W38" s="4"/>
      <c r="X38" s="4"/>
      <c r="Y38" s="4"/>
      <c r="Z38" s="4"/>
    </row>
    <row r="39" ht="14.25" customHeight="1">
      <c r="A39" s="146" t="s">
        <v>94</v>
      </c>
      <c r="B39" s="8"/>
      <c r="C39" s="170">
        <f>VLOOKUP($A39,Assumption!$H$35:$K$43,2,FALSE)</f>
        <v>-0.01</v>
      </c>
      <c r="D39" s="170">
        <f>VLOOKUP($A39,Assumption!$H$35:$K$43,3,FALSE)</f>
        <v>0</v>
      </c>
      <c r="E39" s="149">
        <f>VLOOKUP($A39,Assumption!$H$35:$K$43,4,FALSE)</f>
        <v>0.04</v>
      </c>
      <c r="F39" s="8"/>
      <c r="G39" s="58"/>
      <c r="H39" s="80"/>
      <c r="I39" s="80"/>
      <c r="J39" s="80"/>
      <c r="K39" s="80"/>
      <c r="L39" s="4"/>
      <c r="M39" s="4"/>
      <c r="N39" s="4"/>
      <c r="O39" s="4"/>
      <c r="P39" s="4"/>
      <c r="Q39" s="4"/>
      <c r="R39" s="4"/>
      <c r="S39" s="4"/>
      <c r="T39" s="4"/>
      <c r="U39" s="4"/>
      <c r="V39" s="4"/>
      <c r="W39" s="4"/>
      <c r="X39" s="4"/>
      <c r="Y39" s="4"/>
      <c r="Z39" s="4"/>
    </row>
    <row r="40" ht="14.25" customHeight="1">
      <c r="A40" s="146" t="s">
        <v>97</v>
      </c>
      <c r="B40" s="8"/>
      <c r="C40" s="170">
        <f>VLOOKUP($A40,Assumption!$H$35:$K$43,2,FALSE)</f>
        <v>-0.01</v>
      </c>
      <c r="D40" s="170">
        <f>VLOOKUP($A40,Assumption!$H$35:$K$43,3,FALSE)</f>
        <v>0</v>
      </c>
      <c r="E40" s="149">
        <f>VLOOKUP($A40,Assumption!$H$35:$K$43,4,FALSE)</f>
        <v>0.05</v>
      </c>
      <c r="F40" s="8"/>
      <c r="G40" s="58"/>
      <c r="H40" s="80"/>
      <c r="I40" s="80"/>
      <c r="J40" s="80"/>
      <c r="K40" s="80"/>
      <c r="L40" s="4"/>
      <c r="M40" s="4"/>
      <c r="N40" s="4"/>
      <c r="O40" s="4"/>
      <c r="P40" s="4"/>
      <c r="Q40" s="4"/>
      <c r="R40" s="4"/>
      <c r="S40" s="4"/>
      <c r="T40" s="4"/>
      <c r="U40" s="4"/>
      <c r="V40" s="4"/>
      <c r="W40" s="4"/>
      <c r="X40" s="4"/>
      <c r="Y40" s="4"/>
      <c r="Z40" s="4"/>
    </row>
    <row r="41" ht="14.25" customHeight="1">
      <c r="A41" s="146" t="s">
        <v>98</v>
      </c>
      <c r="B41" s="8"/>
      <c r="C41" s="170">
        <f>VLOOKUP($A41,Assumption!$H$35:$K$43,2,FALSE)</f>
        <v>-0.01</v>
      </c>
      <c r="D41" s="170">
        <f>VLOOKUP($A41,Assumption!$H$35:$K$43,3,FALSE)</f>
        <v>0</v>
      </c>
      <c r="E41" s="149">
        <f>VLOOKUP($A41,Assumption!$H$35:$K$43,4,FALSE)</f>
        <v>0.07</v>
      </c>
      <c r="F41" s="8"/>
      <c r="G41" s="80"/>
      <c r="H41" s="80"/>
      <c r="I41" s="80"/>
      <c r="J41" s="80"/>
      <c r="K41" s="80"/>
      <c r="L41" s="4"/>
      <c r="M41" s="4"/>
      <c r="N41" s="4"/>
      <c r="O41" s="4"/>
      <c r="P41" s="4"/>
      <c r="Q41" s="4"/>
      <c r="R41" s="4"/>
      <c r="S41" s="4"/>
      <c r="T41" s="4"/>
      <c r="U41" s="4"/>
      <c r="V41" s="4"/>
      <c r="W41" s="4"/>
      <c r="X41" s="4"/>
      <c r="Y41" s="4"/>
      <c r="Z41" s="4"/>
    </row>
    <row r="42" ht="14.25" customHeight="1">
      <c r="A42" s="146" t="s">
        <v>100</v>
      </c>
      <c r="B42" s="8"/>
      <c r="C42" s="170">
        <f>VLOOKUP($A42,Assumption!$H$35:$K$43,2,FALSE)</f>
        <v>-0.01</v>
      </c>
      <c r="D42" s="170">
        <f>VLOOKUP($A42,Assumption!$H$35:$K$43,3,FALSE)</f>
        <v>0</v>
      </c>
      <c r="E42" s="149">
        <f>VLOOKUP($A42,Assumption!$H$35:$K$43,4,FALSE)</f>
        <v>0.08</v>
      </c>
      <c r="F42" s="8"/>
      <c r="G42" s="80"/>
      <c r="H42" s="80"/>
      <c r="I42" s="80"/>
      <c r="J42" s="80"/>
      <c r="K42" s="80"/>
      <c r="L42" s="4"/>
      <c r="M42" s="4"/>
      <c r="N42" s="4"/>
      <c r="O42" s="4"/>
      <c r="P42" s="4"/>
      <c r="Q42" s="4"/>
      <c r="R42" s="4"/>
      <c r="S42" s="4"/>
      <c r="T42" s="4"/>
      <c r="U42" s="4"/>
      <c r="V42" s="4"/>
      <c r="W42" s="4"/>
      <c r="X42" s="4"/>
      <c r="Y42" s="4"/>
      <c r="Z42" s="4"/>
    </row>
    <row r="43" ht="15.0" customHeight="1">
      <c r="A43" s="173" t="s">
        <v>111</v>
      </c>
      <c r="B43" s="174"/>
      <c r="C43" s="174"/>
      <c r="D43" s="174"/>
      <c r="E43" s="174"/>
      <c r="F43" s="174"/>
      <c r="G43" s="175"/>
      <c r="H43" s="80"/>
      <c r="I43" s="80"/>
      <c r="J43" s="80"/>
      <c r="K43" s="80"/>
      <c r="L43" s="4"/>
      <c r="M43" s="4"/>
      <c r="N43" s="4"/>
      <c r="O43" s="4"/>
      <c r="P43" s="4"/>
      <c r="Q43" s="4"/>
      <c r="R43" s="4"/>
      <c r="S43" s="4"/>
      <c r="T43" s="4"/>
      <c r="U43" s="4"/>
      <c r="V43" s="4"/>
      <c r="W43" s="4"/>
      <c r="X43" s="4"/>
      <c r="Y43" s="4"/>
      <c r="Z43" s="4"/>
    </row>
    <row r="44" ht="15.0" customHeight="1">
      <c r="A44" s="176"/>
      <c r="B44" s="177"/>
      <c r="C44" s="177"/>
      <c r="D44" s="177"/>
      <c r="E44" s="177"/>
      <c r="F44" s="177"/>
      <c r="G44" s="178"/>
      <c r="H44" s="80"/>
      <c r="I44" s="80"/>
      <c r="J44" s="80"/>
      <c r="K44" s="80"/>
      <c r="L44" s="4"/>
      <c r="M44" s="4"/>
      <c r="N44" s="4"/>
      <c r="O44" s="4"/>
      <c r="P44" s="4"/>
      <c r="Q44" s="4"/>
      <c r="R44" s="4"/>
      <c r="S44" s="4"/>
      <c r="T44" s="4"/>
      <c r="U44" s="4"/>
      <c r="V44" s="4"/>
      <c r="W44" s="4"/>
      <c r="X44" s="4"/>
      <c r="Y44" s="4"/>
      <c r="Z44" s="4"/>
    </row>
    <row r="45" ht="15.0" customHeight="1">
      <c r="A45" s="179"/>
      <c r="B45" s="179"/>
      <c r="C45" s="179"/>
      <c r="D45" s="179"/>
      <c r="E45" s="179"/>
      <c r="F45" s="179"/>
      <c r="G45" s="179"/>
      <c r="H45" s="80"/>
      <c r="I45" s="80"/>
      <c r="J45" s="80"/>
      <c r="K45" s="80"/>
      <c r="L45" s="4"/>
      <c r="M45" s="4"/>
      <c r="N45" s="4"/>
      <c r="O45" s="4"/>
      <c r="P45" s="4"/>
      <c r="Q45" s="4"/>
      <c r="R45" s="4"/>
      <c r="S45" s="4"/>
      <c r="T45" s="4"/>
      <c r="U45" s="4"/>
      <c r="V45" s="4"/>
      <c r="W45" s="4"/>
      <c r="X45" s="4"/>
      <c r="Y45" s="4"/>
      <c r="Z45" s="4"/>
    </row>
    <row r="46" ht="15.0" customHeight="1">
      <c r="A46" s="180" t="s">
        <v>112</v>
      </c>
      <c r="B46" s="179"/>
      <c r="C46" s="179"/>
      <c r="D46" s="179"/>
      <c r="E46" s="179"/>
      <c r="F46" s="179"/>
      <c r="G46" s="179"/>
      <c r="H46" s="80"/>
      <c r="I46" s="80"/>
      <c r="J46" s="80"/>
      <c r="K46" s="80"/>
      <c r="L46" s="4"/>
      <c r="M46" s="4"/>
      <c r="N46" s="4"/>
      <c r="O46" s="4"/>
      <c r="P46" s="4"/>
      <c r="Q46" s="4"/>
      <c r="R46" s="4"/>
      <c r="S46" s="4"/>
      <c r="T46" s="4"/>
      <c r="U46" s="4"/>
      <c r="V46" s="4"/>
      <c r="W46" s="4"/>
      <c r="X46" s="4"/>
      <c r="Y46" s="4"/>
      <c r="Z46" s="4"/>
    </row>
    <row r="47" ht="33.75" customHeight="1">
      <c r="A47" s="181" t="s">
        <v>113</v>
      </c>
      <c r="B47" s="8"/>
      <c r="C47" s="182" t="s">
        <v>114</v>
      </c>
      <c r="D47" s="181" t="s">
        <v>89</v>
      </c>
      <c r="E47" s="8"/>
      <c r="F47" s="182" t="s">
        <v>115</v>
      </c>
      <c r="G47" s="182" t="s">
        <v>116</v>
      </c>
      <c r="H47" s="80"/>
      <c r="I47" s="80"/>
      <c r="J47" s="80"/>
      <c r="K47" s="80"/>
      <c r="L47" s="4"/>
      <c r="M47" s="4"/>
      <c r="N47" s="4"/>
      <c r="O47" s="4"/>
      <c r="P47" s="4"/>
      <c r="Q47" s="4"/>
      <c r="R47" s="4"/>
      <c r="S47" s="4"/>
      <c r="T47" s="4"/>
      <c r="U47" s="4"/>
      <c r="V47" s="4"/>
      <c r="W47" s="4"/>
      <c r="X47" s="4"/>
      <c r="Y47" s="4"/>
      <c r="Z47" s="4"/>
    </row>
    <row r="48" ht="14.25" customHeight="1">
      <c r="A48" s="183" t="s">
        <v>117</v>
      </c>
      <c r="B48" s="8"/>
      <c r="C48" s="184" t="s">
        <v>69</v>
      </c>
      <c r="D48" s="185">
        <f>Sum_Assured</f>
        <v>330001167</v>
      </c>
      <c r="E48" s="8"/>
      <c r="F48" s="186">
        <f>Assumption!$I$18</f>
        <v>25000</v>
      </c>
      <c r="G48" s="186">
        <f>ROUND(ROUND(output!$J$8+output!$K$8,0)/12,0)</f>
        <v>504902</v>
      </c>
      <c r="H48" s="80"/>
      <c r="I48" s="80"/>
      <c r="J48" s="80"/>
      <c r="K48" s="80"/>
      <c r="L48" s="4"/>
      <c r="M48" s="4"/>
      <c r="N48" s="4"/>
      <c r="O48" s="4"/>
      <c r="P48" s="4"/>
      <c r="Q48" s="4"/>
      <c r="R48" s="4"/>
      <c r="S48" s="4"/>
      <c r="T48" s="4"/>
      <c r="U48" s="4"/>
      <c r="V48" s="4"/>
      <c r="W48" s="4"/>
      <c r="X48" s="4"/>
      <c r="Y48" s="4"/>
      <c r="Z48" s="4"/>
    </row>
    <row r="49" ht="15.0" customHeight="1">
      <c r="A49" s="173" t="s">
        <v>118</v>
      </c>
      <c r="B49" s="174"/>
      <c r="C49" s="174"/>
      <c r="D49" s="174"/>
      <c r="E49" s="174"/>
      <c r="F49" s="174"/>
      <c r="G49" s="175"/>
      <c r="H49" s="80"/>
      <c r="I49" s="80"/>
      <c r="J49" s="80"/>
      <c r="K49" s="80"/>
      <c r="L49" s="4"/>
      <c r="M49" s="4"/>
      <c r="N49" s="4"/>
      <c r="O49" s="4"/>
      <c r="P49" s="4"/>
      <c r="Q49" s="4"/>
      <c r="R49" s="4"/>
      <c r="S49" s="4"/>
      <c r="T49" s="4"/>
      <c r="U49" s="4"/>
      <c r="V49" s="4"/>
      <c r="W49" s="4"/>
      <c r="X49" s="4"/>
      <c r="Y49" s="4"/>
      <c r="Z49" s="4"/>
    </row>
    <row r="50" ht="15.0" customHeight="1">
      <c r="A50" s="176"/>
      <c r="B50" s="177"/>
      <c r="C50" s="177"/>
      <c r="D50" s="177"/>
      <c r="E50" s="177"/>
      <c r="F50" s="177"/>
      <c r="G50" s="178"/>
      <c r="H50" s="80"/>
      <c r="I50" s="80"/>
      <c r="J50" s="80"/>
      <c r="K50" s="80"/>
      <c r="L50" s="4"/>
      <c r="M50" s="4"/>
      <c r="N50" s="4"/>
      <c r="O50" s="4"/>
      <c r="P50" s="4"/>
      <c r="Q50" s="4"/>
      <c r="R50" s="4"/>
      <c r="S50" s="4"/>
      <c r="T50" s="4"/>
      <c r="U50" s="4"/>
      <c r="V50" s="4"/>
      <c r="W50" s="4"/>
      <c r="X50" s="4"/>
      <c r="Y50" s="4"/>
      <c r="Z50" s="4"/>
    </row>
    <row r="51" ht="15.0" customHeight="1">
      <c r="A51" s="187"/>
      <c r="B51" s="187"/>
      <c r="C51" s="187"/>
      <c r="D51" s="187"/>
      <c r="E51" s="187"/>
      <c r="F51" s="187"/>
      <c r="G51" s="187"/>
      <c r="H51" s="80"/>
      <c r="I51" s="80"/>
      <c r="J51" s="80"/>
      <c r="K51" s="80"/>
      <c r="L51" s="4"/>
      <c r="M51" s="4"/>
      <c r="N51" s="4"/>
      <c r="O51" s="4"/>
      <c r="P51" s="4"/>
      <c r="Q51" s="4"/>
      <c r="R51" s="4"/>
      <c r="S51" s="4"/>
      <c r="T51" s="4"/>
      <c r="U51" s="4"/>
      <c r="V51" s="4"/>
      <c r="W51" s="4"/>
      <c r="X51" s="4"/>
      <c r="Y51" s="4"/>
      <c r="Z51" s="4"/>
    </row>
    <row r="52" ht="14.25" customHeight="1">
      <c r="A52" s="80"/>
      <c r="B52" s="80"/>
      <c r="C52" s="80"/>
      <c r="D52" s="80"/>
      <c r="E52" s="80"/>
      <c r="F52" s="80"/>
      <c r="G52" s="80"/>
      <c r="H52" s="80"/>
      <c r="I52" s="80"/>
      <c r="J52" s="80"/>
      <c r="K52" s="80"/>
      <c r="L52" s="4"/>
      <c r="M52" s="4"/>
      <c r="N52" s="4"/>
      <c r="O52" s="4"/>
      <c r="P52" s="4"/>
      <c r="Q52" s="4"/>
      <c r="R52" s="4"/>
      <c r="S52" s="4"/>
      <c r="T52" s="4"/>
      <c r="U52" s="4"/>
      <c r="V52" s="4"/>
      <c r="W52" s="4"/>
      <c r="X52" s="4"/>
      <c r="Y52" s="4"/>
      <c r="Z52" s="4"/>
    </row>
    <row r="53" ht="14.25" customHeight="1">
      <c r="A53" s="80"/>
      <c r="B53" s="80"/>
      <c r="C53" s="80"/>
      <c r="D53" s="80"/>
      <c r="E53" s="80"/>
      <c r="F53" s="80"/>
      <c r="G53" s="80"/>
      <c r="H53" s="80"/>
      <c r="I53" s="80"/>
      <c r="J53" s="80"/>
      <c r="K53" s="80"/>
      <c r="L53" s="4"/>
      <c r="M53" s="4"/>
      <c r="N53" s="4"/>
      <c r="O53" s="4"/>
      <c r="P53" s="4"/>
      <c r="Q53" s="4"/>
      <c r="R53" s="4"/>
      <c r="S53" s="4"/>
      <c r="T53" s="4"/>
      <c r="U53" s="4"/>
      <c r="V53" s="4"/>
      <c r="W53" s="4"/>
      <c r="X53" s="4"/>
      <c r="Y53" s="4"/>
      <c r="Z53" s="4"/>
    </row>
    <row r="54" ht="14.25" customHeight="1">
      <c r="A54" s="80"/>
      <c r="B54" s="80"/>
      <c r="C54" s="80"/>
      <c r="D54" s="80"/>
      <c r="E54" s="80"/>
      <c r="F54" s="80"/>
      <c r="G54" s="80"/>
      <c r="H54" s="80"/>
      <c r="I54" s="80"/>
      <c r="J54" s="80"/>
      <c r="K54" s="80"/>
      <c r="L54" s="4"/>
      <c r="M54" s="4"/>
      <c r="N54" s="4"/>
      <c r="O54" s="4"/>
      <c r="P54" s="4"/>
      <c r="Q54" s="4"/>
      <c r="R54" s="4"/>
      <c r="S54" s="4"/>
      <c r="T54" s="4"/>
      <c r="U54" s="4"/>
      <c r="V54" s="4"/>
      <c r="W54" s="4"/>
      <c r="X54" s="4"/>
      <c r="Y54" s="4"/>
      <c r="Z54" s="4"/>
    </row>
    <row r="55" ht="14.25" customHeight="1">
      <c r="A55" s="80"/>
      <c r="B55" s="80"/>
      <c r="C55" s="80"/>
      <c r="D55" s="80"/>
      <c r="E55" s="80"/>
      <c r="F55" s="80"/>
      <c r="G55" s="80"/>
      <c r="H55" s="80"/>
      <c r="I55" s="80"/>
      <c r="J55" s="80"/>
      <c r="K55" s="80"/>
      <c r="L55" s="4"/>
      <c r="M55" s="4"/>
      <c r="N55" s="4"/>
      <c r="O55" s="4"/>
      <c r="P55" s="4"/>
      <c r="Q55" s="4"/>
      <c r="R55" s="4"/>
      <c r="S55" s="4"/>
      <c r="T55" s="4"/>
      <c r="U55" s="4"/>
      <c r="V55" s="4"/>
      <c r="W55" s="4"/>
      <c r="X55" s="4"/>
      <c r="Y55" s="4"/>
      <c r="Z55" s="4"/>
    </row>
    <row r="56" ht="14.25" customHeight="1">
      <c r="A56" s="80"/>
      <c r="B56" s="80"/>
      <c r="C56" s="80"/>
      <c r="D56" s="80"/>
      <c r="E56" s="80"/>
      <c r="F56" s="80"/>
      <c r="G56" s="80"/>
      <c r="H56" s="80"/>
      <c r="I56" s="80"/>
      <c r="J56" s="80"/>
      <c r="K56" s="80"/>
      <c r="L56" s="4"/>
      <c r="M56" s="4"/>
      <c r="N56" s="4"/>
      <c r="O56" s="4"/>
      <c r="P56" s="4"/>
      <c r="Q56" s="4"/>
      <c r="R56" s="4"/>
      <c r="S56" s="4"/>
      <c r="T56" s="4"/>
      <c r="U56" s="4"/>
      <c r="V56" s="4"/>
      <c r="W56" s="4"/>
      <c r="X56" s="4"/>
      <c r="Y56" s="4"/>
      <c r="Z56" s="4"/>
    </row>
    <row r="57" ht="14.25" customHeight="1">
      <c r="A57" s="80"/>
      <c r="B57" s="80"/>
      <c r="C57" s="80"/>
      <c r="D57" s="80"/>
      <c r="E57" s="80"/>
      <c r="F57" s="80"/>
      <c r="G57" s="80"/>
      <c r="H57" s="80"/>
      <c r="I57" s="80"/>
      <c r="J57" s="80"/>
      <c r="K57" s="80"/>
      <c r="L57" s="4"/>
      <c r="M57" s="4"/>
      <c r="N57" s="4"/>
      <c r="O57" s="4"/>
      <c r="P57" s="4"/>
      <c r="Q57" s="4"/>
      <c r="R57" s="4"/>
      <c r="S57" s="4"/>
      <c r="T57" s="4"/>
      <c r="U57" s="4"/>
      <c r="V57" s="4"/>
      <c r="W57" s="4"/>
      <c r="X57" s="4"/>
      <c r="Y57" s="4"/>
      <c r="Z57" s="4"/>
    </row>
    <row r="58" ht="14.25" customHeight="1">
      <c r="A58" s="80"/>
      <c r="B58" s="80"/>
      <c r="C58" s="80"/>
      <c r="D58" s="80"/>
      <c r="E58" s="80"/>
      <c r="F58" s="80"/>
      <c r="G58" s="80"/>
      <c r="H58" s="80"/>
      <c r="I58" s="80"/>
      <c r="J58" s="80"/>
      <c r="K58" s="80"/>
      <c r="L58" s="4"/>
      <c r="M58" s="4"/>
      <c r="N58" s="4"/>
      <c r="O58" s="4"/>
      <c r="P58" s="4"/>
      <c r="Q58" s="4"/>
      <c r="R58" s="4"/>
      <c r="S58" s="4"/>
      <c r="T58" s="4"/>
      <c r="U58" s="4"/>
      <c r="V58" s="4"/>
      <c r="W58" s="4"/>
      <c r="X58" s="4"/>
      <c r="Y58" s="4"/>
      <c r="Z58" s="4"/>
    </row>
    <row r="59" ht="14.25" customHeight="1">
      <c r="A59" s="80"/>
      <c r="B59" s="80"/>
      <c r="C59" s="80"/>
      <c r="D59" s="80"/>
      <c r="E59" s="80"/>
      <c r="F59" s="80"/>
      <c r="G59" s="80"/>
      <c r="H59" s="80"/>
      <c r="I59" s="80"/>
      <c r="J59" s="80"/>
      <c r="K59" s="80"/>
      <c r="L59" s="4"/>
      <c r="M59" s="4"/>
      <c r="N59" s="4"/>
      <c r="O59" s="4"/>
      <c r="P59" s="4"/>
      <c r="Q59" s="4"/>
      <c r="R59" s="4"/>
      <c r="S59" s="4"/>
      <c r="T59" s="4"/>
      <c r="U59" s="4"/>
      <c r="V59" s="4"/>
      <c r="W59" s="4"/>
      <c r="X59" s="4"/>
      <c r="Y59" s="4"/>
      <c r="Z59" s="4"/>
    </row>
    <row r="60" ht="14.25" customHeight="1">
      <c r="A60" s="80"/>
      <c r="B60" s="80"/>
      <c r="C60" s="80"/>
      <c r="D60" s="80"/>
      <c r="E60" s="80"/>
      <c r="F60" s="80"/>
      <c r="G60" s="80"/>
      <c r="H60" s="80"/>
      <c r="I60" s="80"/>
      <c r="J60" s="80"/>
      <c r="K60" s="80"/>
      <c r="L60" s="4"/>
      <c r="M60" s="4"/>
      <c r="N60" s="4"/>
      <c r="O60" s="4"/>
      <c r="P60" s="4"/>
      <c r="Q60" s="4"/>
      <c r="R60" s="4"/>
      <c r="S60" s="4"/>
      <c r="T60" s="4"/>
      <c r="U60" s="4"/>
      <c r="V60" s="4"/>
      <c r="W60" s="4"/>
      <c r="X60" s="4"/>
      <c r="Y60" s="4"/>
      <c r="Z60" s="4"/>
    </row>
    <row r="61" ht="14.25" customHeight="1">
      <c r="A61" s="80"/>
      <c r="B61" s="80"/>
      <c r="C61" s="80"/>
      <c r="D61" s="80"/>
      <c r="E61" s="80"/>
      <c r="F61" s="80"/>
      <c r="G61" s="80"/>
      <c r="H61" s="80"/>
      <c r="I61" s="80"/>
      <c r="J61" s="80"/>
      <c r="K61" s="80"/>
      <c r="L61" s="4"/>
      <c r="M61" s="4"/>
      <c r="N61" s="4"/>
      <c r="O61" s="4"/>
      <c r="P61" s="4"/>
      <c r="Q61" s="4"/>
      <c r="R61" s="4"/>
      <c r="S61" s="4"/>
      <c r="T61" s="4"/>
      <c r="U61" s="4"/>
      <c r="V61" s="4"/>
      <c r="W61" s="4"/>
      <c r="X61" s="4"/>
      <c r="Y61" s="4"/>
      <c r="Z61" s="4"/>
    </row>
    <row r="62" ht="14.25" customHeight="1">
      <c r="A62" s="80"/>
      <c r="B62" s="80"/>
      <c r="C62" s="80"/>
      <c r="D62" s="80"/>
      <c r="E62" s="80"/>
      <c r="F62" s="80"/>
      <c r="G62" s="80"/>
      <c r="H62" s="80"/>
      <c r="I62" s="80"/>
      <c r="J62" s="80"/>
      <c r="K62" s="80"/>
      <c r="L62" s="4"/>
      <c r="M62" s="4"/>
      <c r="N62" s="4"/>
      <c r="O62" s="4"/>
      <c r="P62" s="4"/>
      <c r="Q62" s="4"/>
      <c r="R62" s="4"/>
      <c r="S62" s="4"/>
      <c r="T62" s="4"/>
      <c r="U62" s="4"/>
      <c r="V62" s="4"/>
      <c r="W62" s="4"/>
      <c r="X62" s="4"/>
      <c r="Y62" s="4"/>
      <c r="Z62" s="4"/>
    </row>
    <row r="63" ht="14.25" customHeight="1">
      <c r="A63" s="80"/>
      <c r="B63" s="80"/>
      <c r="C63" s="80"/>
      <c r="D63" s="80"/>
      <c r="E63" s="80"/>
      <c r="F63" s="80"/>
      <c r="G63" s="80"/>
      <c r="H63" s="80"/>
      <c r="I63" s="80"/>
      <c r="J63" s="80"/>
      <c r="K63" s="80"/>
      <c r="L63" s="4"/>
      <c r="M63" s="4"/>
      <c r="N63" s="4"/>
      <c r="O63" s="4"/>
      <c r="P63" s="4"/>
      <c r="Q63" s="4"/>
      <c r="R63" s="4"/>
      <c r="S63" s="4"/>
      <c r="T63" s="4"/>
      <c r="U63" s="4"/>
      <c r="V63" s="4"/>
      <c r="W63" s="4"/>
      <c r="X63" s="4"/>
      <c r="Y63" s="4"/>
      <c r="Z63" s="4"/>
    </row>
    <row r="64" ht="14.25" customHeight="1">
      <c r="A64" s="80"/>
      <c r="B64" s="80"/>
      <c r="C64" s="80"/>
      <c r="D64" s="80"/>
      <c r="E64" s="80"/>
      <c r="F64" s="80"/>
      <c r="G64" s="80"/>
      <c r="H64" s="80"/>
      <c r="I64" s="80"/>
      <c r="J64" s="80"/>
      <c r="K64" s="80"/>
      <c r="L64" s="4"/>
      <c r="M64" s="4"/>
      <c r="N64" s="4"/>
      <c r="O64" s="4"/>
      <c r="P64" s="4"/>
      <c r="Q64" s="4"/>
      <c r="R64" s="4"/>
      <c r="S64" s="4"/>
      <c r="T64" s="4"/>
      <c r="U64" s="4"/>
      <c r="V64" s="4"/>
      <c r="W64" s="4"/>
      <c r="X64" s="4"/>
      <c r="Y64" s="4"/>
      <c r="Z64" s="4"/>
    </row>
    <row r="65" ht="14.25" customHeight="1">
      <c r="A65" s="80"/>
      <c r="B65" s="80"/>
      <c r="C65" s="80"/>
      <c r="D65" s="80"/>
      <c r="E65" s="80"/>
      <c r="F65" s="80"/>
      <c r="G65" s="80"/>
      <c r="H65" s="80"/>
      <c r="I65" s="80"/>
      <c r="J65" s="80"/>
      <c r="K65" s="80"/>
      <c r="L65" s="4"/>
      <c r="M65" s="4"/>
      <c r="N65" s="4"/>
      <c r="O65" s="4"/>
      <c r="P65" s="4"/>
      <c r="Q65" s="4"/>
      <c r="R65" s="4"/>
      <c r="S65" s="4"/>
      <c r="T65" s="4"/>
      <c r="U65" s="4"/>
      <c r="V65" s="4"/>
      <c r="W65" s="4"/>
      <c r="X65" s="4"/>
      <c r="Y65" s="4"/>
      <c r="Z65" s="4"/>
    </row>
    <row r="66" ht="14.25" customHeight="1">
      <c r="A66" s="80"/>
      <c r="B66" s="80"/>
      <c r="C66" s="80"/>
      <c r="D66" s="80"/>
      <c r="E66" s="80"/>
      <c r="F66" s="80"/>
      <c r="G66" s="80"/>
      <c r="H66" s="80"/>
      <c r="I66" s="80"/>
      <c r="J66" s="80"/>
      <c r="K66" s="80"/>
      <c r="L66" s="4"/>
      <c r="M66" s="4"/>
      <c r="N66" s="4"/>
      <c r="O66" s="4"/>
      <c r="P66" s="4"/>
      <c r="Q66" s="4"/>
      <c r="R66" s="4"/>
      <c r="S66" s="4"/>
      <c r="T66" s="4"/>
      <c r="U66" s="4"/>
      <c r="V66" s="4"/>
      <c r="W66" s="4"/>
      <c r="X66" s="4"/>
      <c r="Y66" s="4"/>
      <c r="Z66" s="4"/>
    </row>
    <row r="67" ht="14.25" customHeight="1">
      <c r="A67" s="80"/>
      <c r="B67" s="80"/>
      <c r="C67" s="80"/>
      <c r="D67" s="80"/>
      <c r="E67" s="80"/>
      <c r="F67" s="80"/>
      <c r="G67" s="80"/>
      <c r="H67" s="80"/>
      <c r="I67" s="80"/>
      <c r="J67" s="80"/>
      <c r="K67" s="80"/>
      <c r="L67" s="4"/>
      <c r="M67" s="4"/>
      <c r="N67" s="4"/>
      <c r="O67" s="4"/>
      <c r="P67" s="4"/>
      <c r="Q67" s="4"/>
      <c r="R67" s="4"/>
      <c r="S67" s="4"/>
      <c r="T67" s="4"/>
      <c r="U67" s="4"/>
      <c r="V67" s="4"/>
      <c r="W67" s="4"/>
      <c r="X67" s="4"/>
      <c r="Y67" s="4"/>
      <c r="Z67" s="4"/>
    </row>
    <row r="68" ht="14.25" customHeight="1">
      <c r="A68" s="80"/>
      <c r="B68" s="80"/>
      <c r="C68" s="80"/>
      <c r="D68" s="80"/>
      <c r="E68" s="80"/>
      <c r="F68" s="80"/>
      <c r="G68" s="80"/>
      <c r="H68" s="80"/>
      <c r="I68" s="80"/>
      <c r="J68" s="80"/>
      <c r="K68" s="80"/>
      <c r="L68" s="4"/>
      <c r="M68" s="4"/>
      <c r="N68" s="4"/>
      <c r="O68" s="4"/>
      <c r="P68" s="4"/>
      <c r="Q68" s="4"/>
      <c r="R68" s="4"/>
      <c r="S68" s="4"/>
      <c r="T68" s="4"/>
      <c r="U68" s="4"/>
      <c r="V68" s="4"/>
      <c r="W68" s="4"/>
      <c r="X68" s="4"/>
      <c r="Y68" s="4"/>
      <c r="Z68" s="4"/>
    </row>
    <row r="69" ht="14.25" customHeight="1">
      <c r="A69" s="80"/>
      <c r="B69" s="80"/>
      <c r="C69" s="80"/>
      <c r="D69" s="80"/>
      <c r="E69" s="80"/>
      <c r="F69" s="80"/>
      <c r="G69" s="80"/>
      <c r="H69" s="80"/>
      <c r="I69" s="80"/>
      <c r="J69" s="80"/>
      <c r="K69" s="80"/>
      <c r="L69" s="4"/>
      <c r="M69" s="4"/>
      <c r="N69" s="4"/>
      <c r="O69" s="4"/>
      <c r="P69" s="4"/>
      <c r="Q69" s="4"/>
      <c r="R69" s="4"/>
      <c r="S69" s="4"/>
      <c r="T69" s="4"/>
      <c r="U69" s="4"/>
      <c r="V69" s="4"/>
      <c r="W69" s="4"/>
      <c r="X69" s="4"/>
      <c r="Y69" s="4"/>
      <c r="Z69" s="4"/>
    </row>
    <row r="70" ht="14.25" customHeight="1">
      <c r="A70" s="80"/>
      <c r="B70" s="80"/>
      <c r="C70" s="80"/>
      <c r="D70" s="80"/>
      <c r="E70" s="80"/>
      <c r="F70" s="80"/>
      <c r="G70" s="80"/>
      <c r="H70" s="80"/>
      <c r="I70" s="80"/>
      <c r="J70" s="80"/>
      <c r="K70" s="80"/>
      <c r="L70" s="4"/>
      <c r="M70" s="4"/>
      <c r="N70" s="4"/>
      <c r="O70" s="4"/>
      <c r="P70" s="4"/>
      <c r="Q70" s="4"/>
      <c r="R70" s="4"/>
      <c r="S70" s="4"/>
      <c r="T70" s="4"/>
      <c r="U70" s="4"/>
      <c r="V70" s="4"/>
      <c r="W70" s="4"/>
      <c r="X70" s="4"/>
      <c r="Y70" s="4"/>
      <c r="Z70" s="4"/>
    </row>
    <row r="71" ht="14.25" customHeight="1">
      <c r="A71" s="80"/>
      <c r="B71" s="80"/>
      <c r="C71" s="80"/>
      <c r="D71" s="80"/>
      <c r="E71" s="80"/>
      <c r="F71" s="80"/>
      <c r="G71" s="80"/>
      <c r="H71" s="80"/>
      <c r="I71" s="80"/>
      <c r="J71" s="80"/>
      <c r="K71" s="80"/>
      <c r="L71" s="4"/>
      <c r="M71" s="4"/>
      <c r="N71" s="4"/>
      <c r="O71" s="4"/>
      <c r="P71" s="4"/>
      <c r="Q71" s="4"/>
      <c r="R71" s="4"/>
      <c r="S71" s="4"/>
      <c r="T71" s="4"/>
      <c r="U71" s="4"/>
      <c r="V71" s="4"/>
      <c r="W71" s="4"/>
      <c r="X71" s="4"/>
      <c r="Y71" s="4"/>
      <c r="Z71" s="4"/>
    </row>
    <row r="72" ht="14.25" customHeight="1">
      <c r="A72" s="80"/>
      <c r="B72" s="80"/>
      <c r="C72" s="80"/>
      <c r="D72" s="80"/>
      <c r="E72" s="80"/>
      <c r="F72" s="80"/>
      <c r="G72" s="80"/>
      <c r="H72" s="80"/>
      <c r="I72" s="80"/>
      <c r="J72" s="80"/>
      <c r="K72" s="80"/>
      <c r="L72" s="4"/>
      <c r="M72" s="4"/>
      <c r="N72" s="4"/>
      <c r="O72" s="4"/>
      <c r="P72" s="4"/>
      <c r="Q72" s="4"/>
      <c r="R72" s="4"/>
      <c r="S72" s="4"/>
      <c r="T72" s="4"/>
      <c r="U72" s="4"/>
      <c r="V72" s="4"/>
      <c r="W72" s="4"/>
      <c r="X72" s="4"/>
      <c r="Y72" s="4"/>
      <c r="Z72" s="4"/>
    </row>
    <row r="73" ht="14.25" customHeight="1">
      <c r="A73" s="80"/>
      <c r="B73" s="80"/>
      <c r="C73" s="80"/>
      <c r="D73" s="80"/>
      <c r="E73" s="80"/>
      <c r="F73" s="80"/>
      <c r="G73" s="80"/>
      <c r="H73" s="80"/>
      <c r="I73" s="80"/>
      <c r="J73" s="80"/>
      <c r="K73" s="80"/>
      <c r="L73" s="4"/>
      <c r="M73" s="4"/>
      <c r="N73" s="4"/>
      <c r="O73" s="4"/>
      <c r="P73" s="4"/>
      <c r="Q73" s="4"/>
      <c r="R73" s="4"/>
      <c r="S73" s="4"/>
      <c r="T73" s="4"/>
      <c r="U73" s="4"/>
      <c r="V73" s="4"/>
      <c r="W73" s="4"/>
      <c r="X73" s="4"/>
      <c r="Y73" s="4"/>
      <c r="Z73" s="4"/>
    </row>
    <row r="74" ht="14.25" customHeight="1">
      <c r="A74" s="80"/>
      <c r="B74" s="80"/>
      <c r="C74" s="80"/>
      <c r="D74" s="80"/>
      <c r="E74" s="80"/>
      <c r="F74" s="80"/>
      <c r="G74" s="80"/>
      <c r="H74" s="80"/>
      <c r="I74" s="80"/>
      <c r="J74" s="80"/>
      <c r="K74" s="80"/>
      <c r="L74" s="4"/>
      <c r="M74" s="4"/>
      <c r="N74" s="4"/>
      <c r="O74" s="4"/>
      <c r="P74" s="4"/>
      <c r="Q74" s="4"/>
      <c r="R74" s="4"/>
      <c r="S74" s="4"/>
      <c r="T74" s="4"/>
      <c r="U74" s="4"/>
      <c r="V74" s="4"/>
      <c r="W74" s="4"/>
      <c r="X74" s="4"/>
      <c r="Y74" s="4"/>
      <c r="Z74" s="4"/>
    </row>
    <row r="75" ht="14.25" customHeight="1">
      <c r="A75" s="80"/>
      <c r="B75" s="80"/>
      <c r="C75" s="80"/>
      <c r="D75" s="80"/>
      <c r="E75" s="80"/>
      <c r="F75" s="80"/>
      <c r="G75" s="80"/>
      <c r="H75" s="80"/>
      <c r="I75" s="80"/>
      <c r="J75" s="80"/>
      <c r="K75" s="80"/>
      <c r="L75" s="4"/>
      <c r="M75" s="4"/>
      <c r="N75" s="4"/>
      <c r="O75" s="4"/>
      <c r="P75" s="4"/>
      <c r="Q75" s="4"/>
      <c r="R75" s="4"/>
      <c r="S75" s="4"/>
      <c r="T75" s="4"/>
      <c r="U75" s="4"/>
      <c r="V75" s="4"/>
      <c r="W75" s="4"/>
      <c r="X75" s="4"/>
      <c r="Y75" s="4"/>
      <c r="Z75" s="4"/>
    </row>
    <row r="76" ht="14.25" customHeight="1">
      <c r="A76" s="80"/>
      <c r="B76" s="80"/>
      <c r="C76" s="80"/>
      <c r="D76" s="80"/>
      <c r="E76" s="80"/>
      <c r="F76" s="80"/>
      <c r="G76" s="80"/>
      <c r="H76" s="80"/>
      <c r="I76" s="80"/>
      <c r="J76" s="80"/>
      <c r="K76" s="80"/>
      <c r="L76" s="4"/>
      <c r="M76" s="4"/>
      <c r="N76" s="4"/>
      <c r="O76" s="4"/>
      <c r="P76" s="4"/>
      <c r="Q76" s="4"/>
      <c r="R76" s="4"/>
      <c r="S76" s="4"/>
      <c r="T76" s="4"/>
      <c r="U76" s="4"/>
      <c r="V76" s="4"/>
      <c r="W76" s="4"/>
      <c r="X76" s="4"/>
      <c r="Y76" s="4"/>
      <c r="Z76" s="4"/>
    </row>
    <row r="77" ht="14.25" customHeight="1">
      <c r="A77" s="80"/>
      <c r="B77" s="80"/>
      <c r="C77" s="80"/>
      <c r="D77" s="80"/>
      <c r="E77" s="80"/>
      <c r="F77" s="80"/>
      <c r="G77" s="80"/>
      <c r="H77" s="80"/>
      <c r="I77" s="80"/>
      <c r="J77" s="80"/>
      <c r="K77" s="80"/>
      <c r="L77" s="4"/>
      <c r="M77" s="4"/>
      <c r="N77" s="4"/>
      <c r="O77" s="4"/>
      <c r="P77" s="4"/>
      <c r="Q77" s="4"/>
      <c r="R77" s="4"/>
      <c r="S77" s="4"/>
      <c r="T77" s="4"/>
      <c r="U77" s="4"/>
      <c r="V77" s="4"/>
      <c r="W77" s="4"/>
      <c r="X77" s="4"/>
      <c r="Y77" s="4"/>
      <c r="Z77" s="4"/>
    </row>
    <row r="78" ht="14.25" customHeight="1">
      <c r="A78" s="80"/>
      <c r="B78" s="80"/>
      <c r="C78" s="80"/>
      <c r="D78" s="80"/>
      <c r="E78" s="80"/>
      <c r="F78" s="80"/>
      <c r="G78" s="80"/>
      <c r="H78" s="80"/>
      <c r="I78" s="80"/>
      <c r="J78" s="80"/>
      <c r="K78" s="80"/>
      <c r="L78" s="4"/>
      <c r="M78" s="4"/>
      <c r="N78" s="4"/>
      <c r="O78" s="4"/>
      <c r="P78" s="4"/>
      <c r="Q78" s="4"/>
      <c r="R78" s="4"/>
      <c r="S78" s="4"/>
      <c r="T78" s="4"/>
      <c r="U78" s="4"/>
      <c r="V78" s="4"/>
      <c r="W78" s="4"/>
      <c r="X78" s="4"/>
      <c r="Y78" s="4"/>
      <c r="Z78" s="4"/>
    </row>
    <row r="79" ht="14.25" customHeight="1">
      <c r="A79" s="80"/>
      <c r="B79" s="80"/>
      <c r="C79" s="80"/>
      <c r="D79" s="80"/>
      <c r="E79" s="80"/>
      <c r="F79" s="80"/>
      <c r="G79" s="80"/>
      <c r="H79" s="80"/>
      <c r="I79" s="80"/>
      <c r="J79" s="80"/>
      <c r="K79" s="80"/>
      <c r="L79" s="4"/>
      <c r="M79" s="4"/>
      <c r="N79" s="4"/>
      <c r="O79" s="4"/>
      <c r="P79" s="4"/>
      <c r="Q79" s="4"/>
      <c r="R79" s="4"/>
      <c r="S79" s="4"/>
      <c r="T79" s="4"/>
      <c r="U79" s="4"/>
      <c r="V79" s="4"/>
      <c r="W79" s="4"/>
      <c r="X79" s="4"/>
      <c r="Y79" s="4"/>
      <c r="Z79" s="4"/>
    </row>
    <row r="80" ht="14.25" customHeight="1">
      <c r="A80" s="80"/>
      <c r="B80" s="80"/>
      <c r="C80" s="80"/>
      <c r="D80" s="80"/>
      <c r="E80" s="80"/>
      <c r="F80" s="80"/>
      <c r="G80" s="80"/>
      <c r="H80" s="80"/>
      <c r="I80" s="80"/>
      <c r="J80" s="80"/>
      <c r="K80" s="80"/>
      <c r="L80" s="4"/>
      <c r="M80" s="4"/>
      <c r="N80" s="4"/>
      <c r="O80" s="4"/>
      <c r="P80" s="4"/>
      <c r="Q80" s="4"/>
      <c r="R80" s="4"/>
      <c r="S80" s="4"/>
      <c r="T80" s="4"/>
      <c r="U80" s="4"/>
      <c r="V80" s="4"/>
      <c r="W80" s="4"/>
      <c r="X80" s="4"/>
      <c r="Y80" s="4"/>
      <c r="Z80" s="4"/>
    </row>
    <row r="81" ht="14.25" customHeight="1">
      <c r="A81" s="80"/>
      <c r="B81" s="80"/>
      <c r="C81" s="80"/>
      <c r="D81" s="80"/>
      <c r="E81" s="80"/>
      <c r="F81" s="80"/>
      <c r="G81" s="80"/>
      <c r="H81" s="80"/>
      <c r="I81" s="80"/>
      <c r="J81" s="80"/>
      <c r="K81" s="80"/>
      <c r="L81" s="4"/>
      <c r="M81" s="4"/>
      <c r="N81" s="4"/>
      <c r="O81" s="4"/>
      <c r="P81" s="4"/>
      <c r="Q81" s="4"/>
      <c r="R81" s="4"/>
      <c r="S81" s="4"/>
      <c r="T81" s="4"/>
      <c r="U81" s="4"/>
      <c r="V81" s="4"/>
      <c r="W81" s="4"/>
      <c r="X81" s="4"/>
      <c r="Y81" s="4"/>
      <c r="Z81" s="4"/>
    </row>
    <row r="82" ht="14.25" customHeight="1">
      <c r="A82" s="80"/>
      <c r="B82" s="80"/>
      <c r="C82" s="80"/>
      <c r="D82" s="80"/>
      <c r="E82" s="80"/>
      <c r="F82" s="80"/>
      <c r="G82" s="80"/>
      <c r="H82" s="80"/>
      <c r="I82" s="80"/>
      <c r="J82" s="80"/>
      <c r="K82" s="80"/>
      <c r="L82" s="4"/>
      <c r="M82" s="4"/>
      <c r="N82" s="4"/>
      <c r="O82" s="4"/>
      <c r="P82" s="4"/>
      <c r="Q82" s="4"/>
      <c r="R82" s="4"/>
      <c r="S82" s="4"/>
      <c r="T82" s="4"/>
      <c r="U82" s="4"/>
      <c r="V82" s="4"/>
      <c r="W82" s="4"/>
      <c r="X82" s="4"/>
      <c r="Y82" s="4"/>
      <c r="Z82" s="4"/>
    </row>
    <row r="83" ht="14.25" customHeight="1">
      <c r="A83" s="80"/>
      <c r="B83" s="80"/>
      <c r="C83" s="80"/>
      <c r="D83" s="80"/>
      <c r="E83" s="80"/>
      <c r="F83" s="80"/>
      <c r="G83" s="80"/>
      <c r="H83" s="80"/>
      <c r="I83" s="80"/>
      <c r="J83" s="80"/>
      <c r="K83" s="80"/>
      <c r="L83" s="4"/>
      <c r="M83" s="4"/>
      <c r="N83" s="4"/>
      <c r="O83" s="4"/>
      <c r="P83" s="4"/>
      <c r="Q83" s="4"/>
      <c r="R83" s="4"/>
      <c r="S83" s="4"/>
      <c r="T83" s="4"/>
      <c r="U83" s="4"/>
      <c r="V83" s="4"/>
      <c r="W83" s="4"/>
      <c r="X83" s="4"/>
      <c r="Y83" s="4"/>
      <c r="Z83" s="4"/>
    </row>
    <row r="84" ht="14.25" customHeight="1">
      <c r="A84" s="80"/>
      <c r="B84" s="80"/>
      <c r="C84" s="80"/>
      <c r="D84" s="80"/>
      <c r="E84" s="80"/>
      <c r="F84" s="80"/>
      <c r="G84" s="80"/>
      <c r="H84" s="80"/>
      <c r="I84" s="80"/>
      <c r="J84" s="80"/>
      <c r="K84" s="80"/>
      <c r="L84" s="4"/>
      <c r="M84" s="4"/>
      <c r="N84" s="4"/>
      <c r="O84" s="4"/>
      <c r="P84" s="4"/>
      <c r="Q84" s="4"/>
      <c r="R84" s="4"/>
      <c r="S84" s="4"/>
      <c r="T84" s="4"/>
      <c r="U84" s="4"/>
      <c r="V84" s="4"/>
      <c r="W84" s="4"/>
      <c r="X84" s="4"/>
      <c r="Y84" s="4"/>
      <c r="Z84" s="4"/>
    </row>
    <row r="85" ht="14.25" customHeight="1">
      <c r="A85" s="80"/>
      <c r="B85" s="80"/>
      <c r="C85" s="80"/>
      <c r="D85" s="80"/>
      <c r="E85" s="80"/>
      <c r="F85" s="80"/>
      <c r="G85" s="80"/>
      <c r="H85" s="80"/>
      <c r="I85" s="80"/>
      <c r="J85" s="80"/>
      <c r="K85" s="80"/>
      <c r="L85" s="4"/>
      <c r="M85" s="4"/>
      <c r="N85" s="4"/>
      <c r="O85" s="4"/>
      <c r="P85" s="4"/>
      <c r="Q85" s="4"/>
      <c r="R85" s="4"/>
      <c r="S85" s="4"/>
      <c r="T85" s="4"/>
      <c r="U85" s="4"/>
      <c r="V85" s="4"/>
      <c r="W85" s="4"/>
      <c r="X85" s="4"/>
      <c r="Y85" s="4"/>
      <c r="Z85" s="4"/>
    </row>
    <row r="86" ht="14.25" customHeight="1">
      <c r="A86" s="80"/>
      <c r="B86" s="80"/>
      <c r="C86" s="80"/>
      <c r="D86" s="80"/>
      <c r="E86" s="80"/>
      <c r="F86" s="80"/>
      <c r="G86" s="80"/>
      <c r="H86" s="80"/>
      <c r="I86" s="80"/>
      <c r="J86" s="80"/>
      <c r="K86" s="80"/>
      <c r="L86" s="4"/>
      <c r="M86" s="4"/>
      <c r="N86" s="4"/>
      <c r="O86" s="4"/>
      <c r="P86" s="4"/>
      <c r="Q86" s="4"/>
      <c r="R86" s="4"/>
      <c r="S86" s="4"/>
      <c r="T86" s="4"/>
      <c r="U86" s="4"/>
      <c r="V86" s="4"/>
      <c r="W86" s="4"/>
      <c r="X86" s="4"/>
      <c r="Y86" s="4"/>
      <c r="Z86" s="4"/>
    </row>
    <row r="87" ht="14.25" customHeight="1">
      <c r="A87" s="80"/>
      <c r="B87" s="80"/>
      <c r="C87" s="80"/>
      <c r="D87" s="80"/>
      <c r="E87" s="80"/>
      <c r="F87" s="80"/>
      <c r="G87" s="80"/>
      <c r="H87" s="80"/>
      <c r="I87" s="80"/>
      <c r="J87" s="80"/>
      <c r="K87" s="80"/>
      <c r="L87" s="4"/>
      <c r="M87" s="4"/>
      <c r="N87" s="4"/>
      <c r="O87" s="4"/>
      <c r="P87" s="4"/>
      <c r="Q87" s="4"/>
      <c r="R87" s="4"/>
      <c r="S87" s="4"/>
      <c r="T87" s="4"/>
      <c r="U87" s="4"/>
      <c r="V87" s="4"/>
      <c r="W87" s="4"/>
      <c r="X87" s="4"/>
      <c r="Y87" s="4"/>
      <c r="Z87" s="4"/>
    </row>
    <row r="88" ht="14.25" customHeight="1">
      <c r="A88" s="80"/>
      <c r="B88" s="80"/>
      <c r="C88" s="80"/>
      <c r="D88" s="80"/>
      <c r="E88" s="80"/>
      <c r="F88" s="80"/>
      <c r="G88" s="80"/>
      <c r="H88" s="80"/>
      <c r="I88" s="80"/>
      <c r="J88" s="80"/>
      <c r="K88" s="80"/>
      <c r="L88" s="4"/>
      <c r="M88" s="4"/>
      <c r="N88" s="4"/>
      <c r="O88" s="4"/>
      <c r="P88" s="4"/>
      <c r="Q88" s="4"/>
      <c r="R88" s="4"/>
      <c r="S88" s="4"/>
      <c r="T88" s="4"/>
      <c r="U88" s="4"/>
      <c r="V88" s="4"/>
      <c r="W88" s="4"/>
      <c r="X88" s="4"/>
      <c r="Y88" s="4"/>
      <c r="Z88" s="4"/>
    </row>
    <row r="89" ht="14.25" customHeight="1">
      <c r="A89" s="80"/>
      <c r="B89" s="80"/>
      <c r="C89" s="80"/>
      <c r="D89" s="80"/>
      <c r="E89" s="80"/>
      <c r="F89" s="80"/>
      <c r="G89" s="80"/>
      <c r="H89" s="80"/>
      <c r="I89" s="80"/>
      <c r="J89" s="80"/>
      <c r="K89" s="80"/>
      <c r="L89" s="4"/>
      <c r="M89" s="4"/>
      <c r="N89" s="4"/>
      <c r="O89" s="4"/>
      <c r="P89" s="4"/>
      <c r="Q89" s="4"/>
      <c r="R89" s="4"/>
      <c r="S89" s="4"/>
      <c r="T89" s="4"/>
      <c r="U89" s="4"/>
      <c r="V89" s="4"/>
      <c r="W89" s="4"/>
      <c r="X89" s="4"/>
      <c r="Y89" s="4"/>
      <c r="Z89" s="4"/>
    </row>
    <row r="90" ht="14.25" customHeight="1">
      <c r="A90" s="80"/>
      <c r="B90" s="80"/>
      <c r="C90" s="80"/>
      <c r="D90" s="80"/>
      <c r="E90" s="80"/>
      <c r="F90" s="80"/>
      <c r="G90" s="80"/>
      <c r="H90" s="80"/>
      <c r="I90" s="80"/>
      <c r="J90" s="80"/>
      <c r="K90" s="80"/>
      <c r="L90" s="4"/>
      <c r="M90" s="4"/>
      <c r="N90" s="4"/>
      <c r="O90" s="4"/>
      <c r="P90" s="4"/>
      <c r="Q90" s="4"/>
      <c r="R90" s="4"/>
      <c r="S90" s="4"/>
      <c r="T90" s="4"/>
      <c r="U90" s="4"/>
      <c r="V90" s="4"/>
      <c r="W90" s="4"/>
      <c r="X90" s="4"/>
      <c r="Y90" s="4"/>
      <c r="Z90" s="4"/>
    </row>
    <row r="91" ht="14.25" customHeight="1">
      <c r="A91" s="80"/>
      <c r="B91" s="80"/>
      <c r="C91" s="80"/>
      <c r="D91" s="80"/>
      <c r="E91" s="80"/>
      <c r="F91" s="80"/>
      <c r="G91" s="80"/>
      <c r="H91" s="80"/>
      <c r="I91" s="80"/>
      <c r="J91" s="80"/>
      <c r="K91" s="80"/>
      <c r="L91" s="4"/>
      <c r="M91" s="4"/>
      <c r="N91" s="4"/>
      <c r="O91" s="4"/>
      <c r="P91" s="4"/>
      <c r="Q91" s="4"/>
      <c r="R91" s="4"/>
      <c r="S91" s="4"/>
      <c r="T91" s="4"/>
      <c r="U91" s="4"/>
      <c r="V91" s="4"/>
      <c r="W91" s="4"/>
      <c r="X91" s="4"/>
      <c r="Y91" s="4"/>
      <c r="Z91" s="4"/>
    </row>
    <row r="92" ht="14.25" customHeight="1">
      <c r="A92" s="80"/>
      <c r="B92" s="80"/>
      <c r="C92" s="80"/>
      <c r="D92" s="80"/>
      <c r="E92" s="80"/>
      <c r="F92" s="80"/>
      <c r="G92" s="80"/>
      <c r="H92" s="80"/>
      <c r="I92" s="80"/>
      <c r="J92" s="80"/>
      <c r="K92" s="80"/>
      <c r="L92" s="4"/>
      <c r="M92" s="4"/>
      <c r="N92" s="4"/>
      <c r="O92" s="4"/>
      <c r="P92" s="4"/>
      <c r="Q92" s="4"/>
      <c r="R92" s="4"/>
      <c r="S92" s="4"/>
      <c r="T92" s="4"/>
      <c r="U92" s="4"/>
      <c r="V92" s="4"/>
      <c r="W92" s="4"/>
      <c r="X92" s="4"/>
      <c r="Y92" s="4"/>
      <c r="Z92" s="4"/>
    </row>
    <row r="93" ht="14.25" customHeight="1">
      <c r="A93" s="80"/>
      <c r="B93" s="80"/>
      <c r="C93" s="80"/>
      <c r="D93" s="80"/>
      <c r="E93" s="80"/>
      <c r="F93" s="80"/>
      <c r="G93" s="80"/>
      <c r="H93" s="80"/>
      <c r="I93" s="80"/>
      <c r="J93" s="80"/>
      <c r="K93" s="80"/>
      <c r="L93" s="4"/>
      <c r="M93" s="4"/>
      <c r="N93" s="4"/>
      <c r="O93" s="4"/>
      <c r="P93" s="4"/>
      <c r="Q93" s="4"/>
      <c r="R93" s="4"/>
      <c r="S93" s="4"/>
      <c r="T93" s="4"/>
      <c r="U93" s="4"/>
      <c r="V93" s="4"/>
      <c r="W93" s="4"/>
      <c r="X93" s="4"/>
      <c r="Y93" s="4"/>
      <c r="Z93" s="4"/>
    </row>
    <row r="94" ht="14.25" customHeight="1">
      <c r="A94" s="2"/>
      <c r="B94" s="4"/>
      <c r="C94" s="2"/>
      <c r="D94" s="2"/>
      <c r="E94" s="4"/>
      <c r="F94" s="2"/>
      <c r="G94" s="4"/>
      <c r="H94" s="4"/>
      <c r="I94" s="4"/>
      <c r="J94" s="4"/>
      <c r="K94" s="4"/>
      <c r="L94" s="4"/>
      <c r="M94" s="4"/>
      <c r="N94" s="4"/>
      <c r="O94" s="4"/>
      <c r="P94" s="4"/>
      <c r="Q94" s="4"/>
      <c r="R94" s="4"/>
      <c r="S94" s="4"/>
      <c r="T94" s="4"/>
      <c r="U94" s="4"/>
      <c r="V94" s="4"/>
      <c r="W94" s="4"/>
      <c r="X94" s="4"/>
      <c r="Y94" s="4"/>
      <c r="Z94" s="4"/>
    </row>
    <row r="95" ht="14.25" customHeight="1">
      <c r="A95" s="2"/>
      <c r="B95" s="4"/>
      <c r="C95" s="2"/>
      <c r="D95" s="2"/>
      <c r="E95" s="4"/>
      <c r="F95" s="2"/>
      <c r="G95" s="4"/>
      <c r="H95" s="4"/>
      <c r="I95" s="4"/>
      <c r="J95" s="4"/>
      <c r="K95" s="4"/>
      <c r="L95" s="4"/>
      <c r="M95" s="4"/>
      <c r="N95" s="4"/>
      <c r="O95" s="4"/>
      <c r="P95" s="4"/>
      <c r="Q95" s="4"/>
      <c r="R95" s="4"/>
      <c r="S95" s="4"/>
      <c r="T95" s="4"/>
      <c r="U95" s="4"/>
      <c r="V95" s="4"/>
      <c r="W95" s="4"/>
      <c r="X95" s="4"/>
      <c r="Y95" s="4"/>
      <c r="Z95" s="4"/>
    </row>
    <row r="96" ht="14.25" customHeight="1">
      <c r="A96" s="2"/>
      <c r="B96" s="4"/>
      <c r="C96" s="2"/>
      <c r="D96" s="2"/>
      <c r="E96" s="4"/>
      <c r="F96" s="2"/>
      <c r="G96" s="4"/>
      <c r="H96" s="4"/>
      <c r="I96" s="4"/>
      <c r="J96" s="4"/>
      <c r="K96" s="4"/>
      <c r="L96" s="4"/>
      <c r="M96" s="4"/>
      <c r="N96" s="4"/>
      <c r="O96" s="4"/>
      <c r="P96" s="4"/>
      <c r="Q96" s="4"/>
      <c r="R96" s="4"/>
      <c r="S96" s="4"/>
      <c r="T96" s="4"/>
      <c r="U96" s="4"/>
      <c r="V96" s="4"/>
      <c r="W96" s="4"/>
      <c r="X96" s="4"/>
      <c r="Y96" s="4"/>
      <c r="Z96" s="4"/>
    </row>
    <row r="97" ht="14.25" customHeight="1">
      <c r="A97" s="2"/>
      <c r="B97" s="4"/>
      <c r="C97" s="2"/>
      <c r="D97" s="2"/>
      <c r="E97" s="4"/>
      <c r="F97" s="2"/>
      <c r="G97" s="4"/>
      <c r="H97" s="4"/>
      <c r="I97" s="4"/>
      <c r="J97" s="4"/>
      <c r="K97" s="4"/>
      <c r="L97" s="4"/>
      <c r="M97" s="4"/>
      <c r="N97" s="4"/>
      <c r="O97" s="4"/>
      <c r="P97" s="4"/>
      <c r="Q97" s="4"/>
      <c r="R97" s="4"/>
      <c r="S97" s="4"/>
      <c r="T97" s="4"/>
      <c r="U97" s="4"/>
      <c r="V97" s="4"/>
      <c r="W97" s="4"/>
      <c r="X97" s="4"/>
      <c r="Y97" s="4"/>
      <c r="Z97" s="4"/>
    </row>
    <row r="98" ht="14.25" customHeight="1">
      <c r="A98" s="2"/>
      <c r="B98" s="4"/>
      <c r="C98" s="2"/>
      <c r="D98" s="2"/>
      <c r="E98" s="4"/>
      <c r="F98" s="2"/>
      <c r="G98" s="4"/>
      <c r="H98" s="4"/>
      <c r="I98" s="4"/>
      <c r="J98" s="4"/>
      <c r="K98" s="4"/>
      <c r="L98" s="4"/>
      <c r="M98" s="4"/>
      <c r="N98" s="4"/>
      <c r="O98" s="4"/>
      <c r="P98" s="4"/>
      <c r="Q98" s="4"/>
      <c r="R98" s="4"/>
      <c r="S98" s="4"/>
      <c r="T98" s="4"/>
      <c r="U98" s="4"/>
      <c r="V98" s="4"/>
      <c r="W98" s="4"/>
      <c r="X98" s="4"/>
      <c r="Y98" s="4"/>
      <c r="Z98" s="4"/>
    </row>
    <row r="99" ht="14.25" customHeight="1">
      <c r="A99" s="2"/>
      <c r="B99" s="4"/>
      <c r="C99" s="2"/>
      <c r="D99" s="2"/>
      <c r="E99" s="4"/>
      <c r="F99" s="2"/>
      <c r="G99" s="4"/>
      <c r="H99" s="4"/>
      <c r="I99" s="4"/>
      <c r="J99" s="4"/>
      <c r="K99" s="4"/>
      <c r="L99" s="4"/>
      <c r="M99" s="4"/>
      <c r="N99" s="4"/>
      <c r="O99" s="4"/>
      <c r="P99" s="4"/>
      <c r="Q99" s="4"/>
      <c r="R99" s="4"/>
      <c r="S99" s="4"/>
      <c r="T99" s="4"/>
      <c r="U99" s="4"/>
      <c r="V99" s="4"/>
      <c r="W99" s="4"/>
      <c r="X99" s="4"/>
      <c r="Y99" s="4"/>
      <c r="Z99" s="4"/>
    </row>
    <row r="100" ht="14.25" customHeight="1">
      <c r="A100" s="2"/>
      <c r="B100" s="4"/>
      <c r="C100" s="2"/>
      <c r="D100" s="2"/>
      <c r="E100" s="4"/>
      <c r="F100" s="2"/>
      <c r="G100" s="4"/>
      <c r="H100" s="4"/>
      <c r="I100" s="4"/>
      <c r="J100" s="4"/>
      <c r="K100" s="4"/>
      <c r="L100" s="4"/>
      <c r="M100" s="4"/>
      <c r="N100" s="4"/>
      <c r="O100" s="4"/>
      <c r="P100" s="4"/>
      <c r="Q100" s="4"/>
      <c r="R100" s="4"/>
      <c r="S100" s="4"/>
      <c r="T100" s="4"/>
      <c r="U100" s="4"/>
      <c r="V100" s="4"/>
      <c r="W100" s="4"/>
      <c r="X100" s="4"/>
      <c r="Y100" s="4"/>
      <c r="Z100" s="4"/>
    </row>
    <row r="101" ht="14.25" customHeight="1">
      <c r="A101" s="2"/>
      <c r="B101" s="4"/>
      <c r="C101" s="2"/>
      <c r="D101" s="2"/>
      <c r="E101" s="4"/>
      <c r="F101" s="2"/>
      <c r="G101" s="4"/>
      <c r="H101" s="4"/>
      <c r="I101" s="4"/>
      <c r="J101" s="4"/>
      <c r="K101" s="4"/>
      <c r="L101" s="4"/>
      <c r="M101" s="4"/>
      <c r="N101" s="4"/>
      <c r="O101" s="4"/>
      <c r="P101" s="4"/>
      <c r="Q101" s="4"/>
      <c r="R101" s="4"/>
      <c r="S101" s="4"/>
      <c r="T101" s="4"/>
      <c r="U101" s="4"/>
      <c r="V101" s="4"/>
      <c r="W101" s="4"/>
      <c r="X101" s="4"/>
      <c r="Y101" s="4"/>
      <c r="Z101" s="4"/>
    </row>
    <row r="102" ht="14.25" customHeight="1">
      <c r="A102" s="2"/>
      <c r="B102" s="4"/>
      <c r="C102" s="2"/>
      <c r="D102" s="2"/>
      <c r="E102" s="4"/>
      <c r="F102" s="2"/>
      <c r="G102" s="4"/>
      <c r="H102" s="4"/>
      <c r="I102" s="4"/>
      <c r="J102" s="4"/>
      <c r="K102" s="4"/>
      <c r="L102" s="4"/>
      <c r="M102" s="4"/>
      <c r="N102" s="4"/>
      <c r="O102" s="4"/>
      <c r="P102" s="4"/>
      <c r="Q102" s="4"/>
      <c r="R102" s="4"/>
      <c r="S102" s="4"/>
      <c r="T102" s="4"/>
      <c r="U102" s="4"/>
      <c r="V102" s="4"/>
      <c r="W102" s="4"/>
      <c r="X102" s="4"/>
      <c r="Y102" s="4"/>
      <c r="Z102" s="4"/>
    </row>
    <row r="103" ht="14.25" customHeight="1">
      <c r="A103" s="2"/>
      <c r="B103" s="4"/>
      <c r="C103" s="2"/>
      <c r="D103" s="2"/>
      <c r="E103" s="4"/>
      <c r="F103" s="2"/>
      <c r="G103" s="4"/>
      <c r="H103" s="4"/>
      <c r="I103" s="4"/>
      <c r="J103" s="4"/>
      <c r="K103" s="4"/>
      <c r="L103" s="4"/>
      <c r="M103" s="4"/>
      <c r="N103" s="4"/>
      <c r="O103" s="4"/>
      <c r="P103" s="4"/>
      <c r="Q103" s="4"/>
      <c r="R103" s="4"/>
      <c r="S103" s="4"/>
      <c r="T103" s="4"/>
      <c r="U103" s="4"/>
      <c r="V103" s="4"/>
      <c r="W103" s="4"/>
      <c r="X103" s="4"/>
      <c r="Y103" s="4"/>
      <c r="Z103" s="4"/>
    </row>
    <row r="104" ht="14.25" customHeight="1">
      <c r="A104" s="2"/>
      <c r="B104" s="4"/>
      <c r="C104" s="2"/>
      <c r="D104" s="2"/>
      <c r="E104" s="4"/>
      <c r="F104" s="2"/>
      <c r="G104" s="4"/>
      <c r="H104" s="4"/>
      <c r="I104" s="4"/>
      <c r="J104" s="4"/>
      <c r="K104" s="4"/>
      <c r="L104" s="4"/>
      <c r="M104" s="4"/>
      <c r="N104" s="4"/>
      <c r="O104" s="4"/>
      <c r="P104" s="4"/>
      <c r="Q104" s="4"/>
      <c r="R104" s="4"/>
      <c r="S104" s="4"/>
      <c r="T104" s="4"/>
      <c r="U104" s="4"/>
      <c r="V104" s="4"/>
      <c r="W104" s="4"/>
      <c r="X104" s="4"/>
      <c r="Y104" s="4"/>
      <c r="Z104" s="4"/>
    </row>
    <row r="105" ht="14.25" customHeight="1">
      <c r="A105" s="2"/>
      <c r="B105" s="4"/>
      <c r="C105" s="2"/>
      <c r="D105" s="2"/>
      <c r="E105" s="4"/>
      <c r="F105" s="2"/>
      <c r="G105" s="4"/>
      <c r="H105" s="4"/>
      <c r="I105" s="4"/>
      <c r="J105" s="4"/>
      <c r="K105" s="4"/>
      <c r="L105" s="4"/>
      <c r="M105" s="4"/>
      <c r="N105" s="4"/>
      <c r="O105" s="4"/>
      <c r="P105" s="4"/>
      <c r="Q105" s="4"/>
      <c r="R105" s="4"/>
      <c r="S105" s="4"/>
      <c r="T105" s="4"/>
      <c r="U105" s="4"/>
      <c r="V105" s="4"/>
      <c r="W105" s="4"/>
      <c r="X105" s="4"/>
      <c r="Y105" s="4"/>
      <c r="Z105" s="4"/>
    </row>
    <row r="106" ht="14.25" customHeight="1">
      <c r="A106" s="2"/>
      <c r="B106" s="4"/>
      <c r="C106" s="2"/>
      <c r="D106" s="2"/>
      <c r="E106" s="4"/>
      <c r="F106" s="2"/>
      <c r="G106" s="4"/>
      <c r="H106" s="4"/>
      <c r="I106" s="4"/>
      <c r="J106" s="4"/>
      <c r="K106" s="4"/>
      <c r="L106" s="4"/>
      <c r="M106" s="4"/>
      <c r="N106" s="4"/>
      <c r="O106" s="4"/>
      <c r="P106" s="4"/>
      <c r="Q106" s="4"/>
      <c r="R106" s="4"/>
      <c r="S106" s="4"/>
      <c r="T106" s="4"/>
      <c r="U106" s="4"/>
      <c r="V106" s="4"/>
      <c r="W106" s="4"/>
      <c r="X106" s="4"/>
      <c r="Y106" s="4"/>
      <c r="Z106" s="4"/>
    </row>
    <row r="107" ht="14.25" customHeight="1">
      <c r="A107" s="2"/>
      <c r="B107" s="4"/>
      <c r="C107" s="2"/>
      <c r="D107" s="2"/>
      <c r="E107" s="4"/>
      <c r="F107" s="2"/>
      <c r="G107" s="4"/>
      <c r="H107" s="4"/>
      <c r="I107" s="4"/>
      <c r="J107" s="4"/>
      <c r="K107" s="4"/>
      <c r="L107" s="4"/>
      <c r="M107" s="4"/>
      <c r="N107" s="4"/>
      <c r="O107" s="4"/>
      <c r="P107" s="4"/>
      <c r="Q107" s="4"/>
      <c r="R107" s="4"/>
      <c r="S107" s="4"/>
      <c r="T107" s="4"/>
      <c r="U107" s="4"/>
      <c r="V107" s="4"/>
      <c r="W107" s="4"/>
      <c r="X107" s="4"/>
      <c r="Y107" s="4"/>
      <c r="Z107" s="4"/>
    </row>
    <row r="108" ht="14.25" customHeight="1">
      <c r="A108" s="2"/>
      <c r="B108" s="4"/>
      <c r="C108" s="2"/>
      <c r="D108" s="2"/>
      <c r="E108" s="4"/>
      <c r="F108" s="2"/>
      <c r="G108" s="4"/>
      <c r="H108" s="4"/>
      <c r="I108" s="4"/>
      <c r="J108" s="4"/>
      <c r="K108" s="4"/>
      <c r="L108" s="4"/>
      <c r="M108" s="4"/>
      <c r="N108" s="4"/>
      <c r="O108" s="4"/>
      <c r="P108" s="4"/>
      <c r="Q108" s="4"/>
      <c r="R108" s="4"/>
      <c r="S108" s="4"/>
      <c r="T108" s="4"/>
      <c r="U108" s="4"/>
      <c r="V108" s="4"/>
      <c r="W108" s="4"/>
      <c r="X108" s="4"/>
      <c r="Y108" s="4"/>
      <c r="Z108" s="4"/>
    </row>
    <row r="109" ht="14.25" customHeight="1">
      <c r="A109" s="2"/>
      <c r="B109" s="4"/>
      <c r="C109" s="2"/>
      <c r="D109" s="2"/>
      <c r="E109" s="4"/>
      <c r="F109" s="2"/>
      <c r="G109" s="4"/>
      <c r="H109" s="4"/>
      <c r="I109" s="4"/>
      <c r="J109" s="4"/>
      <c r="K109" s="4"/>
      <c r="L109" s="4"/>
      <c r="M109" s="4"/>
      <c r="N109" s="4"/>
      <c r="O109" s="4"/>
      <c r="P109" s="4"/>
      <c r="Q109" s="4"/>
      <c r="R109" s="4"/>
      <c r="S109" s="4"/>
      <c r="T109" s="4"/>
      <c r="U109" s="4"/>
      <c r="V109" s="4"/>
      <c r="W109" s="4"/>
      <c r="X109" s="4"/>
      <c r="Y109" s="4"/>
      <c r="Z109" s="4"/>
    </row>
    <row r="110" ht="14.25" customHeight="1">
      <c r="A110" s="2"/>
      <c r="B110" s="4"/>
      <c r="C110" s="2"/>
      <c r="D110" s="2"/>
      <c r="E110" s="4"/>
      <c r="F110" s="2"/>
      <c r="G110" s="4"/>
      <c r="H110" s="4"/>
      <c r="I110" s="4"/>
      <c r="J110" s="4"/>
      <c r="K110" s="4"/>
      <c r="L110" s="4"/>
      <c r="M110" s="4"/>
      <c r="N110" s="4"/>
      <c r="O110" s="4"/>
      <c r="P110" s="4"/>
      <c r="Q110" s="4"/>
      <c r="R110" s="4"/>
      <c r="S110" s="4"/>
      <c r="T110" s="4"/>
      <c r="U110" s="4"/>
      <c r="V110" s="4"/>
      <c r="W110" s="4"/>
      <c r="X110" s="4"/>
      <c r="Y110" s="4"/>
      <c r="Z110" s="4"/>
    </row>
    <row r="111" ht="14.25" customHeight="1">
      <c r="A111" s="2"/>
      <c r="B111" s="4"/>
      <c r="C111" s="2"/>
      <c r="D111" s="2"/>
      <c r="E111" s="4"/>
      <c r="F111" s="2"/>
      <c r="G111" s="4"/>
      <c r="H111" s="4"/>
      <c r="I111" s="4"/>
      <c r="J111" s="4"/>
      <c r="K111" s="4"/>
      <c r="L111" s="4"/>
      <c r="M111" s="4"/>
      <c r="N111" s="4"/>
      <c r="O111" s="4"/>
      <c r="P111" s="4"/>
      <c r="Q111" s="4"/>
      <c r="R111" s="4"/>
      <c r="S111" s="4"/>
      <c r="T111" s="4"/>
      <c r="U111" s="4"/>
      <c r="V111" s="4"/>
      <c r="W111" s="4"/>
      <c r="X111" s="4"/>
      <c r="Y111" s="4"/>
      <c r="Z111" s="4"/>
    </row>
    <row r="112" ht="14.25" customHeight="1">
      <c r="A112" s="2"/>
      <c r="B112" s="4"/>
      <c r="C112" s="2"/>
      <c r="D112" s="2"/>
      <c r="E112" s="4"/>
      <c r="F112" s="2"/>
      <c r="G112" s="4"/>
      <c r="H112" s="4"/>
      <c r="I112" s="4"/>
      <c r="J112" s="4"/>
      <c r="K112" s="4"/>
      <c r="L112" s="4"/>
      <c r="M112" s="4"/>
      <c r="N112" s="4"/>
      <c r="O112" s="4"/>
      <c r="P112" s="4"/>
      <c r="Q112" s="4"/>
      <c r="R112" s="4"/>
      <c r="S112" s="4"/>
      <c r="T112" s="4"/>
      <c r="U112" s="4"/>
      <c r="V112" s="4"/>
      <c r="W112" s="4"/>
      <c r="X112" s="4"/>
      <c r="Y112" s="4"/>
      <c r="Z112" s="4"/>
    </row>
    <row r="113" ht="14.25" customHeight="1">
      <c r="A113" s="2"/>
      <c r="B113" s="4"/>
      <c r="C113" s="2"/>
      <c r="D113" s="2"/>
      <c r="E113" s="4"/>
      <c r="F113" s="2"/>
      <c r="G113" s="4"/>
      <c r="H113" s="4"/>
      <c r="I113" s="4"/>
      <c r="J113" s="4"/>
      <c r="K113" s="4"/>
      <c r="L113" s="4"/>
      <c r="M113" s="4"/>
      <c r="N113" s="4"/>
      <c r="O113" s="4"/>
      <c r="P113" s="4"/>
      <c r="Q113" s="4"/>
      <c r="R113" s="4"/>
      <c r="S113" s="4"/>
      <c r="T113" s="4"/>
      <c r="U113" s="4"/>
      <c r="V113" s="4"/>
      <c r="W113" s="4"/>
      <c r="X113" s="4"/>
      <c r="Y113" s="4"/>
      <c r="Z113" s="4"/>
    </row>
    <row r="114" ht="14.25" customHeight="1">
      <c r="A114" s="2"/>
      <c r="B114" s="4"/>
      <c r="C114" s="2"/>
      <c r="D114" s="2"/>
      <c r="E114" s="4"/>
      <c r="F114" s="2"/>
      <c r="G114" s="4"/>
      <c r="H114" s="4"/>
      <c r="I114" s="4"/>
      <c r="J114" s="4"/>
      <c r="K114" s="4"/>
      <c r="L114" s="4"/>
      <c r="M114" s="4"/>
      <c r="N114" s="4"/>
      <c r="O114" s="4"/>
      <c r="P114" s="4"/>
      <c r="Q114" s="4"/>
      <c r="R114" s="4"/>
      <c r="S114" s="4"/>
      <c r="T114" s="4"/>
      <c r="U114" s="4"/>
      <c r="V114" s="4"/>
      <c r="W114" s="4"/>
      <c r="X114" s="4"/>
      <c r="Y114" s="4"/>
      <c r="Z114" s="4"/>
    </row>
    <row r="115" ht="14.25" customHeight="1">
      <c r="A115" s="2"/>
      <c r="B115" s="4"/>
      <c r="C115" s="2"/>
      <c r="D115" s="2"/>
      <c r="E115" s="4"/>
      <c r="F115" s="2"/>
      <c r="G115" s="4"/>
      <c r="H115" s="4"/>
      <c r="I115" s="4"/>
      <c r="J115" s="4"/>
      <c r="K115" s="4"/>
      <c r="L115" s="4"/>
      <c r="M115" s="4"/>
      <c r="N115" s="4"/>
      <c r="O115" s="4"/>
      <c r="P115" s="4"/>
      <c r="Q115" s="4"/>
      <c r="R115" s="4"/>
      <c r="S115" s="4"/>
      <c r="T115" s="4"/>
      <c r="U115" s="4"/>
      <c r="V115" s="4"/>
      <c r="W115" s="4"/>
      <c r="X115" s="4"/>
      <c r="Y115" s="4"/>
      <c r="Z115" s="4"/>
    </row>
    <row r="116" ht="14.25" customHeight="1">
      <c r="A116" s="2"/>
      <c r="B116" s="4"/>
      <c r="C116" s="2"/>
      <c r="D116" s="2"/>
      <c r="E116" s="4"/>
      <c r="F116" s="2"/>
      <c r="G116" s="4"/>
      <c r="H116" s="4"/>
      <c r="I116" s="4"/>
      <c r="J116" s="4"/>
      <c r="K116" s="4"/>
      <c r="L116" s="4"/>
      <c r="M116" s="4"/>
      <c r="N116" s="4"/>
      <c r="O116" s="4"/>
      <c r="P116" s="4"/>
      <c r="Q116" s="4"/>
      <c r="R116" s="4"/>
      <c r="S116" s="4"/>
      <c r="T116" s="4"/>
      <c r="U116" s="4"/>
      <c r="V116" s="4"/>
      <c r="W116" s="4"/>
      <c r="X116" s="4"/>
      <c r="Y116" s="4"/>
      <c r="Z116" s="4"/>
    </row>
    <row r="117" ht="14.25" customHeight="1">
      <c r="A117" s="2"/>
      <c r="B117" s="4"/>
      <c r="C117" s="2"/>
      <c r="D117" s="2"/>
      <c r="E117" s="4"/>
      <c r="F117" s="2"/>
      <c r="G117" s="4"/>
      <c r="H117" s="4"/>
      <c r="I117" s="4"/>
      <c r="J117" s="4"/>
      <c r="K117" s="4"/>
      <c r="L117" s="4"/>
      <c r="M117" s="4"/>
      <c r="N117" s="4"/>
      <c r="O117" s="4"/>
      <c r="P117" s="4"/>
      <c r="Q117" s="4"/>
      <c r="R117" s="4"/>
      <c r="S117" s="4"/>
      <c r="T117" s="4"/>
      <c r="U117" s="4"/>
      <c r="V117" s="4"/>
      <c r="W117" s="4"/>
      <c r="X117" s="4"/>
      <c r="Y117" s="4"/>
      <c r="Z117" s="4"/>
    </row>
    <row r="118" ht="14.25" customHeight="1">
      <c r="A118" s="2"/>
      <c r="B118" s="4"/>
      <c r="C118" s="2"/>
      <c r="D118" s="2"/>
      <c r="E118" s="4"/>
      <c r="F118" s="2"/>
      <c r="G118" s="4"/>
      <c r="H118" s="4"/>
      <c r="I118" s="4"/>
      <c r="J118" s="4"/>
      <c r="K118" s="4"/>
      <c r="L118" s="4"/>
      <c r="M118" s="4"/>
      <c r="N118" s="4"/>
      <c r="O118" s="4"/>
      <c r="P118" s="4"/>
      <c r="Q118" s="4"/>
      <c r="R118" s="4"/>
      <c r="S118" s="4"/>
      <c r="T118" s="4"/>
      <c r="U118" s="4"/>
      <c r="V118" s="4"/>
      <c r="W118" s="4"/>
      <c r="X118" s="4"/>
      <c r="Y118" s="4"/>
      <c r="Z118" s="4"/>
    </row>
    <row r="119" ht="14.25" customHeight="1">
      <c r="A119" s="2"/>
      <c r="B119" s="4"/>
      <c r="C119" s="2"/>
      <c r="D119" s="2"/>
      <c r="E119" s="4"/>
      <c r="F119" s="2"/>
      <c r="G119" s="4"/>
      <c r="H119" s="4"/>
      <c r="I119" s="4"/>
      <c r="J119" s="4"/>
      <c r="K119" s="4"/>
      <c r="L119" s="4"/>
      <c r="M119" s="4"/>
      <c r="N119" s="4"/>
      <c r="O119" s="4"/>
      <c r="P119" s="4"/>
      <c r="Q119" s="4"/>
      <c r="R119" s="4"/>
      <c r="S119" s="4"/>
      <c r="T119" s="4"/>
      <c r="U119" s="4"/>
      <c r="V119" s="4"/>
      <c r="W119" s="4"/>
      <c r="X119" s="4"/>
      <c r="Y119" s="4"/>
      <c r="Z119" s="4"/>
    </row>
    <row r="120" ht="14.25" customHeight="1">
      <c r="A120" s="2"/>
      <c r="B120" s="4"/>
      <c r="C120" s="2"/>
      <c r="D120" s="2"/>
      <c r="E120" s="4"/>
      <c r="F120" s="2"/>
      <c r="G120" s="4"/>
      <c r="H120" s="4"/>
      <c r="I120" s="4"/>
      <c r="J120" s="4"/>
      <c r="K120" s="4"/>
      <c r="L120" s="4"/>
      <c r="M120" s="4"/>
      <c r="N120" s="4"/>
      <c r="O120" s="4"/>
      <c r="P120" s="4"/>
      <c r="Q120" s="4"/>
      <c r="R120" s="4"/>
      <c r="S120" s="4"/>
      <c r="T120" s="4"/>
      <c r="U120" s="4"/>
      <c r="V120" s="4"/>
      <c r="W120" s="4"/>
      <c r="X120" s="4"/>
      <c r="Y120" s="4"/>
      <c r="Z120" s="4"/>
    </row>
    <row r="121" ht="14.25" customHeight="1">
      <c r="A121" s="2"/>
      <c r="B121" s="4"/>
      <c r="C121" s="2"/>
      <c r="D121" s="2"/>
      <c r="E121" s="4"/>
      <c r="F121" s="2"/>
      <c r="G121" s="4"/>
      <c r="H121" s="4"/>
      <c r="I121" s="4"/>
      <c r="J121" s="4"/>
      <c r="K121" s="4"/>
      <c r="L121" s="4"/>
      <c r="M121" s="4"/>
      <c r="N121" s="4"/>
      <c r="O121" s="4"/>
      <c r="P121" s="4"/>
      <c r="Q121" s="4"/>
      <c r="R121" s="4"/>
      <c r="S121" s="4"/>
      <c r="T121" s="4"/>
      <c r="U121" s="4"/>
      <c r="V121" s="4"/>
      <c r="W121" s="4"/>
      <c r="X121" s="4"/>
      <c r="Y121" s="4"/>
      <c r="Z121" s="4"/>
    </row>
    <row r="122" ht="14.25" customHeight="1">
      <c r="A122" s="2"/>
      <c r="B122" s="4"/>
      <c r="C122" s="2"/>
      <c r="D122" s="2"/>
      <c r="E122" s="4"/>
      <c r="F122" s="2"/>
      <c r="G122" s="4"/>
      <c r="H122" s="4"/>
      <c r="I122" s="4"/>
      <c r="J122" s="4"/>
      <c r="K122" s="4"/>
      <c r="L122" s="4"/>
      <c r="M122" s="4"/>
      <c r="N122" s="4"/>
      <c r="O122" s="4"/>
      <c r="P122" s="4"/>
      <c r="Q122" s="4"/>
      <c r="R122" s="4"/>
      <c r="S122" s="4"/>
      <c r="T122" s="4"/>
      <c r="U122" s="4"/>
      <c r="V122" s="4"/>
      <c r="W122" s="4"/>
      <c r="X122" s="4"/>
      <c r="Y122" s="4"/>
      <c r="Z122" s="4"/>
    </row>
    <row r="123" ht="14.25" customHeight="1">
      <c r="A123" s="2"/>
      <c r="B123" s="4"/>
      <c r="C123" s="2"/>
      <c r="D123" s="2"/>
      <c r="E123" s="4"/>
      <c r="F123" s="2"/>
      <c r="G123" s="4"/>
      <c r="H123" s="4"/>
      <c r="I123" s="4"/>
      <c r="J123" s="4"/>
      <c r="K123" s="4"/>
      <c r="L123" s="4"/>
      <c r="M123" s="4"/>
      <c r="N123" s="4"/>
      <c r="O123" s="4"/>
      <c r="P123" s="4"/>
      <c r="Q123" s="4"/>
      <c r="R123" s="4"/>
      <c r="S123" s="4"/>
      <c r="T123" s="4"/>
      <c r="U123" s="4"/>
      <c r="V123" s="4"/>
      <c r="W123" s="4"/>
      <c r="X123" s="4"/>
      <c r="Y123" s="4"/>
      <c r="Z123" s="4"/>
    </row>
    <row r="124" ht="14.25" customHeight="1">
      <c r="A124" s="2"/>
      <c r="B124" s="4"/>
      <c r="C124" s="2"/>
      <c r="D124" s="2"/>
      <c r="E124" s="4"/>
      <c r="F124" s="2"/>
      <c r="G124" s="4"/>
      <c r="H124" s="4"/>
      <c r="I124" s="4"/>
      <c r="J124" s="4"/>
      <c r="K124" s="4"/>
      <c r="L124" s="4"/>
      <c r="M124" s="4"/>
      <c r="N124" s="4"/>
      <c r="O124" s="4"/>
      <c r="P124" s="4"/>
      <c r="Q124" s="4"/>
      <c r="R124" s="4"/>
      <c r="S124" s="4"/>
      <c r="T124" s="4"/>
      <c r="U124" s="4"/>
      <c r="V124" s="4"/>
      <c r="W124" s="4"/>
      <c r="X124" s="4"/>
      <c r="Y124" s="4"/>
      <c r="Z124" s="4"/>
    </row>
    <row r="125" ht="14.25" customHeight="1">
      <c r="A125" s="2"/>
      <c r="B125" s="4"/>
      <c r="C125" s="2"/>
      <c r="D125" s="2"/>
      <c r="E125" s="4"/>
      <c r="F125" s="2"/>
      <c r="G125" s="4"/>
      <c r="H125" s="4"/>
      <c r="I125" s="4"/>
      <c r="J125" s="4"/>
      <c r="K125" s="4"/>
      <c r="L125" s="4"/>
      <c r="M125" s="4"/>
      <c r="N125" s="4"/>
      <c r="O125" s="4"/>
      <c r="P125" s="4"/>
      <c r="Q125" s="4"/>
      <c r="R125" s="4"/>
      <c r="S125" s="4"/>
      <c r="T125" s="4"/>
      <c r="U125" s="4"/>
      <c r="V125" s="4"/>
      <c r="W125" s="4"/>
      <c r="X125" s="4"/>
      <c r="Y125" s="4"/>
      <c r="Z125" s="4"/>
    </row>
    <row r="126" ht="14.25" customHeight="1">
      <c r="A126" s="2"/>
      <c r="B126" s="4"/>
      <c r="C126" s="2"/>
      <c r="D126" s="2"/>
      <c r="E126" s="4"/>
      <c r="F126" s="2"/>
      <c r="G126" s="4"/>
      <c r="H126" s="4"/>
      <c r="I126" s="4"/>
      <c r="J126" s="4"/>
      <c r="K126" s="4"/>
      <c r="L126" s="4"/>
      <c r="M126" s="4"/>
      <c r="N126" s="4"/>
      <c r="O126" s="4"/>
      <c r="P126" s="4"/>
      <c r="Q126" s="4"/>
      <c r="R126" s="4"/>
      <c r="S126" s="4"/>
      <c r="T126" s="4"/>
      <c r="U126" s="4"/>
      <c r="V126" s="4"/>
      <c r="W126" s="4"/>
      <c r="X126" s="4"/>
      <c r="Y126" s="4"/>
      <c r="Z126" s="4"/>
    </row>
    <row r="127" ht="14.25" customHeight="1">
      <c r="A127" s="2"/>
      <c r="B127" s="4"/>
      <c r="C127" s="2"/>
      <c r="D127" s="2"/>
      <c r="E127" s="4"/>
      <c r="F127" s="2"/>
      <c r="G127" s="4"/>
      <c r="H127" s="4"/>
      <c r="I127" s="4"/>
      <c r="J127" s="4"/>
      <c r="K127" s="4"/>
      <c r="L127" s="4"/>
      <c r="M127" s="4"/>
      <c r="N127" s="4"/>
      <c r="O127" s="4"/>
      <c r="P127" s="4"/>
      <c r="Q127" s="4"/>
      <c r="R127" s="4"/>
      <c r="S127" s="4"/>
      <c r="T127" s="4"/>
      <c r="U127" s="4"/>
      <c r="V127" s="4"/>
      <c r="W127" s="4"/>
      <c r="X127" s="4"/>
      <c r="Y127" s="4"/>
      <c r="Z127" s="4"/>
    </row>
    <row r="128" ht="14.25" customHeight="1">
      <c r="A128" s="2"/>
      <c r="B128" s="4"/>
      <c r="C128" s="2"/>
      <c r="D128" s="2"/>
      <c r="E128" s="4"/>
      <c r="F128" s="2"/>
      <c r="G128" s="4"/>
      <c r="H128" s="4"/>
      <c r="I128" s="4"/>
      <c r="J128" s="4"/>
      <c r="K128" s="4"/>
      <c r="L128" s="4"/>
      <c r="M128" s="4"/>
      <c r="N128" s="4"/>
      <c r="O128" s="4"/>
      <c r="P128" s="4"/>
      <c r="Q128" s="4"/>
      <c r="R128" s="4"/>
      <c r="S128" s="4"/>
      <c r="T128" s="4"/>
      <c r="U128" s="4"/>
      <c r="V128" s="4"/>
      <c r="W128" s="4"/>
      <c r="X128" s="4"/>
      <c r="Y128" s="4"/>
      <c r="Z128" s="4"/>
    </row>
    <row r="129" ht="14.25" customHeight="1">
      <c r="A129" s="2"/>
      <c r="B129" s="4"/>
      <c r="C129" s="2"/>
      <c r="D129" s="2"/>
      <c r="E129" s="4"/>
      <c r="F129" s="2"/>
      <c r="G129" s="4"/>
      <c r="H129" s="4"/>
      <c r="I129" s="4"/>
      <c r="J129" s="4"/>
      <c r="K129" s="4"/>
      <c r="L129" s="4"/>
      <c r="M129" s="4"/>
      <c r="N129" s="4"/>
      <c r="O129" s="4"/>
      <c r="P129" s="4"/>
      <c r="Q129" s="4"/>
      <c r="R129" s="4"/>
      <c r="S129" s="4"/>
      <c r="T129" s="4"/>
      <c r="U129" s="4"/>
      <c r="V129" s="4"/>
      <c r="W129" s="4"/>
      <c r="X129" s="4"/>
      <c r="Y129" s="4"/>
      <c r="Z129" s="4"/>
    </row>
    <row r="130" ht="14.25" customHeight="1">
      <c r="A130" s="2"/>
      <c r="B130" s="4"/>
      <c r="C130" s="2"/>
      <c r="D130" s="2"/>
      <c r="E130" s="4"/>
      <c r="F130" s="2"/>
      <c r="G130" s="4"/>
      <c r="H130" s="4"/>
      <c r="I130" s="4"/>
      <c r="J130" s="4"/>
      <c r="K130" s="4"/>
      <c r="L130" s="4"/>
      <c r="M130" s="4"/>
      <c r="N130" s="4"/>
      <c r="O130" s="4"/>
      <c r="P130" s="4"/>
      <c r="Q130" s="4"/>
      <c r="R130" s="4"/>
      <c r="S130" s="4"/>
      <c r="T130" s="4"/>
      <c r="U130" s="4"/>
      <c r="V130" s="4"/>
      <c r="W130" s="4"/>
      <c r="X130" s="4"/>
      <c r="Y130" s="4"/>
      <c r="Z130" s="4"/>
    </row>
    <row r="131" ht="14.25" customHeight="1">
      <c r="A131" s="2"/>
      <c r="B131" s="4"/>
      <c r="C131" s="2"/>
      <c r="D131" s="2"/>
      <c r="E131" s="4"/>
      <c r="F131" s="2"/>
      <c r="G131" s="4"/>
      <c r="H131" s="4"/>
      <c r="I131" s="4"/>
      <c r="J131" s="4"/>
      <c r="K131" s="4"/>
      <c r="L131" s="4"/>
      <c r="M131" s="4"/>
      <c r="N131" s="4"/>
      <c r="O131" s="4"/>
      <c r="P131" s="4"/>
      <c r="Q131" s="4"/>
      <c r="R131" s="4"/>
      <c r="S131" s="4"/>
      <c r="T131" s="4"/>
      <c r="U131" s="4"/>
      <c r="V131" s="4"/>
      <c r="W131" s="4"/>
      <c r="X131" s="4"/>
      <c r="Y131" s="4"/>
      <c r="Z131" s="4"/>
    </row>
    <row r="132" ht="14.25" customHeight="1">
      <c r="A132" s="2"/>
      <c r="B132" s="4"/>
      <c r="C132" s="2"/>
      <c r="D132" s="2"/>
      <c r="E132" s="4"/>
      <c r="F132" s="2"/>
      <c r="G132" s="4"/>
      <c r="H132" s="4"/>
      <c r="I132" s="4"/>
      <c r="J132" s="4"/>
      <c r="K132" s="4"/>
      <c r="L132" s="4"/>
      <c r="M132" s="4"/>
      <c r="N132" s="4"/>
      <c r="O132" s="4"/>
      <c r="P132" s="4"/>
      <c r="Q132" s="4"/>
      <c r="R132" s="4"/>
      <c r="S132" s="4"/>
      <c r="T132" s="4"/>
      <c r="U132" s="4"/>
      <c r="V132" s="4"/>
      <c r="W132" s="4"/>
      <c r="X132" s="4"/>
      <c r="Y132" s="4"/>
      <c r="Z132" s="4"/>
    </row>
    <row r="133" ht="14.25" customHeight="1">
      <c r="A133" s="2"/>
      <c r="B133" s="4"/>
      <c r="C133" s="2"/>
      <c r="D133" s="2"/>
      <c r="E133" s="4"/>
      <c r="F133" s="2"/>
      <c r="G133" s="4"/>
      <c r="H133" s="4"/>
      <c r="I133" s="4"/>
      <c r="J133" s="4"/>
      <c r="K133" s="4"/>
      <c r="L133" s="4"/>
      <c r="M133" s="4"/>
      <c r="N133" s="4"/>
      <c r="O133" s="4"/>
      <c r="P133" s="4"/>
      <c r="Q133" s="4"/>
      <c r="R133" s="4"/>
      <c r="S133" s="4"/>
      <c r="T133" s="4"/>
      <c r="U133" s="4"/>
      <c r="V133" s="4"/>
      <c r="W133" s="4"/>
      <c r="X133" s="4"/>
      <c r="Y133" s="4"/>
      <c r="Z133" s="4"/>
    </row>
    <row r="134" ht="14.25" customHeight="1">
      <c r="A134" s="2"/>
      <c r="B134" s="4"/>
      <c r="C134" s="2"/>
      <c r="D134" s="2"/>
      <c r="E134" s="4"/>
      <c r="F134" s="2"/>
      <c r="G134" s="4"/>
      <c r="H134" s="4"/>
      <c r="I134" s="4"/>
      <c r="J134" s="4"/>
      <c r="K134" s="4"/>
      <c r="L134" s="4"/>
      <c r="M134" s="4"/>
      <c r="N134" s="4"/>
      <c r="O134" s="4"/>
      <c r="P134" s="4"/>
      <c r="Q134" s="4"/>
      <c r="R134" s="4"/>
      <c r="S134" s="4"/>
      <c r="T134" s="4"/>
      <c r="U134" s="4"/>
      <c r="V134" s="4"/>
      <c r="W134" s="4"/>
      <c r="X134" s="4"/>
      <c r="Y134" s="4"/>
      <c r="Z134" s="4"/>
    </row>
    <row r="135" ht="14.25" customHeight="1">
      <c r="A135" s="2"/>
      <c r="B135" s="4"/>
      <c r="C135" s="2"/>
      <c r="D135" s="2"/>
      <c r="E135" s="4"/>
      <c r="F135" s="2"/>
      <c r="G135" s="4"/>
      <c r="H135" s="4"/>
      <c r="I135" s="4"/>
      <c r="J135" s="4"/>
      <c r="K135" s="4"/>
      <c r="L135" s="4"/>
      <c r="M135" s="4"/>
      <c r="N135" s="4"/>
      <c r="O135" s="4"/>
      <c r="P135" s="4"/>
      <c r="Q135" s="4"/>
      <c r="R135" s="4"/>
      <c r="S135" s="4"/>
      <c r="T135" s="4"/>
      <c r="U135" s="4"/>
      <c r="V135" s="4"/>
      <c r="W135" s="4"/>
      <c r="X135" s="4"/>
      <c r="Y135" s="4"/>
      <c r="Z135" s="4"/>
    </row>
    <row r="136" ht="14.25" customHeight="1">
      <c r="A136" s="2"/>
      <c r="B136" s="4"/>
      <c r="C136" s="2"/>
      <c r="D136" s="2"/>
      <c r="E136" s="4"/>
      <c r="F136" s="2"/>
      <c r="G136" s="4"/>
      <c r="H136" s="4"/>
      <c r="I136" s="4"/>
      <c r="J136" s="4"/>
      <c r="K136" s="4"/>
      <c r="L136" s="4"/>
      <c r="M136" s="4"/>
      <c r="N136" s="4"/>
      <c r="O136" s="4"/>
      <c r="P136" s="4"/>
      <c r="Q136" s="4"/>
      <c r="R136" s="4"/>
      <c r="S136" s="4"/>
      <c r="T136" s="4"/>
      <c r="U136" s="4"/>
      <c r="V136" s="4"/>
      <c r="W136" s="4"/>
      <c r="X136" s="4"/>
      <c r="Y136" s="4"/>
      <c r="Z136" s="4"/>
    </row>
    <row r="137" ht="14.25" customHeight="1">
      <c r="A137" s="2"/>
      <c r="B137" s="4"/>
      <c r="C137" s="2"/>
      <c r="D137" s="2"/>
      <c r="E137" s="4"/>
      <c r="F137" s="2"/>
      <c r="G137" s="4"/>
      <c r="H137" s="4"/>
      <c r="I137" s="4"/>
      <c r="J137" s="4"/>
      <c r="K137" s="4"/>
      <c r="L137" s="4"/>
      <c r="M137" s="4"/>
      <c r="N137" s="4"/>
      <c r="O137" s="4"/>
      <c r="P137" s="4"/>
      <c r="Q137" s="4"/>
      <c r="R137" s="4"/>
      <c r="S137" s="4"/>
      <c r="T137" s="4"/>
      <c r="U137" s="4"/>
      <c r="V137" s="4"/>
      <c r="W137" s="4"/>
      <c r="X137" s="4"/>
      <c r="Y137" s="4"/>
      <c r="Z137" s="4"/>
    </row>
    <row r="138" ht="14.25" customHeight="1">
      <c r="A138" s="2"/>
      <c r="B138" s="4"/>
      <c r="C138" s="2"/>
      <c r="D138" s="2"/>
      <c r="E138" s="4"/>
      <c r="F138" s="2"/>
      <c r="G138" s="4"/>
      <c r="H138" s="4"/>
      <c r="I138" s="4"/>
      <c r="J138" s="4"/>
      <c r="K138" s="4"/>
      <c r="L138" s="4"/>
      <c r="M138" s="4"/>
      <c r="N138" s="4"/>
      <c r="O138" s="4"/>
      <c r="P138" s="4"/>
      <c r="Q138" s="4"/>
      <c r="R138" s="4"/>
      <c r="S138" s="4"/>
      <c r="T138" s="4"/>
      <c r="U138" s="4"/>
      <c r="V138" s="4"/>
      <c r="W138" s="4"/>
      <c r="X138" s="4"/>
      <c r="Y138" s="4"/>
      <c r="Z138" s="4"/>
    </row>
    <row r="139" ht="14.25" customHeight="1">
      <c r="A139" s="2"/>
      <c r="B139" s="4"/>
      <c r="C139" s="2"/>
      <c r="D139" s="2"/>
      <c r="E139" s="4"/>
      <c r="F139" s="2"/>
      <c r="G139" s="4"/>
      <c r="H139" s="4"/>
      <c r="I139" s="4"/>
      <c r="J139" s="4"/>
      <c r="K139" s="4"/>
      <c r="L139" s="4"/>
      <c r="M139" s="4"/>
      <c r="N139" s="4"/>
      <c r="O139" s="4"/>
      <c r="P139" s="4"/>
      <c r="Q139" s="4"/>
      <c r="R139" s="4"/>
      <c r="S139" s="4"/>
      <c r="T139" s="4"/>
      <c r="U139" s="4"/>
      <c r="V139" s="4"/>
      <c r="W139" s="4"/>
      <c r="X139" s="4"/>
      <c r="Y139" s="4"/>
      <c r="Z139" s="4"/>
    </row>
    <row r="140" ht="14.25" customHeight="1">
      <c r="A140" s="2"/>
      <c r="B140" s="4"/>
      <c r="C140" s="2"/>
      <c r="D140" s="2"/>
      <c r="E140" s="4"/>
      <c r="F140" s="2"/>
      <c r="G140" s="4"/>
      <c r="H140" s="4"/>
      <c r="I140" s="4"/>
      <c r="J140" s="4"/>
      <c r="K140" s="4"/>
      <c r="L140" s="4"/>
      <c r="M140" s="4"/>
      <c r="N140" s="4"/>
      <c r="O140" s="4"/>
      <c r="P140" s="4"/>
      <c r="Q140" s="4"/>
      <c r="R140" s="4"/>
      <c r="S140" s="4"/>
      <c r="T140" s="4"/>
      <c r="U140" s="4"/>
      <c r="V140" s="4"/>
      <c r="W140" s="4"/>
      <c r="X140" s="4"/>
      <c r="Y140" s="4"/>
      <c r="Z140" s="4"/>
    </row>
    <row r="141" ht="14.25" customHeight="1">
      <c r="A141" s="2"/>
      <c r="B141" s="4"/>
      <c r="C141" s="2"/>
      <c r="D141" s="2"/>
      <c r="E141" s="4"/>
      <c r="F141" s="2"/>
      <c r="G141" s="4"/>
      <c r="H141" s="4"/>
      <c r="I141" s="4"/>
      <c r="J141" s="4"/>
      <c r="K141" s="4"/>
      <c r="L141" s="4"/>
      <c r="M141" s="4"/>
      <c r="N141" s="4"/>
      <c r="O141" s="4"/>
      <c r="P141" s="4"/>
      <c r="Q141" s="4"/>
      <c r="R141" s="4"/>
      <c r="S141" s="4"/>
      <c r="T141" s="4"/>
      <c r="U141" s="4"/>
      <c r="V141" s="4"/>
      <c r="W141" s="4"/>
      <c r="X141" s="4"/>
      <c r="Y141" s="4"/>
      <c r="Z141" s="4"/>
    </row>
    <row r="142" ht="14.25" customHeight="1">
      <c r="A142" s="2"/>
      <c r="B142" s="4"/>
      <c r="C142" s="2"/>
      <c r="D142" s="2"/>
      <c r="E142" s="4"/>
      <c r="F142" s="2"/>
      <c r="G142" s="4"/>
      <c r="H142" s="4"/>
      <c r="I142" s="4"/>
      <c r="J142" s="4"/>
      <c r="K142" s="4"/>
      <c r="L142" s="4"/>
      <c r="M142" s="4"/>
      <c r="N142" s="4"/>
      <c r="O142" s="4"/>
      <c r="P142" s="4"/>
      <c r="Q142" s="4"/>
      <c r="R142" s="4"/>
      <c r="S142" s="4"/>
      <c r="T142" s="4"/>
      <c r="U142" s="4"/>
      <c r="V142" s="4"/>
      <c r="W142" s="4"/>
      <c r="X142" s="4"/>
      <c r="Y142" s="4"/>
      <c r="Z142" s="4"/>
    </row>
    <row r="143" ht="14.25" customHeight="1">
      <c r="A143" s="2"/>
      <c r="B143" s="4"/>
      <c r="C143" s="2"/>
      <c r="D143" s="2"/>
      <c r="E143" s="4"/>
      <c r="F143" s="2"/>
      <c r="G143" s="4"/>
      <c r="H143" s="4"/>
      <c r="I143" s="4"/>
      <c r="J143" s="4"/>
      <c r="K143" s="4"/>
      <c r="L143" s="4"/>
      <c r="M143" s="4"/>
      <c r="N143" s="4"/>
      <c r="O143" s="4"/>
      <c r="P143" s="4"/>
      <c r="Q143" s="4"/>
      <c r="R143" s="4"/>
      <c r="S143" s="4"/>
      <c r="T143" s="4"/>
      <c r="U143" s="4"/>
      <c r="V143" s="4"/>
      <c r="W143" s="4"/>
      <c r="X143" s="4"/>
      <c r="Y143" s="4"/>
      <c r="Z143" s="4"/>
    </row>
    <row r="144" ht="14.25" customHeight="1">
      <c r="A144" s="2"/>
      <c r="B144" s="4"/>
      <c r="C144" s="2"/>
      <c r="D144" s="2"/>
      <c r="E144" s="4"/>
      <c r="F144" s="2"/>
      <c r="G144" s="4"/>
      <c r="H144" s="4"/>
      <c r="I144" s="4"/>
      <c r="J144" s="4"/>
      <c r="K144" s="4"/>
      <c r="L144" s="4"/>
      <c r="M144" s="4"/>
      <c r="N144" s="4"/>
      <c r="O144" s="4"/>
      <c r="P144" s="4"/>
      <c r="Q144" s="4"/>
      <c r="R144" s="4"/>
      <c r="S144" s="4"/>
      <c r="T144" s="4"/>
      <c r="U144" s="4"/>
      <c r="V144" s="4"/>
      <c r="W144" s="4"/>
      <c r="X144" s="4"/>
      <c r="Y144" s="4"/>
      <c r="Z144" s="4"/>
    </row>
    <row r="145" ht="14.25" customHeight="1">
      <c r="A145" s="2"/>
      <c r="B145" s="4"/>
      <c r="C145" s="2"/>
      <c r="D145" s="2"/>
      <c r="E145" s="4"/>
      <c r="F145" s="2"/>
      <c r="G145" s="4"/>
      <c r="H145" s="4"/>
      <c r="I145" s="4"/>
      <c r="J145" s="4"/>
      <c r="K145" s="4"/>
      <c r="L145" s="4"/>
      <c r="M145" s="4"/>
      <c r="N145" s="4"/>
      <c r="O145" s="4"/>
      <c r="P145" s="4"/>
      <c r="Q145" s="4"/>
      <c r="R145" s="4"/>
      <c r="S145" s="4"/>
      <c r="T145" s="4"/>
      <c r="U145" s="4"/>
      <c r="V145" s="4"/>
      <c r="W145" s="4"/>
      <c r="X145" s="4"/>
      <c r="Y145" s="4"/>
      <c r="Z145" s="4"/>
    </row>
    <row r="146" ht="14.25" customHeight="1">
      <c r="A146" s="2"/>
      <c r="B146" s="4"/>
      <c r="C146" s="2"/>
      <c r="D146" s="2"/>
      <c r="E146" s="4"/>
      <c r="F146" s="2"/>
      <c r="G146" s="4"/>
      <c r="H146" s="4"/>
      <c r="I146" s="4"/>
      <c r="J146" s="4"/>
      <c r="K146" s="4"/>
      <c r="L146" s="4"/>
      <c r="M146" s="4"/>
      <c r="N146" s="4"/>
      <c r="O146" s="4"/>
      <c r="P146" s="4"/>
      <c r="Q146" s="4"/>
      <c r="R146" s="4"/>
      <c r="S146" s="4"/>
      <c r="T146" s="4"/>
      <c r="U146" s="4"/>
      <c r="V146" s="4"/>
      <c r="W146" s="4"/>
      <c r="X146" s="4"/>
      <c r="Y146" s="4"/>
      <c r="Z146" s="4"/>
    </row>
    <row r="147" ht="14.25" customHeight="1">
      <c r="A147" s="2"/>
      <c r="B147" s="4"/>
      <c r="C147" s="2"/>
      <c r="D147" s="2"/>
      <c r="E147" s="4"/>
      <c r="F147" s="2"/>
      <c r="G147" s="4"/>
      <c r="H147" s="4"/>
      <c r="I147" s="4"/>
      <c r="J147" s="4"/>
      <c r="K147" s="4"/>
      <c r="L147" s="4"/>
      <c r="M147" s="4"/>
      <c r="N147" s="4"/>
      <c r="O147" s="4"/>
      <c r="P147" s="4"/>
      <c r="Q147" s="4"/>
      <c r="R147" s="4"/>
      <c r="S147" s="4"/>
      <c r="T147" s="4"/>
      <c r="U147" s="4"/>
      <c r="V147" s="4"/>
      <c r="W147" s="4"/>
      <c r="X147" s="4"/>
      <c r="Y147" s="4"/>
      <c r="Z147" s="4"/>
    </row>
    <row r="148" ht="14.25" customHeight="1">
      <c r="A148" s="2"/>
      <c r="B148" s="4"/>
      <c r="C148" s="2"/>
      <c r="D148" s="2"/>
      <c r="E148" s="4"/>
      <c r="F148" s="2"/>
      <c r="G148" s="4"/>
      <c r="H148" s="4"/>
      <c r="I148" s="4"/>
      <c r="J148" s="4"/>
      <c r="K148" s="4"/>
      <c r="L148" s="4"/>
      <c r="M148" s="4"/>
      <c r="N148" s="4"/>
      <c r="O148" s="4"/>
      <c r="P148" s="4"/>
      <c r="Q148" s="4"/>
      <c r="R148" s="4"/>
      <c r="S148" s="4"/>
      <c r="T148" s="4"/>
      <c r="U148" s="4"/>
      <c r="V148" s="4"/>
      <c r="W148" s="4"/>
      <c r="X148" s="4"/>
      <c r="Y148" s="4"/>
      <c r="Z148" s="4"/>
    </row>
    <row r="149" ht="14.25" customHeight="1">
      <c r="A149" s="2"/>
      <c r="B149" s="4"/>
      <c r="C149" s="2"/>
      <c r="D149" s="2"/>
      <c r="E149" s="4"/>
      <c r="F149" s="2"/>
      <c r="G149" s="4"/>
      <c r="H149" s="4"/>
      <c r="I149" s="4"/>
      <c r="J149" s="4"/>
      <c r="K149" s="4"/>
      <c r="L149" s="4"/>
      <c r="M149" s="4"/>
      <c r="N149" s="4"/>
      <c r="O149" s="4"/>
      <c r="P149" s="4"/>
      <c r="Q149" s="4"/>
      <c r="R149" s="4"/>
      <c r="S149" s="4"/>
      <c r="T149" s="4"/>
      <c r="U149" s="4"/>
      <c r="V149" s="4"/>
      <c r="W149" s="4"/>
      <c r="X149" s="4"/>
      <c r="Y149" s="4"/>
      <c r="Z149" s="4"/>
    </row>
    <row r="150" ht="14.25" customHeight="1">
      <c r="A150" s="2"/>
      <c r="B150" s="4"/>
      <c r="C150" s="2"/>
      <c r="D150" s="2"/>
      <c r="E150" s="4"/>
      <c r="F150" s="2"/>
      <c r="G150" s="4"/>
      <c r="H150" s="4"/>
      <c r="I150" s="4"/>
      <c r="J150" s="4"/>
      <c r="K150" s="4"/>
      <c r="L150" s="4"/>
      <c r="M150" s="4"/>
      <c r="N150" s="4"/>
      <c r="O150" s="4"/>
      <c r="P150" s="4"/>
      <c r="Q150" s="4"/>
      <c r="R150" s="4"/>
      <c r="S150" s="4"/>
      <c r="T150" s="4"/>
      <c r="U150" s="4"/>
      <c r="V150" s="4"/>
      <c r="W150" s="4"/>
      <c r="X150" s="4"/>
      <c r="Y150" s="4"/>
      <c r="Z150" s="4"/>
    </row>
    <row r="151" ht="14.25" customHeight="1">
      <c r="A151" s="2"/>
      <c r="B151" s="4"/>
      <c r="C151" s="2"/>
      <c r="D151" s="2"/>
      <c r="E151" s="4"/>
      <c r="F151" s="2"/>
      <c r="G151" s="4"/>
      <c r="H151" s="4"/>
      <c r="I151" s="4"/>
      <c r="J151" s="4"/>
      <c r="K151" s="4"/>
      <c r="L151" s="4"/>
      <c r="M151" s="4"/>
      <c r="N151" s="4"/>
      <c r="O151" s="4"/>
      <c r="P151" s="4"/>
      <c r="Q151" s="4"/>
      <c r="R151" s="4"/>
      <c r="S151" s="4"/>
      <c r="T151" s="4"/>
      <c r="U151" s="4"/>
      <c r="V151" s="4"/>
      <c r="W151" s="4"/>
      <c r="X151" s="4"/>
      <c r="Y151" s="4"/>
      <c r="Z151" s="4"/>
    </row>
    <row r="152" ht="14.25" customHeight="1">
      <c r="A152" s="2"/>
      <c r="B152" s="4"/>
      <c r="C152" s="2"/>
      <c r="D152" s="2"/>
      <c r="E152" s="4"/>
      <c r="F152" s="2"/>
      <c r="G152" s="4"/>
      <c r="H152" s="4"/>
      <c r="I152" s="4"/>
      <c r="J152" s="4"/>
      <c r="K152" s="4"/>
      <c r="L152" s="4"/>
      <c r="M152" s="4"/>
      <c r="N152" s="4"/>
      <c r="O152" s="4"/>
      <c r="P152" s="4"/>
      <c r="Q152" s="4"/>
      <c r="R152" s="4"/>
      <c r="S152" s="4"/>
      <c r="T152" s="4"/>
      <c r="U152" s="4"/>
      <c r="V152" s="4"/>
      <c r="W152" s="4"/>
      <c r="X152" s="4"/>
      <c r="Y152" s="4"/>
      <c r="Z152" s="4"/>
    </row>
    <row r="153" ht="14.25" customHeight="1">
      <c r="A153" s="2"/>
      <c r="B153" s="4"/>
      <c r="C153" s="2"/>
      <c r="D153" s="2"/>
      <c r="E153" s="4"/>
      <c r="F153" s="2"/>
      <c r="G153" s="4"/>
      <c r="H153" s="4"/>
      <c r="I153" s="4"/>
      <c r="J153" s="4"/>
      <c r="K153" s="4"/>
      <c r="L153" s="4"/>
      <c r="M153" s="4"/>
      <c r="N153" s="4"/>
      <c r="O153" s="4"/>
      <c r="P153" s="4"/>
      <c r="Q153" s="4"/>
      <c r="R153" s="4"/>
      <c r="S153" s="4"/>
      <c r="T153" s="4"/>
      <c r="U153" s="4"/>
      <c r="V153" s="4"/>
      <c r="W153" s="4"/>
      <c r="X153" s="4"/>
      <c r="Y153" s="4"/>
      <c r="Z153" s="4"/>
    </row>
    <row r="154" ht="14.25" customHeight="1">
      <c r="A154" s="2"/>
      <c r="B154" s="4"/>
      <c r="C154" s="2"/>
      <c r="D154" s="2"/>
      <c r="E154" s="4"/>
      <c r="F154" s="2"/>
      <c r="G154" s="4"/>
      <c r="H154" s="4"/>
      <c r="I154" s="4"/>
      <c r="J154" s="4"/>
      <c r="K154" s="4"/>
      <c r="L154" s="4"/>
      <c r="M154" s="4"/>
      <c r="N154" s="4"/>
      <c r="O154" s="4"/>
      <c r="P154" s="4"/>
      <c r="Q154" s="4"/>
      <c r="R154" s="4"/>
      <c r="S154" s="4"/>
      <c r="T154" s="4"/>
      <c r="U154" s="4"/>
      <c r="V154" s="4"/>
      <c r="W154" s="4"/>
      <c r="X154" s="4"/>
      <c r="Y154" s="4"/>
      <c r="Z154" s="4"/>
    </row>
    <row r="155" ht="14.25" customHeight="1">
      <c r="A155" s="2"/>
      <c r="B155" s="4"/>
      <c r="C155" s="2"/>
      <c r="D155" s="2"/>
      <c r="E155" s="4"/>
      <c r="F155" s="2"/>
      <c r="G155" s="4"/>
      <c r="H155" s="4"/>
      <c r="I155" s="4"/>
      <c r="J155" s="4"/>
      <c r="K155" s="4"/>
      <c r="L155" s="4"/>
      <c r="M155" s="4"/>
      <c r="N155" s="4"/>
      <c r="O155" s="4"/>
      <c r="P155" s="4"/>
      <c r="Q155" s="4"/>
      <c r="R155" s="4"/>
      <c r="S155" s="4"/>
      <c r="T155" s="4"/>
      <c r="U155" s="4"/>
      <c r="V155" s="4"/>
      <c r="W155" s="4"/>
      <c r="X155" s="4"/>
      <c r="Y155" s="4"/>
      <c r="Z155" s="4"/>
    </row>
    <row r="156" ht="14.25" customHeight="1">
      <c r="A156" s="2"/>
      <c r="B156" s="4"/>
      <c r="C156" s="2"/>
      <c r="D156" s="2"/>
      <c r="E156" s="4"/>
      <c r="F156" s="2"/>
      <c r="G156" s="4"/>
      <c r="H156" s="4"/>
      <c r="I156" s="4"/>
      <c r="J156" s="4"/>
      <c r="K156" s="4"/>
      <c r="L156" s="4"/>
      <c r="M156" s="4"/>
      <c r="N156" s="4"/>
      <c r="O156" s="4"/>
      <c r="P156" s="4"/>
      <c r="Q156" s="4"/>
      <c r="R156" s="4"/>
      <c r="S156" s="4"/>
      <c r="T156" s="4"/>
      <c r="U156" s="4"/>
      <c r="V156" s="4"/>
      <c r="W156" s="4"/>
      <c r="X156" s="4"/>
      <c r="Y156" s="4"/>
      <c r="Z156" s="4"/>
    </row>
    <row r="157" ht="14.25" customHeight="1">
      <c r="A157" s="2"/>
      <c r="B157" s="4"/>
      <c r="C157" s="2"/>
      <c r="D157" s="2"/>
      <c r="E157" s="4"/>
      <c r="F157" s="2"/>
      <c r="G157" s="4"/>
      <c r="H157" s="4"/>
      <c r="I157" s="4"/>
      <c r="J157" s="4"/>
      <c r="K157" s="4"/>
      <c r="L157" s="4"/>
      <c r="M157" s="4"/>
      <c r="N157" s="4"/>
      <c r="O157" s="4"/>
      <c r="P157" s="4"/>
      <c r="Q157" s="4"/>
      <c r="R157" s="4"/>
      <c r="S157" s="4"/>
      <c r="T157" s="4"/>
      <c r="U157" s="4"/>
      <c r="V157" s="4"/>
      <c r="W157" s="4"/>
      <c r="X157" s="4"/>
      <c r="Y157" s="4"/>
      <c r="Z157" s="4"/>
    </row>
    <row r="158" ht="14.25" customHeight="1">
      <c r="A158" s="2"/>
      <c r="B158" s="4"/>
      <c r="C158" s="2"/>
      <c r="D158" s="2"/>
      <c r="E158" s="4"/>
      <c r="F158" s="2"/>
      <c r="G158" s="4"/>
      <c r="H158" s="4"/>
      <c r="I158" s="4"/>
      <c r="J158" s="4"/>
      <c r="K158" s="4"/>
      <c r="L158" s="4"/>
      <c r="M158" s="4"/>
      <c r="N158" s="4"/>
      <c r="O158" s="4"/>
      <c r="P158" s="4"/>
      <c r="Q158" s="4"/>
      <c r="R158" s="4"/>
      <c r="S158" s="4"/>
      <c r="T158" s="4"/>
      <c r="U158" s="4"/>
      <c r="V158" s="4"/>
      <c r="W158" s="4"/>
      <c r="X158" s="4"/>
      <c r="Y158" s="4"/>
      <c r="Z158" s="4"/>
    </row>
    <row r="159" ht="14.25" customHeight="1">
      <c r="A159" s="2"/>
      <c r="B159" s="4"/>
      <c r="C159" s="2"/>
      <c r="D159" s="2"/>
      <c r="E159" s="4"/>
      <c r="F159" s="2"/>
      <c r="G159" s="4"/>
      <c r="H159" s="4"/>
      <c r="I159" s="4"/>
      <c r="J159" s="4"/>
      <c r="K159" s="4"/>
      <c r="L159" s="4"/>
      <c r="M159" s="4"/>
      <c r="N159" s="4"/>
      <c r="O159" s="4"/>
      <c r="P159" s="4"/>
      <c r="Q159" s="4"/>
      <c r="R159" s="4"/>
      <c r="S159" s="4"/>
      <c r="T159" s="4"/>
      <c r="U159" s="4"/>
      <c r="V159" s="4"/>
      <c r="W159" s="4"/>
      <c r="X159" s="4"/>
      <c r="Y159" s="4"/>
      <c r="Z159" s="4"/>
    </row>
    <row r="160" ht="14.25" customHeight="1">
      <c r="A160" s="2"/>
      <c r="B160" s="4"/>
      <c r="C160" s="2"/>
      <c r="D160" s="2"/>
      <c r="E160" s="4"/>
      <c r="F160" s="2"/>
      <c r="G160" s="4"/>
      <c r="H160" s="4"/>
      <c r="I160" s="4"/>
      <c r="J160" s="4"/>
      <c r="K160" s="4"/>
      <c r="L160" s="4"/>
      <c r="M160" s="4"/>
      <c r="N160" s="4"/>
      <c r="O160" s="4"/>
      <c r="P160" s="4"/>
      <c r="Q160" s="4"/>
      <c r="R160" s="4"/>
      <c r="S160" s="4"/>
      <c r="T160" s="4"/>
      <c r="U160" s="4"/>
      <c r="V160" s="4"/>
      <c r="W160" s="4"/>
      <c r="X160" s="4"/>
      <c r="Y160" s="4"/>
      <c r="Z160" s="4"/>
    </row>
    <row r="161" ht="14.25" customHeight="1">
      <c r="A161" s="2"/>
      <c r="B161" s="4"/>
      <c r="C161" s="2"/>
      <c r="D161" s="2"/>
      <c r="E161" s="4"/>
      <c r="F161" s="2"/>
      <c r="G161" s="4"/>
      <c r="H161" s="4"/>
      <c r="I161" s="4"/>
      <c r="J161" s="4"/>
      <c r="K161" s="4"/>
      <c r="L161" s="4"/>
      <c r="M161" s="4"/>
      <c r="N161" s="4"/>
      <c r="O161" s="4"/>
      <c r="P161" s="4"/>
      <c r="Q161" s="4"/>
      <c r="R161" s="4"/>
      <c r="S161" s="4"/>
      <c r="T161" s="4"/>
      <c r="U161" s="4"/>
      <c r="V161" s="4"/>
      <c r="W161" s="4"/>
      <c r="X161" s="4"/>
      <c r="Y161" s="4"/>
      <c r="Z161" s="4"/>
    </row>
    <row r="162" ht="14.25" customHeight="1">
      <c r="A162" s="2"/>
      <c r="B162" s="4"/>
      <c r="C162" s="2"/>
      <c r="D162" s="2"/>
      <c r="E162" s="4"/>
      <c r="F162" s="2"/>
      <c r="G162" s="4"/>
      <c r="H162" s="4"/>
      <c r="I162" s="4"/>
      <c r="J162" s="4"/>
      <c r="K162" s="4"/>
      <c r="L162" s="4"/>
      <c r="M162" s="4"/>
      <c r="N162" s="4"/>
      <c r="O162" s="4"/>
      <c r="P162" s="4"/>
      <c r="Q162" s="4"/>
      <c r="R162" s="4"/>
      <c r="S162" s="4"/>
      <c r="T162" s="4"/>
      <c r="U162" s="4"/>
      <c r="V162" s="4"/>
      <c r="W162" s="4"/>
      <c r="X162" s="4"/>
      <c r="Y162" s="4"/>
      <c r="Z162" s="4"/>
    </row>
    <row r="163" ht="14.25" customHeight="1">
      <c r="A163" s="2"/>
      <c r="B163" s="4"/>
      <c r="C163" s="2"/>
      <c r="D163" s="2"/>
      <c r="E163" s="4"/>
      <c r="F163" s="2"/>
      <c r="G163" s="4"/>
      <c r="H163" s="4"/>
      <c r="I163" s="4"/>
      <c r="J163" s="4"/>
      <c r="K163" s="4"/>
      <c r="L163" s="4"/>
      <c r="M163" s="4"/>
      <c r="N163" s="4"/>
      <c r="O163" s="4"/>
      <c r="P163" s="4"/>
      <c r="Q163" s="4"/>
      <c r="R163" s="4"/>
      <c r="S163" s="4"/>
      <c r="T163" s="4"/>
      <c r="U163" s="4"/>
      <c r="V163" s="4"/>
      <c r="W163" s="4"/>
      <c r="X163" s="4"/>
      <c r="Y163" s="4"/>
      <c r="Z163" s="4"/>
    </row>
    <row r="164" ht="14.25" customHeight="1">
      <c r="A164" s="2"/>
      <c r="B164" s="4"/>
      <c r="C164" s="2"/>
      <c r="D164" s="2"/>
      <c r="E164" s="4"/>
      <c r="F164" s="2"/>
      <c r="G164" s="4"/>
      <c r="H164" s="4"/>
      <c r="I164" s="4"/>
      <c r="J164" s="4"/>
      <c r="K164" s="4"/>
      <c r="L164" s="4"/>
      <c r="M164" s="4"/>
      <c r="N164" s="4"/>
      <c r="O164" s="4"/>
      <c r="P164" s="4"/>
      <c r="Q164" s="4"/>
      <c r="R164" s="4"/>
      <c r="S164" s="4"/>
      <c r="T164" s="4"/>
      <c r="U164" s="4"/>
      <c r="V164" s="4"/>
      <c r="W164" s="4"/>
      <c r="X164" s="4"/>
      <c r="Y164" s="4"/>
      <c r="Z164" s="4"/>
    </row>
    <row r="165" ht="14.25" customHeight="1">
      <c r="A165" s="2"/>
      <c r="B165" s="4"/>
      <c r="C165" s="2"/>
      <c r="D165" s="2"/>
      <c r="E165" s="4"/>
      <c r="F165" s="2"/>
      <c r="G165" s="4"/>
      <c r="H165" s="4"/>
      <c r="I165" s="4"/>
      <c r="J165" s="4"/>
      <c r="K165" s="4"/>
      <c r="L165" s="4"/>
      <c r="M165" s="4"/>
      <c r="N165" s="4"/>
      <c r="O165" s="4"/>
      <c r="P165" s="4"/>
      <c r="Q165" s="4"/>
      <c r="R165" s="4"/>
      <c r="S165" s="4"/>
      <c r="T165" s="4"/>
      <c r="U165" s="4"/>
      <c r="V165" s="4"/>
      <c r="W165" s="4"/>
      <c r="X165" s="4"/>
      <c r="Y165" s="4"/>
      <c r="Z165" s="4"/>
    </row>
    <row r="166" ht="14.25" customHeight="1">
      <c r="A166" s="2"/>
      <c r="B166" s="4"/>
      <c r="C166" s="2"/>
      <c r="D166" s="2"/>
      <c r="E166" s="4"/>
      <c r="F166" s="2"/>
      <c r="G166" s="4"/>
      <c r="H166" s="4"/>
      <c r="I166" s="4"/>
      <c r="J166" s="4"/>
      <c r="K166" s="4"/>
      <c r="L166" s="4"/>
      <c r="M166" s="4"/>
      <c r="N166" s="4"/>
      <c r="O166" s="4"/>
      <c r="P166" s="4"/>
      <c r="Q166" s="4"/>
      <c r="R166" s="4"/>
      <c r="S166" s="4"/>
      <c r="T166" s="4"/>
      <c r="U166" s="4"/>
      <c r="V166" s="4"/>
      <c r="W166" s="4"/>
      <c r="X166" s="4"/>
      <c r="Y166" s="4"/>
      <c r="Z166" s="4"/>
    </row>
    <row r="167" ht="14.25" customHeight="1">
      <c r="A167" s="2"/>
      <c r="B167" s="4"/>
      <c r="C167" s="2"/>
      <c r="D167" s="2"/>
      <c r="E167" s="4"/>
      <c r="F167" s="2"/>
      <c r="G167" s="4"/>
      <c r="H167" s="4"/>
      <c r="I167" s="4"/>
      <c r="J167" s="4"/>
      <c r="K167" s="4"/>
      <c r="L167" s="4"/>
      <c r="M167" s="4"/>
      <c r="N167" s="4"/>
      <c r="O167" s="4"/>
      <c r="P167" s="4"/>
      <c r="Q167" s="4"/>
      <c r="R167" s="4"/>
      <c r="S167" s="4"/>
      <c r="T167" s="4"/>
      <c r="U167" s="4"/>
      <c r="V167" s="4"/>
      <c r="W167" s="4"/>
      <c r="X167" s="4"/>
      <c r="Y167" s="4"/>
      <c r="Z167" s="4"/>
    </row>
    <row r="168" ht="14.25" customHeight="1">
      <c r="A168" s="2"/>
      <c r="B168" s="4"/>
      <c r="C168" s="2"/>
      <c r="D168" s="2"/>
      <c r="E168" s="4"/>
      <c r="F168" s="2"/>
      <c r="G168" s="4"/>
      <c r="H168" s="4"/>
      <c r="I168" s="4"/>
      <c r="J168" s="4"/>
      <c r="K168" s="4"/>
      <c r="L168" s="4"/>
      <c r="M168" s="4"/>
      <c r="N168" s="4"/>
      <c r="O168" s="4"/>
      <c r="P168" s="4"/>
      <c r="Q168" s="4"/>
      <c r="R168" s="4"/>
      <c r="S168" s="4"/>
      <c r="T168" s="4"/>
      <c r="U168" s="4"/>
      <c r="V168" s="4"/>
      <c r="W168" s="4"/>
      <c r="X168" s="4"/>
      <c r="Y168" s="4"/>
      <c r="Z168" s="4"/>
    </row>
    <row r="169" ht="14.25" customHeight="1">
      <c r="A169" s="2"/>
      <c r="B169" s="4"/>
      <c r="C169" s="2"/>
      <c r="D169" s="2"/>
      <c r="E169" s="4"/>
      <c r="F169" s="2"/>
      <c r="G169" s="4"/>
      <c r="H169" s="4"/>
      <c r="I169" s="4"/>
      <c r="J169" s="4"/>
      <c r="K169" s="4"/>
      <c r="L169" s="4"/>
      <c r="M169" s="4"/>
      <c r="N169" s="4"/>
      <c r="O169" s="4"/>
      <c r="P169" s="4"/>
      <c r="Q169" s="4"/>
      <c r="R169" s="4"/>
      <c r="S169" s="4"/>
      <c r="T169" s="4"/>
      <c r="U169" s="4"/>
      <c r="V169" s="4"/>
      <c r="W169" s="4"/>
      <c r="X169" s="4"/>
      <c r="Y169" s="4"/>
      <c r="Z169" s="4"/>
    </row>
    <row r="170" ht="14.25" customHeight="1">
      <c r="A170" s="2"/>
      <c r="B170" s="4"/>
      <c r="C170" s="2"/>
      <c r="D170" s="2"/>
      <c r="E170" s="4"/>
      <c r="F170" s="2"/>
      <c r="G170" s="4"/>
      <c r="H170" s="4"/>
      <c r="I170" s="4"/>
      <c r="J170" s="4"/>
      <c r="K170" s="4"/>
      <c r="L170" s="4"/>
      <c r="M170" s="4"/>
      <c r="N170" s="4"/>
      <c r="O170" s="4"/>
      <c r="P170" s="4"/>
      <c r="Q170" s="4"/>
      <c r="R170" s="4"/>
      <c r="S170" s="4"/>
      <c r="T170" s="4"/>
      <c r="U170" s="4"/>
      <c r="V170" s="4"/>
      <c r="W170" s="4"/>
      <c r="X170" s="4"/>
      <c r="Y170" s="4"/>
      <c r="Z170" s="4"/>
    </row>
    <row r="171" ht="14.25" customHeight="1">
      <c r="A171" s="2"/>
      <c r="B171" s="4"/>
      <c r="C171" s="2"/>
      <c r="D171" s="2"/>
      <c r="E171" s="4"/>
      <c r="F171" s="2"/>
      <c r="G171" s="4"/>
      <c r="H171" s="4"/>
      <c r="I171" s="4"/>
      <c r="J171" s="4"/>
      <c r="K171" s="4"/>
      <c r="L171" s="4"/>
      <c r="M171" s="4"/>
      <c r="N171" s="4"/>
      <c r="O171" s="4"/>
      <c r="P171" s="4"/>
      <c r="Q171" s="4"/>
      <c r="R171" s="4"/>
      <c r="S171" s="4"/>
      <c r="T171" s="4"/>
      <c r="U171" s="4"/>
      <c r="V171" s="4"/>
      <c r="W171" s="4"/>
      <c r="X171" s="4"/>
      <c r="Y171" s="4"/>
      <c r="Z171" s="4"/>
    </row>
    <row r="172" ht="14.25" customHeight="1">
      <c r="A172" s="2"/>
      <c r="B172" s="4"/>
      <c r="C172" s="2"/>
      <c r="D172" s="2"/>
      <c r="E172" s="4"/>
      <c r="F172" s="2"/>
      <c r="G172" s="4"/>
      <c r="H172" s="4"/>
      <c r="I172" s="4"/>
      <c r="J172" s="4"/>
      <c r="K172" s="4"/>
      <c r="L172" s="4"/>
      <c r="M172" s="4"/>
      <c r="N172" s="4"/>
      <c r="O172" s="4"/>
      <c r="P172" s="4"/>
      <c r="Q172" s="4"/>
      <c r="R172" s="4"/>
      <c r="S172" s="4"/>
      <c r="T172" s="4"/>
      <c r="U172" s="4"/>
      <c r="V172" s="4"/>
      <c r="W172" s="4"/>
      <c r="X172" s="4"/>
      <c r="Y172" s="4"/>
      <c r="Z172" s="4"/>
    </row>
    <row r="173" ht="14.25" customHeight="1">
      <c r="A173" s="2"/>
      <c r="B173" s="4"/>
      <c r="C173" s="2"/>
      <c r="D173" s="2"/>
      <c r="E173" s="4"/>
      <c r="F173" s="2"/>
      <c r="G173" s="4"/>
      <c r="H173" s="4"/>
      <c r="I173" s="4"/>
      <c r="J173" s="4"/>
      <c r="K173" s="4"/>
      <c r="L173" s="4"/>
      <c r="M173" s="4"/>
      <c r="N173" s="4"/>
      <c r="O173" s="4"/>
      <c r="P173" s="4"/>
      <c r="Q173" s="4"/>
      <c r="R173" s="4"/>
      <c r="S173" s="4"/>
      <c r="T173" s="4"/>
      <c r="U173" s="4"/>
      <c r="V173" s="4"/>
      <c r="W173" s="4"/>
      <c r="X173" s="4"/>
      <c r="Y173" s="4"/>
      <c r="Z173" s="4"/>
    </row>
    <row r="174" ht="14.25" customHeight="1">
      <c r="A174" s="2"/>
      <c r="B174" s="4"/>
      <c r="C174" s="2"/>
      <c r="D174" s="2"/>
      <c r="E174" s="4"/>
      <c r="F174" s="2"/>
      <c r="G174" s="4"/>
      <c r="H174" s="4"/>
      <c r="I174" s="4"/>
      <c r="J174" s="4"/>
      <c r="K174" s="4"/>
      <c r="L174" s="4"/>
      <c r="M174" s="4"/>
      <c r="N174" s="4"/>
      <c r="O174" s="4"/>
      <c r="P174" s="4"/>
      <c r="Q174" s="4"/>
      <c r="R174" s="4"/>
      <c r="S174" s="4"/>
      <c r="T174" s="4"/>
      <c r="U174" s="4"/>
      <c r="V174" s="4"/>
      <c r="W174" s="4"/>
      <c r="X174" s="4"/>
      <c r="Y174" s="4"/>
      <c r="Z174" s="4"/>
    </row>
    <row r="175" ht="14.25" customHeight="1">
      <c r="A175" s="2"/>
      <c r="B175" s="4"/>
      <c r="C175" s="2"/>
      <c r="D175" s="2"/>
      <c r="E175" s="4"/>
      <c r="F175" s="2"/>
      <c r="G175" s="4"/>
      <c r="H175" s="4"/>
      <c r="I175" s="4"/>
      <c r="J175" s="4"/>
      <c r="K175" s="4"/>
      <c r="L175" s="4"/>
      <c r="M175" s="4"/>
      <c r="N175" s="4"/>
      <c r="O175" s="4"/>
      <c r="P175" s="4"/>
      <c r="Q175" s="4"/>
      <c r="R175" s="4"/>
      <c r="S175" s="4"/>
      <c r="T175" s="4"/>
      <c r="U175" s="4"/>
      <c r="V175" s="4"/>
      <c r="W175" s="4"/>
      <c r="X175" s="4"/>
      <c r="Y175" s="4"/>
      <c r="Z175" s="4"/>
    </row>
    <row r="176" ht="14.25" customHeight="1">
      <c r="A176" s="2"/>
      <c r="B176" s="4"/>
      <c r="C176" s="2"/>
      <c r="D176" s="2"/>
      <c r="E176" s="4"/>
      <c r="F176" s="2"/>
      <c r="G176" s="4"/>
      <c r="H176" s="4"/>
      <c r="I176" s="4"/>
      <c r="J176" s="4"/>
      <c r="K176" s="4"/>
      <c r="L176" s="4"/>
      <c r="M176" s="4"/>
      <c r="N176" s="4"/>
      <c r="O176" s="4"/>
      <c r="P176" s="4"/>
      <c r="Q176" s="4"/>
      <c r="R176" s="4"/>
      <c r="S176" s="4"/>
      <c r="T176" s="4"/>
      <c r="U176" s="4"/>
      <c r="V176" s="4"/>
      <c r="W176" s="4"/>
      <c r="X176" s="4"/>
      <c r="Y176" s="4"/>
      <c r="Z176" s="4"/>
    </row>
    <row r="177" ht="14.25" customHeight="1">
      <c r="A177" s="2"/>
      <c r="B177" s="4"/>
      <c r="C177" s="2"/>
      <c r="D177" s="2"/>
      <c r="E177" s="4"/>
      <c r="F177" s="2"/>
      <c r="G177" s="4"/>
      <c r="H177" s="4"/>
      <c r="I177" s="4"/>
      <c r="J177" s="4"/>
      <c r="K177" s="4"/>
      <c r="L177" s="4"/>
      <c r="M177" s="4"/>
      <c r="N177" s="4"/>
      <c r="O177" s="4"/>
      <c r="P177" s="4"/>
      <c r="Q177" s="4"/>
      <c r="R177" s="4"/>
      <c r="S177" s="4"/>
      <c r="T177" s="4"/>
      <c r="U177" s="4"/>
      <c r="V177" s="4"/>
      <c r="W177" s="4"/>
      <c r="X177" s="4"/>
      <c r="Y177" s="4"/>
      <c r="Z177" s="4"/>
    </row>
    <row r="178" ht="14.25" customHeight="1">
      <c r="A178" s="2"/>
      <c r="B178" s="4"/>
      <c r="C178" s="2"/>
      <c r="D178" s="2"/>
      <c r="E178" s="4"/>
      <c r="F178" s="2"/>
      <c r="G178" s="4"/>
      <c r="H178" s="4"/>
      <c r="I178" s="4"/>
      <c r="J178" s="4"/>
      <c r="K178" s="4"/>
      <c r="L178" s="4"/>
      <c r="M178" s="4"/>
      <c r="N178" s="4"/>
      <c r="O178" s="4"/>
      <c r="P178" s="4"/>
      <c r="Q178" s="4"/>
      <c r="R178" s="4"/>
      <c r="S178" s="4"/>
      <c r="T178" s="4"/>
      <c r="U178" s="4"/>
      <c r="V178" s="4"/>
      <c r="W178" s="4"/>
      <c r="X178" s="4"/>
      <c r="Y178" s="4"/>
      <c r="Z178" s="4"/>
    </row>
    <row r="179" ht="14.25" customHeight="1">
      <c r="A179" s="2"/>
      <c r="B179" s="4"/>
      <c r="C179" s="2"/>
      <c r="D179" s="2"/>
      <c r="E179" s="4"/>
      <c r="F179" s="2"/>
      <c r="G179" s="4"/>
      <c r="H179" s="4"/>
      <c r="I179" s="4"/>
      <c r="J179" s="4"/>
      <c r="K179" s="4"/>
      <c r="L179" s="4"/>
      <c r="M179" s="4"/>
      <c r="N179" s="4"/>
      <c r="O179" s="4"/>
      <c r="P179" s="4"/>
      <c r="Q179" s="4"/>
      <c r="R179" s="4"/>
      <c r="S179" s="4"/>
      <c r="T179" s="4"/>
      <c r="U179" s="4"/>
      <c r="V179" s="4"/>
      <c r="W179" s="4"/>
      <c r="X179" s="4"/>
      <c r="Y179" s="4"/>
      <c r="Z179" s="4"/>
    </row>
    <row r="180" ht="14.25" customHeight="1">
      <c r="A180" s="2"/>
      <c r="B180" s="4"/>
      <c r="C180" s="2"/>
      <c r="D180" s="2"/>
      <c r="E180" s="4"/>
      <c r="F180" s="2"/>
      <c r="G180" s="4"/>
      <c r="H180" s="4"/>
      <c r="I180" s="4"/>
      <c r="J180" s="4"/>
      <c r="K180" s="4"/>
      <c r="L180" s="4"/>
      <c r="M180" s="4"/>
      <c r="N180" s="4"/>
      <c r="O180" s="4"/>
      <c r="P180" s="4"/>
      <c r="Q180" s="4"/>
      <c r="R180" s="4"/>
      <c r="S180" s="4"/>
      <c r="T180" s="4"/>
      <c r="U180" s="4"/>
      <c r="V180" s="4"/>
      <c r="W180" s="4"/>
      <c r="X180" s="4"/>
      <c r="Y180" s="4"/>
      <c r="Z180" s="4"/>
    </row>
    <row r="181" ht="14.25" customHeight="1">
      <c r="A181" s="2"/>
      <c r="B181" s="4"/>
      <c r="C181" s="2"/>
      <c r="D181" s="2"/>
      <c r="E181" s="4"/>
      <c r="F181" s="2"/>
      <c r="G181" s="4"/>
      <c r="H181" s="4"/>
      <c r="I181" s="4"/>
      <c r="J181" s="4"/>
      <c r="K181" s="4"/>
      <c r="L181" s="4"/>
      <c r="M181" s="4"/>
      <c r="N181" s="4"/>
      <c r="O181" s="4"/>
      <c r="P181" s="4"/>
      <c r="Q181" s="4"/>
      <c r="R181" s="4"/>
      <c r="S181" s="4"/>
      <c r="T181" s="4"/>
      <c r="U181" s="4"/>
      <c r="V181" s="4"/>
      <c r="W181" s="4"/>
      <c r="X181" s="4"/>
      <c r="Y181" s="4"/>
      <c r="Z181" s="4"/>
    </row>
    <row r="182" ht="14.25" customHeight="1">
      <c r="A182" s="2"/>
      <c r="B182" s="4"/>
      <c r="C182" s="2"/>
      <c r="D182" s="2"/>
      <c r="E182" s="4"/>
      <c r="F182" s="2"/>
      <c r="G182" s="4"/>
      <c r="H182" s="4"/>
      <c r="I182" s="4"/>
      <c r="J182" s="4"/>
      <c r="K182" s="4"/>
      <c r="L182" s="4"/>
      <c r="M182" s="4"/>
      <c r="N182" s="4"/>
      <c r="O182" s="4"/>
      <c r="P182" s="4"/>
      <c r="Q182" s="4"/>
      <c r="R182" s="4"/>
      <c r="S182" s="4"/>
      <c r="T182" s="4"/>
      <c r="U182" s="4"/>
      <c r="V182" s="4"/>
      <c r="W182" s="4"/>
      <c r="X182" s="4"/>
      <c r="Y182" s="4"/>
      <c r="Z182" s="4"/>
    </row>
    <row r="183" ht="14.25" customHeight="1">
      <c r="A183" s="2"/>
      <c r="B183" s="4"/>
      <c r="C183" s="2"/>
      <c r="D183" s="2"/>
      <c r="E183" s="4"/>
      <c r="F183" s="2"/>
      <c r="G183" s="4"/>
      <c r="H183" s="4"/>
      <c r="I183" s="4"/>
      <c r="J183" s="4"/>
      <c r="K183" s="4"/>
      <c r="L183" s="4"/>
      <c r="M183" s="4"/>
      <c r="N183" s="4"/>
      <c r="O183" s="4"/>
      <c r="P183" s="4"/>
      <c r="Q183" s="4"/>
      <c r="R183" s="4"/>
      <c r="S183" s="4"/>
      <c r="T183" s="4"/>
      <c r="U183" s="4"/>
      <c r="V183" s="4"/>
      <c r="W183" s="4"/>
      <c r="X183" s="4"/>
      <c r="Y183" s="4"/>
      <c r="Z183" s="4"/>
    </row>
    <row r="184" ht="14.25" customHeight="1">
      <c r="A184" s="2"/>
      <c r="B184" s="4"/>
      <c r="C184" s="2"/>
      <c r="D184" s="2"/>
      <c r="E184" s="4"/>
      <c r="F184" s="2"/>
      <c r="G184" s="4"/>
      <c r="H184" s="4"/>
      <c r="I184" s="4"/>
      <c r="J184" s="4"/>
      <c r="K184" s="4"/>
      <c r="L184" s="4"/>
      <c r="M184" s="4"/>
      <c r="N184" s="4"/>
      <c r="O184" s="4"/>
      <c r="P184" s="4"/>
      <c r="Q184" s="4"/>
      <c r="R184" s="4"/>
      <c r="S184" s="4"/>
      <c r="T184" s="4"/>
      <c r="U184" s="4"/>
      <c r="V184" s="4"/>
      <c r="W184" s="4"/>
      <c r="X184" s="4"/>
      <c r="Y184" s="4"/>
      <c r="Z184" s="4"/>
    </row>
    <row r="185" ht="14.25" customHeight="1">
      <c r="A185" s="2"/>
      <c r="B185" s="4"/>
      <c r="C185" s="2"/>
      <c r="D185" s="2"/>
      <c r="E185" s="4"/>
      <c r="F185" s="2"/>
      <c r="G185" s="4"/>
      <c r="H185" s="4"/>
      <c r="I185" s="4"/>
      <c r="J185" s="4"/>
      <c r="K185" s="4"/>
      <c r="L185" s="4"/>
      <c r="M185" s="4"/>
      <c r="N185" s="4"/>
      <c r="O185" s="4"/>
      <c r="P185" s="4"/>
      <c r="Q185" s="4"/>
      <c r="R185" s="4"/>
      <c r="S185" s="4"/>
      <c r="T185" s="4"/>
      <c r="U185" s="4"/>
      <c r="V185" s="4"/>
      <c r="W185" s="4"/>
      <c r="X185" s="4"/>
      <c r="Y185" s="4"/>
      <c r="Z185" s="4"/>
    </row>
    <row r="186" ht="14.25" customHeight="1">
      <c r="A186" s="2"/>
      <c r="B186" s="4"/>
      <c r="C186" s="2"/>
      <c r="D186" s="2"/>
      <c r="E186" s="4"/>
      <c r="F186" s="2"/>
      <c r="G186" s="4"/>
      <c r="H186" s="4"/>
      <c r="I186" s="4"/>
      <c r="J186" s="4"/>
      <c r="K186" s="4"/>
      <c r="L186" s="4"/>
      <c r="M186" s="4"/>
      <c r="N186" s="4"/>
      <c r="O186" s="4"/>
      <c r="P186" s="4"/>
      <c r="Q186" s="4"/>
      <c r="R186" s="4"/>
      <c r="S186" s="4"/>
      <c r="T186" s="4"/>
      <c r="U186" s="4"/>
      <c r="V186" s="4"/>
      <c r="W186" s="4"/>
      <c r="X186" s="4"/>
      <c r="Y186" s="4"/>
      <c r="Z186" s="4"/>
    </row>
    <row r="187" ht="14.25" customHeight="1">
      <c r="A187" s="2"/>
      <c r="B187" s="4"/>
      <c r="C187" s="2"/>
      <c r="D187" s="2"/>
      <c r="E187" s="4"/>
      <c r="F187" s="2"/>
      <c r="G187" s="4"/>
      <c r="H187" s="4"/>
      <c r="I187" s="4"/>
      <c r="J187" s="4"/>
      <c r="K187" s="4"/>
      <c r="L187" s="4"/>
      <c r="M187" s="4"/>
      <c r="N187" s="4"/>
      <c r="O187" s="4"/>
      <c r="P187" s="4"/>
      <c r="Q187" s="4"/>
      <c r="R187" s="4"/>
      <c r="S187" s="4"/>
      <c r="T187" s="4"/>
      <c r="U187" s="4"/>
      <c r="V187" s="4"/>
      <c r="W187" s="4"/>
      <c r="X187" s="4"/>
      <c r="Y187" s="4"/>
      <c r="Z187" s="4"/>
    </row>
    <row r="188" ht="14.25" customHeight="1">
      <c r="A188" s="2"/>
      <c r="B188" s="4"/>
      <c r="C188" s="2"/>
      <c r="D188" s="2"/>
      <c r="E188" s="4"/>
      <c r="F188" s="2"/>
      <c r="G188" s="4"/>
      <c r="H188" s="4"/>
      <c r="I188" s="4"/>
      <c r="J188" s="4"/>
      <c r="K188" s="4"/>
      <c r="L188" s="4"/>
      <c r="M188" s="4"/>
      <c r="N188" s="4"/>
      <c r="O188" s="4"/>
      <c r="P188" s="4"/>
      <c r="Q188" s="4"/>
      <c r="R188" s="4"/>
      <c r="S188" s="4"/>
      <c r="T188" s="4"/>
      <c r="U188" s="4"/>
      <c r="V188" s="4"/>
      <c r="W188" s="4"/>
      <c r="X188" s="4"/>
      <c r="Y188" s="4"/>
      <c r="Z188" s="4"/>
    </row>
    <row r="189" ht="14.25" customHeight="1">
      <c r="A189" s="2"/>
      <c r="B189" s="4"/>
      <c r="C189" s="2"/>
      <c r="D189" s="2"/>
      <c r="E189" s="4"/>
      <c r="F189" s="2"/>
      <c r="G189" s="4"/>
      <c r="H189" s="4"/>
      <c r="I189" s="4"/>
      <c r="J189" s="4"/>
      <c r="K189" s="4"/>
      <c r="L189" s="4"/>
      <c r="M189" s="4"/>
      <c r="N189" s="4"/>
      <c r="O189" s="4"/>
      <c r="P189" s="4"/>
      <c r="Q189" s="4"/>
      <c r="R189" s="4"/>
      <c r="S189" s="4"/>
      <c r="T189" s="4"/>
      <c r="U189" s="4"/>
      <c r="V189" s="4"/>
      <c r="W189" s="4"/>
      <c r="X189" s="4"/>
      <c r="Y189" s="4"/>
      <c r="Z189" s="4"/>
    </row>
    <row r="190" ht="14.25" customHeight="1">
      <c r="A190" s="2"/>
      <c r="B190" s="4"/>
      <c r="C190" s="2"/>
      <c r="D190" s="2"/>
      <c r="E190" s="4"/>
      <c r="F190" s="2"/>
      <c r="G190" s="4"/>
      <c r="H190" s="4"/>
      <c r="I190" s="4"/>
      <c r="J190" s="4"/>
      <c r="K190" s="4"/>
      <c r="L190" s="4"/>
      <c r="M190" s="4"/>
      <c r="N190" s="4"/>
      <c r="O190" s="4"/>
      <c r="P190" s="4"/>
      <c r="Q190" s="4"/>
      <c r="R190" s="4"/>
      <c r="S190" s="4"/>
      <c r="T190" s="4"/>
      <c r="U190" s="4"/>
      <c r="V190" s="4"/>
      <c r="W190" s="4"/>
      <c r="X190" s="4"/>
      <c r="Y190" s="4"/>
      <c r="Z190" s="4"/>
    </row>
    <row r="191" ht="14.25" customHeight="1">
      <c r="A191" s="2"/>
      <c r="B191" s="4"/>
      <c r="C191" s="2"/>
      <c r="D191" s="2"/>
      <c r="E191" s="4"/>
      <c r="F191" s="2"/>
      <c r="G191" s="4"/>
      <c r="H191" s="4"/>
      <c r="I191" s="4"/>
      <c r="J191" s="4"/>
      <c r="K191" s="4"/>
      <c r="L191" s="4"/>
      <c r="M191" s="4"/>
      <c r="N191" s="4"/>
      <c r="O191" s="4"/>
      <c r="P191" s="4"/>
      <c r="Q191" s="4"/>
      <c r="R191" s="4"/>
      <c r="S191" s="4"/>
      <c r="T191" s="4"/>
      <c r="U191" s="4"/>
      <c r="V191" s="4"/>
      <c r="W191" s="4"/>
      <c r="X191" s="4"/>
      <c r="Y191" s="4"/>
      <c r="Z191" s="4"/>
    </row>
    <row r="192" ht="14.25" customHeight="1">
      <c r="A192" s="2"/>
      <c r="B192" s="4"/>
      <c r="C192" s="2"/>
      <c r="D192" s="2"/>
      <c r="E192" s="4"/>
      <c r="F192" s="2"/>
      <c r="G192" s="4"/>
      <c r="H192" s="4"/>
      <c r="I192" s="4"/>
      <c r="J192" s="4"/>
      <c r="K192" s="4"/>
      <c r="L192" s="4"/>
      <c r="M192" s="4"/>
      <c r="N192" s="4"/>
      <c r="O192" s="4"/>
      <c r="P192" s="4"/>
      <c r="Q192" s="4"/>
      <c r="R192" s="4"/>
      <c r="S192" s="4"/>
      <c r="T192" s="4"/>
      <c r="U192" s="4"/>
      <c r="V192" s="4"/>
      <c r="W192" s="4"/>
      <c r="X192" s="4"/>
      <c r="Y192" s="4"/>
      <c r="Z192" s="4"/>
    </row>
    <row r="193" ht="14.25" customHeight="1">
      <c r="A193" s="2"/>
      <c r="B193" s="4"/>
      <c r="C193" s="2"/>
      <c r="D193" s="2"/>
      <c r="E193" s="4"/>
      <c r="F193" s="2"/>
      <c r="G193" s="4"/>
      <c r="H193" s="4"/>
      <c r="I193" s="4"/>
      <c r="J193" s="4"/>
      <c r="K193" s="4"/>
      <c r="L193" s="4"/>
      <c r="M193" s="4"/>
      <c r="N193" s="4"/>
      <c r="O193" s="4"/>
      <c r="P193" s="4"/>
      <c r="Q193" s="4"/>
      <c r="R193" s="4"/>
      <c r="S193" s="4"/>
      <c r="T193" s="4"/>
      <c r="U193" s="4"/>
      <c r="V193" s="4"/>
      <c r="W193" s="4"/>
      <c r="X193" s="4"/>
      <c r="Y193" s="4"/>
      <c r="Z193" s="4"/>
    </row>
    <row r="194" ht="14.25" customHeight="1">
      <c r="A194" s="2"/>
      <c r="B194" s="4"/>
      <c r="C194" s="2"/>
      <c r="D194" s="2"/>
      <c r="E194" s="4"/>
      <c r="F194" s="2"/>
      <c r="G194" s="4"/>
      <c r="H194" s="4"/>
      <c r="I194" s="4"/>
      <c r="J194" s="4"/>
      <c r="K194" s="4"/>
      <c r="L194" s="4"/>
      <c r="M194" s="4"/>
      <c r="N194" s="4"/>
      <c r="O194" s="4"/>
      <c r="P194" s="4"/>
      <c r="Q194" s="4"/>
      <c r="R194" s="4"/>
      <c r="S194" s="4"/>
      <c r="T194" s="4"/>
      <c r="U194" s="4"/>
      <c r="V194" s="4"/>
      <c r="W194" s="4"/>
      <c r="X194" s="4"/>
      <c r="Y194" s="4"/>
      <c r="Z194" s="4"/>
    </row>
    <row r="195" ht="14.25" customHeight="1">
      <c r="A195" s="2"/>
      <c r="B195" s="4"/>
      <c r="C195" s="2"/>
      <c r="D195" s="2"/>
      <c r="E195" s="4"/>
      <c r="F195" s="2"/>
      <c r="G195" s="4"/>
      <c r="H195" s="4"/>
      <c r="I195" s="4"/>
      <c r="J195" s="4"/>
      <c r="K195" s="4"/>
      <c r="L195" s="4"/>
      <c r="M195" s="4"/>
      <c r="N195" s="4"/>
      <c r="O195" s="4"/>
      <c r="P195" s="4"/>
      <c r="Q195" s="4"/>
      <c r="R195" s="4"/>
      <c r="S195" s="4"/>
      <c r="T195" s="4"/>
      <c r="U195" s="4"/>
      <c r="V195" s="4"/>
      <c r="W195" s="4"/>
      <c r="X195" s="4"/>
      <c r="Y195" s="4"/>
      <c r="Z195" s="4"/>
    </row>
    <row r="196" ht="14.25" customHeight="1">
      <c r="A196" s="2"/>
      <c r="B196" s="4"/>
      <c r="C196" s="2"/>
      <c r="D196" s="2"/>
      <c r="E196" s="4"/>
      <c r="F196" s="2"/>
      <c r="G196" s="4"/>
      <c r="H196" s="4"/>
      <c r="I196" s="4"/>
      <c r="J196" s="4"/>
      <c r="K196" s="4"/>
      <c r="L196" s="4"/>
      <c r="M196" s="4"/>
      <c r="N196" s="4"/>
      <c r="O196" s="4"/>
      <c r="P196" s="4"/>
      <c r="Q196" s="4"/>
      <c r="R196" s="4"/>
      <c r="S196" s="4"/>
      <c r="T196" s="4"/>
      <c r="U196" s="4"/>
      <c r="V196" s="4"/>
      <c r="W196" s="4"/>
      <c r="X196" s="4"/>
      <c r="Y196" s="4"/>
      <c r="Z196" s="4"/>
    </row>
    <row r="197" ht="14.25" customHeight="1">
      <c r="A197" s="2"/>
      <c r="B197" s="4"/>
      <c r="C197" s="2"/>
      <c r="D197" s="2"/>
      <c r="E197" s="4"/>
      <c r="F197" s="2"/>
      <c r="G197" s="4"/>
      <c r="H197" s="4"/>
      <c r="I197" s="4"/>
      <c r="J197" s="4"/>
      <c r="K197" s="4"/>
      <c r="L197" s="4"/>
      <c r="M197" s="4"/>
      <c r="N197" s="4"/>
      <c r="O197" s="4"/>
      <c r="P197" s="4"/>
      <c r="Q197" s="4"/>
      <c r="R197" s="4"/>
      <c r="S197" s="4"/>
      <c r="T197" s="4"/>
      <c r="U197" s="4"/>
      <c r="V197" s="4"/>
      <c r="W197" s="4"/>
      <c r="X197" s="4"/>
      <c r="Y197" s="4"/>
      <c r="Z197" s="4"/>
    </row>
    <row r="198" ht="14.25" customHeight="1">
      <c r="A198" s="2"/>
      <c r="B198" s="4"/>
      <c r="C198" s="2"/>
      <c r="D198" s="2"/>
      <c r="E198" s="4"/>
      <c r="F198" s="2"/>
      <c r="G198" s="4"/>
      <c r="H198" s="4"/>
      <c r="I198" s="4"/>
      <c r="J198" s="4"/>
      <c r="K198" s="4"/>
      <c r="L198" s="4"/>
      <c r="M198" s="4"/>
      <c r="N198" s="4"/>
      <c r="O198" s="4"/>
      <c r="P198" s="4"/>
      <c r="Q198" s="4"/>
      <c r="R198" s="4"/>
      <c r="S198" s="4"/>
      <c r="T198" s="4"/>
      <c r="U198" s="4"/>
      <c r="V198" s="4"/>
      <c r="W198" s="4"/>
      <c r="X198" s="4"/>
      <c r="Y198" s="4"/>
      <c r="Z198" s="4"/>
    </row>
    <row r="199" ht="14.25" customHeight="1">
      <c r="A199" s="2"/>
      <c r="B199" s="4"/>
      <c r="C199" s="2"/>
      <c r="D199" s="2"/>
      <c r="E199" s="4"/>
      <c r="F199" s="2"/>
      <c r="G199" s="4"/>
      <c r="H199" s="4"/>
      <c r="I199" s="4"/>
      <c r="J199" s="4"/>
      <c r="K199" s="4"/>
      <c r="L199" s="4"/>
      <c r="M199" s="4"/>
      <c r="N199" s="4"/>
      <c r="O199" s="4"/>
      <c r="P199" s="4"/>
      <c r="Q199" s="4"/>
      <c r="R199" s="4"/>
      <c r="S199" s="4"/>
      <c r="T199" s="4"/>
      <c r="U199" s="4"/>
      <c r="V199" s="4"/>
      <c r="W199" s="4"/>
      <c r="X199" s="4"/>
      <c r="Y199" s="4"/>
      <c r="Z199" s="4"/>
    </row>
    <row r="200" ht="14.25" customHeight="1">
      <c r="A200" s="2"/>
      <c r="B200" s="4"/>
      <c r="C200" s="2"/>
      <c r="D200" s="2"/>
      <c r="E200" s="4"/>
      <c r="F200" s="2"/>
      <c r="G200" s="4"/>
      <c r="H200" s="4"/>
      <c r="I200" s="4"/>
      <c r="J200" s="4"/>
      <c r="K200" s="4"/>
      <c r="L200" s="4"/>
      <c r="M200" s="4"/>
      <c r="N200" s="4"/>
      <c r="O200" s="4"/>
      <c r="P200" s="4"/>
      <c r="Q200" s="4"/>
      <c r="R200" s="4"/>
      <c r="S200" s="4"/>
      <c r="T200" s="4"/>
      <c r="U200" s="4"/>
      <c r="V200" s="4"/>
      <c r="W200" s="4"/>
      <c r="X200" s="4"/>
      <c r="Y200" s="4"/>
      <c r="Z200" s="4"/>
    </row>
    <row r="201" ht="14.25" customHeight="1">
      <c r="A201" s="2"/>
      <c r="B201" s="4"/>
      <c r="C201" s="2"/>
      <c r="D201" s="2"/>
      <c r="E201" s="4"/>
      <c r="F201" s="2"/>
      <c r="G201" s="4"/>
      <c r="H201" s="4"/>
      <c r="I201" s="4"/>
      <c r="J201" s="4"/>
      <c r="K201" s="4"/>
      <c r="L201" s="4"/>
      <c r="M201" s="4"/>
      <c r="N201" s="4"/>
      <c r="O201" s="4"/>
      <c r="P201" s="4"/>
      <c r="Q201" s="4"/>
      <c r="R201" s="4"/>
      <c r="S201" s="4"/>
      <c r="T201" s="4"/>
      <c r="U201" s="4"/>
      <c r="V201" s="4"/>
      <c r="W201" s="4"/>
      <c r="X201" s="4"/>
      <c r="Y201" s="4"/>
      <c r="Z201" s="4"/>
    </row>
    <row r="202" ht="14.25" customHeight="1">
      <c r="A202" s="2"/>
      <c r="B202" s="4"/>
      <c r="C202" s="2"/>
      <c r="D202" s="2"/>
      <c r="E202" s="4"/>
      <c r="F202" s="2"/>
      <c r="G202" s="4"/>
      <c r="H202" s="4"/>
      <c r="I202" s="4"/>
      <c r="J202" s="4"/>
      <c r="K202" s="4"/>
      <c r="L202" s="4"/>
      <c r="M202" s="4"/>
      <c r="N202" s="4"/>
      <c r="O202" s="4"/>
      <c r="P202" s="4"/>
      <c r="Q202" s="4"/>
      <c r="R202" s="4"/>
      <c r="S202" s="4"/>
      <c r="T202" s="4"/>
      <c r="U202" s="4"/>
      <c r="V202" s="4"/>
      <c r="W202" s="4"/>
      <c r="X202" s="4"/>
      <c r="Y202" s="4"/>
      <c r="Z202" s="4"/>
    </row>
    <row r="203" ht="14.25" customHeight="1">
      <c r="A203" s="2"/>
      <c r="B203" s="4"/>
      <c r="C203" s="2"/>
      <c r="D203" s="2"/>
      <c r="E203" s="4"/>
      <c r="F203" s="2"/>
      <c r="G203" s="4"/>
      <c r="H203" s="4"/>
      <c r="I203" s="4"/>
      <c r="J203" s="4"/>
      <c r="K203" s="4"/>
      <c r="L203" s="4"/>
      <c r="M203" s="4"/>
      <c r="N203" s="4"/>
      <c r="O203" s="4"/>
      <c r="P203" s="4"/>
      <c r="Q203" s="4"/>
      <c r="R203" s="4"/>
      <c r="S203" s="4"/>
      <c r="T203" s="4"/>
      <c r="U203" s="4"/>
      <c r="V203" s="4"/>
      <c r="W203" s="4"/>
      <c r="X203" s="4"/>
      <c r="Y203" s="4"/>
      <c r="Z203" s="4"/>
    </row>
    <row r="204" ht="14.25" customHeight="1">
      <c r="A204" s="2"/>
      <c r="B204" s="4"/>
      <c r="C204" s="2"/>
      <c r="D204" s="2"/>
      <c r="E204" s="4"/>
      <c r="F204" s="2"/>
      <c r="G204" s="4"/>
      <c r="H204" s="4"/>
      <c r="I204" s="4"/>
      <c r="J204" s="4"/>
      <c r="K204" s="4"/>
      <c r="L204" s="4"/>
      <c r="M204" s="4"/>
      <c r="N204" s="4"/>
      <c r="O204" s="4"/>
      <c r="P204" s="4"/>
      <c r="Q204" s="4"/>
      <c r="R204" s="4"/>
      <c r="S204" s="4"/>
      <c r="T204" s="4"/>
      <c r="U204" s="4"/>
      <c r="V204" s="4"/>
      <c r="W204" s="4"/>
      <c r="X204" s="4"/>
      <c r="Y204" s="4"/>
      <c r="Z204" s="4"/>
    </row>
    <row r="205" ht="14.25" customHeight="1">
      <c r="A205" s="2"/>
      <c r="B205" s="4"/>
      <c r="C205" s="2"/>
      <c r="D205" s="2"/>
      <c r="E205" s="4"/>
      <c r="F205" s="2"/>
      <c r="G205" s="4"/>
      <c r="H205" s="4"/>
      <c r="I205" s="4"/>
      <c r="J205" s="4"/>
      <c r="K205" s="4"/>
      <c r="L205" s="4"/>
      <c r="M205" s="4"/>
      <c r="N205" s="4"/>
      <c r="O205" s="4"/>
      <c r="P205" s="4"/>
      <c r="Q205" s="4"/>
      <c r="R205" s="4"/>
      <c r="S205" s="4"/>
      <c r="T205" s="4"/>
      <c r="U205" s="4"/>
      <c r="V205" s="4"/>
      <c r="W205" s="4"/>
      <c r="X205" s="4"/>
      <c r="Y205" s="4"/>
      <c r="Z205" s="4"/>
    </row>
    <row r="206" ht="14.25" customHeight="1">
      <c r="A206" s="2"/>
      <c r="B206" s="4"/>
      <c r="C206" s="2"/>
      <c r="D206" s="2"/>
      <c r="E206" s="4"/>
      <c r="F206" s="2"/>
      <c r="G206" s="4"/>
      <c r="H206" s="4"/>
      <c r="I206" s="4"/>
      <c r="J206" s="4"/>
      <c r="K206" s="4"/>
      <c r="L206" s="4"/>
      <c r="M206" s="4"/>
      <c r="N206" s="4"/>
      <c r="O206" s="4"/>
      <c r="P206" s="4"/>
      <c r="Q206" s="4"/>
      <c r="R206" s="4"/>
      <c r="S206" s="4"/>
      <c r="T206" s="4"/>
      <c r="U206" s="4"/>
      <c r="V206" s="4"/>
      <c r="W206" s="4"/>
      <c r="X206" s="4"/>
      <c r="Y206" s="4"/>
      <c r="Z206" s="4"/>
    </row>
    <row r="207" ht="14.25" customHeight="1">
      <c r="A207" s="2"/>
      <c r="B207" s="4"/>
      <c r="C207" s="2"/>
      <c r="D207" s="2"/>
      <c r="E207" s="4"/>
      <c r="F207" s="2"/>
      <c r="G207" s="4"/>
      <c r="H207" s="4"/>
      <c r="I207" s="4"/>
      <c r="J207" s="4"/>
      <c r="K207" s="4"/>
      <c r="L207" s="4"/>
      <c r="M207" s="4"/>
      <c r="N207" s="4"/>
      <c r="O207" s="4"/>
      <c r="P207" s="4"/>
      <c r="Q207" s="4"/>
      <c r="R207" s="4"/>
      <c r="S207" s="4"/>
      <c r="T207" s="4"/>
      <c r="U207" s="4"/>
      <c r="V207" s="4"/>
      <c r="W207" s="4"/>
      <c r="X207" s="4"/>
      <c r="Y207" s="4"/>
      <c r="Z207" s="4"/>
    </row>
    <row r="208" ht="14.25" customHeight="1">
      <c r="A208" s="2"/>
      <c r="B208" s="4"/>
      <c r="C208" s="2"/>
      <c r="D208" s="2"/>
      <c r="E208" s="4"/>
      <c r="F208" s="2"/>
      <c r="G208" s="4"/>
      <c r="H208" s="4"/>
      <c r="I208" s="4"/>
      <c r="J208" s="4"/>
      <c r="K208" s="4"/>
      <c r="L208" s="4"/>
      <c r="M208" s="4"/>
      <c r="N208" s="4"/>
      <c r="O208" s="4"/>
      <c r="P208" s="4"/>
      <c r="Q208" s="4"/>
      <c r="R208" s="4"/>
      <c r="S208" s="4"/>
      <c r="T208" s="4"/>
      <c r="U208" s="4"/>
      <c r="V208" s="4"/>
      <c r="W208" s="4"/>
      <c r="X208" s="4"/>
      <c r="Y208" s="4"/>
      <c r="Z208" s="4"/>
    </row>
    <row r="209" ht="14.25" customHeight="1">
      <c r="A209" s="2"/>
      <c r="B209" s="4"/>
      <c r="C209" s="2"/>
      <c r="D209" s="2"/>
      <c r="E209" s="4"/>
      <c r="F209" s="2"/>
      <c r="G209" s="4"/>
      <c r="H209" s="4"/>
      <c r="I209" s="4"/>
      <c r="J209" s="4"/>
      <c r="K209" s="4"/>
      <c r="L209" s="4"/>
      <c r="M209" s="4"/>
      <c r="N209" s="4"/>
      <c r="O209" s="4"/>
      <c r="P209" s="4"/>
      <c r="Q209" s="4"/>
      <c r="R209" s="4"/>
      <c r="S209" s="4"/>
      <c r="T209" s="4"/>
      <c r="U209" s="4"/>
      <c r="V209" s="4"/>
      <c r="W209" s="4"/>
      <c r="X209" s="4"/>
      <c r="Y209" s="4"/>
      <c r="Z209" s="4"/>
    </row>
    <row r="210" ht="14.25" customHeight="1">
      <c r="A210" s="2"/>
      <c r="B210" s="4"/>
      <c r="C210" s="2"/>
      <c r="D210" s="2"/>
      <c r="E210" s="4"/>
      <c r="F210" s="2"/>
      <c r="G210" s="4"/>
      <c r="H210" s="4"/>
      <c r="I210" s="4"/>
      <c r="J210" s="4"/>
      <c r="K210" s="4"/>
      <c r="L210" s="4"/>
      <c r="M210" s="4"/>
      <c r="N210" s="4"/>
      <c r="O210" s="4"/>
      <c r="P210" s="4"/>
      <c r="Q210" s="4"/>
      <c r="R210" s="4"/>
      <c r="S210" s="4"/>
      <c r="T210" s="4"/>
      <c r="U210" s="4"/>
      <c r="V210" s="4"/>
      <c r="W210" s="4"/>
      <c r="X210" s="4"/>
      <c r="Y210" s="4"/>
      <c r="Z210" s="4"/>
    </row>
    <row r="211" ht="14.25" customHeight="1">
      <c r="A211" s="2"/>
      <c r="B211" s="4"/>
      <c r="C211" s="2"/>
      <c r="D211" s="2"/>
      <c r="E211" s="4"/>
      <c r="F211" s="2"/>
      <c r="G211" s="4"/>
      <c r="H211" s="4"/>
      <c r="I211" s="4"/>
      <c r="J211" s="4"/>
      <c r="K211" s="4"/>
      <c r="L211" s="4"/>
      <c r="M211" s="4"/>
      <c r="N211" s="4"/>
      <c r="O211" s="4"/>
      <c r="P211" s="4"/>
      <c r="Q211" s="4"/>
      <c r="R211" s="4"/>
      <c r="S211" s="4"/>
      <c r="T211" s="4"/>
      <c r="U211" s="4"/>
      <c r="V211" s="4"/>
      <c r="W211" s="4"/>
      <c r="X211" s="4"/>
      <c r="Y211" s="4"/>
      <c r="Z211" s="4"/>
    </row>
    <row r="212" ht="14.25" customHeight="1">
      <c r="A212" s="2"/>
      <c r="B212" s="4"/>
      <c r="C212" s="2"/>
      <c r="D212" s="2"/>
      <c r="E212" s="4"/>
      <c r="F212" s="2"/>
      <c r="G212" s="4"/>
      <c r="H212" s="4"/>
      <c r="I212" s="4"/>
      <c r="J212" s="4"/>
      <c r="K212" s="4"/>
      <c r="L212" s="4"/>
      <c r="M212" s="4"/>
      <c r="N212" s="4"/>
      <c r="O212" s="4"/>
      <c r="P212" s="4"/>
      <c r="Q212" s="4"/>
      <c r="R212" s="4"/>
      <c r="S212" s="4"/>
      <c r="T212" s="4"/>
      <c r="U212" s="4"/>
      <c r="V212" s="4"/>
      <c r="W212" s="4"/>
      <c r="X212" s="4"/>
      <c r="Y212" s="4"/>
      <c r="Z212" s="4"/>
    </row>
    <row r="213" ht="14.25" customHeight="1">
      <c r="A213" s="2"/>
      <c r="B213" s="4"/>
      <c r="C213" s="2"/>
      <c r="D213" s="2"/>
      <c r="E213" s="4"/>
      <c r="F213" s="2"/>
      <c r="G213" s="4"/>
      <c r="H213" s="4"/>
      <c r="I213" s="4"/>
      <c r="J213" s="4"/>
      <c r="K213" s="4"/>
      <c r="L213" s="4"/>
      <c r="M213" s="4"/>
      <c r="N213" s="4"/>
      <c r="O213" s="4"/>
      <c r="P213" s="4"/>
      <c r="Q213" s="4"/>
      <c r="R213" s="4"/>
      <c r="S213" s="4"/>
      <c r="T213" s="4"/>
      <c r="U213" s="4"/>
      <c r="V213" s="4"/>
      <c r="W213" s="4"/>
      <c r="X213" s="4"/>
      <c r="Y213" s="4"/>
      <c r="Z213" s="4"/>
    </row>
    <row r="214" ht="14.25" customHeight="1">
      <c r="A214" s="2"/>
      <c r="B214" s="4"/>
      <c r="C214" s="2"/>
      <c r="D214" s="2"/>
      <c r="E214" s="4"/>
      <c r="F214" s="2"/>
      <c r="G214" s="4"/>
      <c r="H214" s="4"/>
      <c r="I214" s="4"/>
      <c r="J214" s="4"/>
      <c r="K214" s="4"/>
      <c r="L214" s="4"/>
      <c r="M214" s="4"/>
      <c r="N214" s="4"/>
      <c r="O214" s="4"/>
      <c r="P214" s="4"/>
      <c r="Q214" s="4"/>
      <c r="R214" s="4"/>
      <c r="S214" s="4"/>
      <c r="T214" s="4"/>
      <c r="U214" s="4"/>
      <c r="V214" s="4"/>
      <c r="W214" s="4"/>
      <c r="X214" s="4"/>
      <c r="Y214" s="4"/>
      <c r="Z214" s="4"/>
    </row>
    <row r="215" ht="14.25" customHeight="1">
      <c r="A215" s="2"/>
      <c r="B215" s="4"/>
      <c r="C215" s="2"/>
      <c r="D215" s="2"/>
      <c r="E215" s="4"/>
      <c r="F215" s="2"/>
      <c r="G215" s="4"/>
      <c r="H215" s="4"/>
      <c r="I215" s="4"/>
      <c r="J215" s="4"/>
      <c r="K215" s="4"/>
      <c r="L215" s="4"/>
      <c r="M215" s="4"/>
      <c r="N215" s="4"/>
      <c r="O215" s="4"/>
      <c r="P215" s="4"/>
      <c r="Q215" s="4"/>
      <c r="R215" s="4"/>
      <c r="S215" s="4"/>
      <c r="T215" s="4"/>
      <c r="U215" s="4"/>
      <c r="V215" s="4"/>
      <c r="W215" s="4"/>
      <c r="X215" s="4"/>
      <c r="Y215" s="4"/>
      <c r="Z215" s="4"/>
    </row>
    <row r="216" ht="14.25" customHeight="1">
      <c r="A216" s="2"/>
      <c r="B216" s="4"/>
      <c r="C216" s="2"/>
      <c r="D216" s="2"/>
      <c r="E216" s="4"/>
      <c r="F216" s="2"/>
      <c r="G216" s="4"/>
      <c r="H216" s="4"/>
      <c r="I216" s="4"/>
      <c r="J216" s="4"/>
      <c r="K216" s="4"/>
      <c r="L216" s="4"/>
      <c r="M216" s="4"/>
      <c r="N216" s="4"/>
      <c r="O216" s="4"/>
      <c r="P216" s="4"/>
      <c r="Q216" s="4"/>
      <c r="R216" s="4"/>
      <c r="S216" s="4"/>
      <c r="T216" s="4"/>
      <c r="U216" s="4"/>
      <c r="V216" s="4"/>
      <c r="W216" s="4"/>
      <c r="X216" s="4"/>
      <c r="Y216" s="4"/>
      <c r="Z216" s="4"/>
    </row>
    <row r="217" ht="14.25" customHeight="1">
      <c r="A217" s="2"/>
      <c r="B217" s="4"/>
      <c r="C217" s="2"/>
      <c r="D217" s="2"/>
      <c r="E217" s="4"/>
      <c r="F217" s="2"/>
      <c r="G217" s="4"/>
      <c r="H217" s="4"/>
      <c r="I217" s="4"/>
      <c r="J217" s="4"/>
      <c r="K217" s="4"/>
      <c r="L217" s="4"/>
      <c r="M217" s="4"/>
      <c r="N217" s="4"/>
      <c r="O217" s="4"/>
      <c r="P217" s="4"/>
      <c r="Q217" s="4"/>
      <c r="R217" s="4"/>
      <c r="S217" s="4"/>
      <c r="T217" s="4"/>
      <c r="U217" s="4"/>
      <c r="V217" s="4"/>
      <c r="W217" s="4"/>
      <c r="X217" s="4"/>
      <c r="Y217" s="4"/>
      <c r="Z217" s="4"/>
    </row>
    <row r="218" ht="14.25" customHeight="1">
      <c r="A218" s="2"/>
      <c r="B218" s="4"/>
      <c r="C218" s="2"/>
      <c r="D218" s="2"/>
      <c r="E218" s="4"/>
      <c r="F218" s="2"/>
      <c r="G218" s="4"/>
      <c r="H218" s="4"/>
      <c r="I218" s="4"/>
      <c r="J218" s="4"/>
      <c r="K218" s="4"/>
      <c r="L218" s="4"/>
      <c r="M218" s="4"/>
      <c r="N218" s="4"/>
      <c r="O218" s="4"/>
      <c r="P218" s="4"/>
      <c r="Q218" s="4"/>
      <c r="R218" s="4"/>
      <c r="S218" s="4"/>
      <c r="T218" s="4"/>
      <c r="U218" s="4"/>
      <c r="V218" s="4"/>
      <c r="W218" s="4"/>
      <c r="X218" s="4"/>
      <c r="Y218" s="4"/>
      <c r="Z218" s="4"/>
    </row>
    <row r="219" ht="14.25" customHeight="1">
      <c r="A219" s="2"/>
      <c r="B219" s="4"/>
      <c r="C219" s="2"/>
      <c r="D219" s="2"/>
      <c r="E219" s="4"/>
      <c r="F219" s="2"/>
      <c r="G219" s="4"/>
      <c r="H219" s="4"/>
      <c r="I219" s="4"/>
      <c r="J219" s="4"/>
      <c r="K219" s="4"/>
      <c r="L219" s="4"/>
      <c r="M219" s="4"/>
      <c r="N219" s="4"/>
      <c r="O219" s="4"/>
      <c r="P219" s="4"/>
      <c r="Q219" s="4"/>
      <c r="R219" s="4"/>
      <c r="S219" s="4"/>
      <c r="T219" s="4"/>
      <c r="U219" s="4"/>
      <c r="V219" s="4"/>
      <c r="W219" s="4"/>
      <c r="X219" s="4"/>
      <c r="Y219" s="4"/>
      <c r="Z219" s="4"/>
    </row>
    <row r="220" ht="14.25" customHeight="1">
      <c r="A220" s="2"/>
      <c r="B220" s="4"/>
      <c r="C220" s="2"/>
      <c r="D220" s="2"/>
      <c r="E220" s="4"/>
      <c r="F220" s="2"/>
      <c r="G220" s="4"/>
      <c r="H220" s="4"/>
      <c r="I220" s="4"/>
      <c r="J220" s="4"/>
      <c r="K220" s="4"/>
      <c r="L220" s="4"/>
      <c r="M220" s="4"/>
      <c r="N220" s="4"/>
      <c r="O220" s="4"/>
      <c r="P220" s="4"/>
      <c r="Q220" s="4"/>
      <c r="R220" s="4"/>
      <c r="S220" s="4"/>
      <c r="T220" s="4"/>
      <c r="U220" s="4"/>
      <c r="V220" s="4"/>
      <c r="W220" s="4"/>
      <c r="X220" s="4"/>
      <c r="Y220" s="4"/>
      <c r="Z220" s="4"/>
    </row>
    <row r="221" ht="14.25" customHeight="1">
      <c r="A221" s="2"/>
      <c r="B221" s="4"/>
      <c r="C221" s="2"/>
      <c r="D221" s="2"/>
      <c r="E221" s="4"/>
      <c r="F221" s="2"/>
      <c r="G221" s="4"/>
      <c r="H221" s="4"/>
      <c r="I221" s="4"/>
      <c r="J221" s="4"/>
      <c r="K221" s="4"/>
      <c r="L221" s="4"/>
      <c r="M221" s="4"/>
      <c r="N221" s="4"/>
      <c r="O221" s="4"/>
      <c r="P221" s="4"/>
      <c r="Q221" s="4"/>
      <c r="R221" s="4"/>
      <c r="S221" s="4"/>
      <c r="T221" s="4"/>
      <c r="U221" s="4"/>
      <c r="V221" s="4"/>
      <c r="W221" s="4"/>
      <c r="X221" s="4"/>
      <c r="Y221" s="4"/>
      <c r="Z221" s="4"/>
    </row>
    <row r="222" ht="14.25" customHeight="1">
      <c r="A222" s="2"/>
      <c r="B222" s="4"/>
      <c r="C222" s="2"/>
      <c r="D222" s="2"/>
      <c r="E222" s="4"/>
      <c r="F222" s="2"/>
      <c r="G222" s="4"/>
      <c r="H222" s="4"/>
      <c r="I222" s="4"/>
      <c r="J222" s="4"/>
      <c r="K222" s="4"/>
      <c r="L222" s="4"/>
      <c r="M222" s="4"/>
      <c r="N222" s="4"/>
      <c r="O222" s="4"/>
      <c r="P222" s="4"/>
      <c r="Q222" s="4"/>
      <c r="R222" s="4"/>
      <c r="S222" s="4"/>
      <c r="T222" s="4"/>
      <c r="U222" s="4"/>
      <c r="V222" s="4"/>
      <c r="W222" s="4"/>
      <c r="X222" s="4"/>
      <c r="Y222" s="4"/>
      <c r="Z222" s="4"/>
    </row>
    <row r="223" ht="14.25" customHeight="1">
      <c r="A223" s="2"/>
      <c r="B223" s="4"/>
      <c r="C223" s="2"/>
      <c r="D223" s="2"/>
      <c r="E223" s="4"/>
      <c r="F223" s="2"/>
      <c r="G223" s="4"/>
      <c r="H223" s="4"/>
      <c r="I223" s="4"/>
      <c r="J223" s="4"/>
      <c r="K223" s="4"/>
      <c r="L223" s="4"/>
      <c r="M223" s="4"/>
      <c r="N223" s="4"/>
      <c r="O223" s="4"/>
      <c r="P223" s="4"/>
      <c r="Q223" s="4"/>
      <c r="R223" s="4"/>
      <c r="S223" s="4"/>
      <c r="T223" s="4"/>
      <c r="U223" s="4"/>
      <c r="V223" s="4"/>
      <c r="W223" s="4"/>
      <c r="X223" s="4"/>
      <c r="Y223" s="4"/>
      <c r="Z223" s="4"/>
    </row>
    <row r="224" ht="14.25" customHeight="1">
      <c r="A224" s="2"/>
      <c r="B224" s="4"/>
      <c r="C224" s="2"/>
      <c r="D224" s="2"/>
      <c r="E224" s="4"/>
      <c r="F224" s="2"/>
      <c r="G224" s="4"/>
      <c r="H224" s="4"/>
      <c r="I224" s="4"/>
      <c r="J224" s="4"/>
      <c r="K224" s="4"/>
      <c r="L224" s="4"/>
      <c r="M224" s="4"/>
      <c r="N224" s="4"/>
      <c r="O224" s="4"/>
      <c r="P224" s="4"/>
      <c r="Q224" s="4"/>
      <c r="R224" s="4"/>
      <c r="S224" s="4"/>
      <c r="T224" s="4"/>
      <c r="U224" s="4"/>
      <c r="V224" s="4"/>
      <c r="W224" s="4"/>
      <c r="X224" s="4"/>
      <c r="Y224" s="4"/>
      <c r="Z224" s="4"/>
    </row>
    <row r="225" ht="14.25" customHeight="1">
      <c r="A225" s="2"/>
      <c r="B225" s="4"/>
      <c r="C225" s="2"/>
      <c r="D225" s="2"/>
      <c r="E225" s="4"/>
      <c r="F225" s="2"/>
      <c r="G225" s="4"/>
      <c r="H225" s="4"/>
      <c r="I225" s="4"/>
      <c r="J225" s="4"/>
      <c r="K225" s="4"/>
      <c r="L225" s="4"/>
      <c r="M225" s="4"/>
      <c r="N225" s="4"/>
      <c r="O225" s="4"/>
      <c r="P225" s="4"/>
      <c r="Q225" s="4"/>
      <c r="R225" s="4"/>
      <c r="S225" s="4"/>
      <c r="T225" s="4"/>
      <c r="U225" s="4"/>
      <c r="V225" s="4"/>
      <c r="W225" s="4"/>
      <c r="X225" s="4"/>
      <c r="Y225" s="4"/>
      <c r="Z225" s="4"/>
    </row>
    <row r="226" ht="14.25" customHeight="1">
      <c r="A226" s="2"/>
      <c r="B226" s="4"/>
      <c r="C226" s="2"/>
      <c r="D226" s="2"/>
      <c r="E226" s="4"/>
      <c r="F226" s="2"/>
      <c r="G226" s="4"/>
      <c r="H226" s="4"/>
      <c r="I226" s="4"/>
      <c r="J226" s="4"/>
      <c r="K226" s="4"/>
      <c r="L226" s="4"/>
      <c r="M226" s="4"/>
      <c r="N226" s="4"/>
      <c r="O226" s="4"/>
      <c r="P226" s="4"/>
      <c r="Q226" s="4"/>
      <c r="R226" s="4"/>
      <c r="S226" s="4"/>
      <c r="T226" s="4"/>
      <c r="U226" s="4"/>
      <c r="V226" s="4"/>
      <c r="W226" s="4"/>
      <c r="X226" s="4"/>
      <c r="Y226" s="4"/>
      <c r="Z226" s="4"/>
    </row>
    <row r="227" ht="14.25" customHeight="1">
      <c r="A227" s="2"/>
      <c r="B227" s="4"/>
      <c r="C227" s="2"/>
      <c r="D227" s="2"/>
      <c r="E227" s="4"/>
      <c r="F227" s="2"/>
      <c r="G227" s="4"/>
      <c r="H227" s="4"/>
      <c r="I227" s="4"/>
      <c r="J227" s="4"/>
      <c r="K227" s="4"/>
      <c r="L227" s="4"/>
      <c r="M227" s="4"/>
      <c r="N227" s="4"/>
      <c r="O227" s="4"/>
      <c r="P227" s="4"/>
      <c r="Q227" s="4"/>
      <c r="R227" s="4"/>
      <c r="S227" s="4"/>
      <c r="T227" s="4"/>
      <c r="U227" s="4"/>
      <c r="V227" s="4"/>
      <c r="W227" s="4"/>
      <c r="X227" s="4"/>
      <c r="Y227" s="4"/>
      <c r="Z227" s="4"/>
    </row>
    <row r="228" ht="14.25" customHeight="1">
      <c r="A228" s="2"/>
      <c r="B228" s="4"/>
      <c r="C228" s="2"/>
      <c r="D228" s="2"/>
      <c r="E228" s="4"/>
      <c r="F228" s="2"/>
      <c r="G228" s="4"/>
      <c r="H228" s="4"/>
      <c r="I228" s="4"/>
      <c r="J228" s="4"/>
      <c r="K228" s="4"/>
      <c r="L228" s="4"/>
      <c r="M228" s="4"/>
      <c r="N228" s="4"/>
      <c r="O228" s="4"/>
      <c r="P228" s="4"/>
      <c r="Q228" s="4"/>
      <c r="R228" s="4"/>
      <c r="S228" s="4"/>
      <c r="T228" s="4"/>
      <c r="U228" s="4"/>
      <c r="V228" s="4"/>
      <c r="W228" s="4"/>
      <c r="X228" s="4"/>
      <c r="Y228" s="4"/>
      <c r="Z228" s="4"/>
    </row>
    <row r="229" ht="14.25" customHeight="1">
      <c r="A229" s="2"/>
      <c r="B229" s="4"/>
      <c r="C229" s="2"/>
      <c r="D229" s="2"/>
      <c r="E229" s="4"/>
      <c r="F229" s="2"/>
      <c r="G229" s="4"/>
      <c r="H229" s="4"/>
      <c r="I229" s="4"/>
      <c r="J229" s="4"/>
      <c r="K229" s="4"/>
      <c r="L229" s="4"/>
      <c r="M229" s="4"/>
      <c r="N229" s="4"/>
      <c r="O229" s="4"/>
      <c r="P229" s="4"/>
      <c r="Q229" s="4"/>
      <c r="R229" s="4"/>
      <c r="S229" s="4"/>
      <c r="T229" s="4"/>
      <c r="U229" s="4"/>
      <c r="V229" s="4"/>
      <c r="W229" s="4"/>
      <c r="X229" s="4"/>
      <c r="Y229" s="4"/>
      <c r="Z229" s="4"/>
    </row>
    <row r="230" ht="14.25" customHeight="1">
      <c r="A230" s="2"/>
      <c r="B230" s="4"/>
      <c r="C230" s="2"/>
      <c r="D230" s="2"/>
      <c r="E230" s="4"/>
      <c r="F230" s="2"/>
      <c r="G230" s="4"/>
      <c r="H230" s="4"/>
      <c r="I230" s="4"/>
      <c r="J230" s="4"/>
      <c r="K230" s="4"/>
      <c r="L230" s="4"/>
      <c r="M230" s="4"/>
      <c r="N230" s="4"/>
      <c r="O230" s="4"/>
      <c r="P230" s="4"/>
      <c r="Q230" s="4"/>
      <c r="R230" s="4"/>
      <c r="S230" s="4"/>
      <c r="T230" s="4"/>
      <c r="U230" s="4"/>
      <c r="V230" s="4"/>
      <c r="W230" s="4"/>
      <c r="X230" s="4"/>
      <c r="Y230" s="4"/>
      <c r="Z230" s="4"/>
    </row>
    <row r="231" ht="14.25" customHeight="1">
      <c r="A231" s="2"/>
      <c r="B231" s="4"/>
      <c r="C231" s="2"/>
      <c r="D231" s="2"/>
      <c r="E231" s="4"/>
      <c r="F231" s="2"/>
      <c r="G231" s="4"/>
      <c r="H231" s="4"/>
      <c r="I231" s="4"/>
      <c r="J231" s="4"/>
      <c r="K231" s="4"/>
      <c r="L231" s="4"/>
      <c r="M231" s="4"/>
      <c r="N231" s="4"/>
      <c r="O231" s="4"/>
      <c r="P231" s="4"/>
      <c r="Q231" s="4"/>
      <c r="R231" s="4"/>
      <c r="S231" s="4"/>
      <c r="T231" s="4"/>
      <c r="U231" s="4"/>
      <c r="V231" s="4"/>
      <c r="W231" s="4"/>
      <c r="X231" s="4"/>
      <c r="Y231" s="4"/>
      <c r="Z231" s="4"/>
    </row>
    <row r="232" ht="14.25" customHeight="1">
      <c r="A232" s="2"/>
      <c r="B232" s="4"/>
      <c r="C232" s="2"/>
      <c r="D232" s="2"/>
      <c r="E232" s="4"/>
      <c r="F232" s="2"/>
      <c r="G232" s="4"/>
      <c r="H232" s="4"/>
      <c r="I232" s="4"/>
      <c r="J232" s="4"/>
      <c r="K232" s="4"/>
      <c r="L232" s="4"/>
      <c r="M232" s="4"/>
      <c r="N232" s="4"/>
      <c r="O232" s="4"/>
      <c r="P232" s="4"/>
      <c r="Q232" s="4"/>
      <c r="R232" s="4"/>
      <c r="S232" s="4"/>
      <c r="T232" s="4"/>
      <c r="U232" s="4"/>
      <c r="V232" s="4"/>
      <c r="W232" s="4"/>
      <c r="X232" s="4"/>
      <c r="Y232" s="4"/>
      <c r="Z232" s="4"/>
    </row>
    <row r="233" ht="14.25" customHeight="1">
      <c r="A233" s="2"/>
      <c r="B233" s="4"/>
      <c r="C233" s="2"/>
      <c r="D233" s="2"/>
      <c r="E233" s="4"/>
      <c r="F233" s="2"/>
      <c r="G233" s="4"/>
      <c r="H233" s="4"/>
      <c r="I233" s="4"/>
      <c r="J233" s="4"/>
      <c r="K233" s="4"/>
      <c r="L233" s="4"/>
      <c r="M233" s="4"/>
      <c r="N233" s="4"/>
      <c r="O233" s="4"/>
      <c r="P233" s="4"/>
      <c r="Q233" s="4"/>
      <c r="R233" s="4"/>
      <c r="S233" s="4"/>
      <c r="T233" s="4"/>
      <c r="U233" s="4"/>
      <c r="V233" s="4"/>
      <c r="W233" s="4"/>
      <c r="X233" s="4"/>
      <c r="Y233" s="4"/>
      <c r="Z233" s="4"/>
    </row>
    <row r="234" ht="14.25" customHeight="1">
      <c r="A234" s="2"/>
      <c r="B234" s="4"/>
      <c r="C234" s="2"/>
      <c r="D234" s="2"/>
      <c r="E234" s="4"/>
      <c r="F234" s="2"/>
      <c r="G234" s="4"/>
      <c r="H234" s="4"/>
      <c r="I234" s="4"/>
      <c r="J234" s="4"/>
      <c r="K234" s="4"/>
      <c r="L234" s="4"/>
      <c r="M234" s="4"/>
      <c r="N234" s="4"/>
      <c r="O234" s="4"/>
      <c r="P234" s="4"/>
      <c r="Q234" s="4"/>
      <c r="R234" s="4"/>
      <c r="S234" s="4"/>
      <c r="T234" s="4"/>
      <c r="U234" s="4"/>
      <c r="V234" s="4"/>
      <c r="W234" s="4"/>
      <c r="X234" s="4"/>
      <c r="Y234" s="4"/>
      <c r="Z234" s="4"/>
    </row>
    <row r="235" ht="14.25" customHeight="1">
      <c r="A235" s="2"/>
      <c r="B235" s="4"/>
      <c r="C235" s="2"/>
      <c r="D235" s="2"/>
      <c r="E235" s="4"/>
      <c r="F235" s="2"/>
      <c r="G235" s="4"/>
      <c r="H235" s="4"/>
      <c r="I235" s="4"/>
      <c r="J235" s="4"/>
      <c r="K235" s="4"/>
      <c r="L235" s="4"/>
      <c r="M235" s="4"/>
      <c r="N235" s="4"/>
      <c r="O235" s="4"/>
      <c r="P235" s="4"/>
      <c r="Q235" s="4"/>
      <c r="R235" s="4"/>
      <c r="S235" s="4"/>
      <c r="T235" s="4"/>
      <c r="U235" s="4"/>
      <c r="V235" s="4"/>
      <c r="W235" s="4"/>
      <c r="X235" s="4"/>
      <c r="Y235" s="4"/>
      <c r="Z235" s="4"/>
    </row>
    <row r="236" ht="14.25" customHeight="1">
      <c r="A236" s="2"/>
      <c r="B236" s="4"/>
      <c r="C236" s="2"/>
      <c r="D236" s="2"/>
      <c r="E236" s="4"/>
      <c r="F236" s="2"/>
      <c r="G236" s="4"/>
      <c r="H236" s="4"/>
      <c r="I236" s="4"/>
      <c r="J236" s="4"/>
      <c r="K236" s="4"/>
      <c r="L236" s="4"/>
      <c r="M236" s="4"/>
      <c r="N236" s="4"/>
      <c r="O236" s="4"/>
      <c r="P236" s="4"/>
      <c r="Q236" s="4"/>
      <c r="R236" s="4"/>
      <c r="S236" s="4"/>
      <c r="T236" s="4"/>
      <c r="U236" s="4"/>
      <c r="V236" s="4"/>
      <c r="W236" s="4"/>
      <c r="X236" s="4"/>
      <c r="Y236" s="4"/>
      <c r="Z236" s="4"/>
    </row>
    <row r="237" ht="14.25" customHeight="1">
      <c r="A237" s="2"/>
      <c r="B237" s="4"/>
      <c r="C237" s="2"/>
      <c r="D237" s="2"/>
      <c r="E237" s="4"/>
      <c r="F237" s="2"/>
      <c r="G237" s="4"/>
      <c r="H237" s="4"/>
      <c r="I237" s="4"/>
      <c r="J237" s="4"/>
      <c r="K237" s="4"/>
      <c r="L237" s="4"/>
      <c r="M237" s="4"/>
      <c r="N237" s="4"/>
      <c r="O237" s="4"/>
      <c r="P237" s="4"/>
      <c r="Q237" s="4"/>
      <c r="R237" s="4"/>
      <c r="S237" s="4"/>
      <c r="T237" s="4"/>
      <c r="U237" s="4"/>
      <c r="V237" s="4"/>
      <c r="W237" s="4"/>
      <c r="X237" s="4"/>
      <c r="Y237" s="4"/>
      <c r="Z237" s="4"/>
    </row>
    <row r="238" ht="14.25" customHeight="1">
      <c r="A238" s="2"/>
      <c r="B238" s="4"/>
      <c r="C238" s="2"/>
      <c r="D238" s="2"/>
      <c r="E238" s="4"/>
      <c r="F238" s="2"/>
      <c r="G238" s="4"/>
      <c r="H238" s="4"/>
      <c r="I238" s="4"/>
      <c r="J238" s="4"/>
      <c r="K238" s="4"/>
      <c r="L238" s="4"/>
      <c r="M238" s="4"/>
      <c r="N238" s="4"/>
      <c r="O238" s="4"/>
      <c r="P238" s="4"/>
      <c r="Q238" s="4"/>
      <c r="R238" s="4"/>
      <c r="S238" s="4"/>
      <c r="T238" s="4"/>
      <c r="U238" s="4"/>
      <c r="V238" s="4"/>
      <c r="W238" s="4"/>
      <c r="X238" s="4"/>
      <c r="Y238" s="4"/>
      <c r="Z238" s="4"/>
    </row>
    <row r="239" ht="14.25" customHeight="1">
      <c r="A239" s="2"/>
      <c r="B239" s="4"/>
      <c r="C239" s="2"/>
      <c r="D239" s="2"/>
      <c r="E239" s="4"/>
      <c r="F239" s="2"/>
      <c r="G239" s="4"/>
      <c r="H239" s="4"/>
      <c r="I239" s="4"/>
      <c r="J239" s="4"/>
      <c r="K239" s="4"/>
      <c r="L239" s="4"/>
      <c r="M239" s="4"/>
      <c r="N239" s="4"/>
      <c r="O239" s="4"/>
      <c r="P239" s="4"/>
      <c r="Q239" s="4"/>
      <c r="R239" s="4"/>
      <c r="S239" s="4"/>
      <c r="T239" s="4"/>
      <c r="U239" s="4"/>
      <c r="V239" s="4"/>
      <c r="W239" s="4"/>
      <c r="X239" s="4"/>
      <c r="Y239" s="4"/>
      <c r="Z239" s="4"/>
    </row>
    <row r="240" ht="14.25" customHeight="1">
      <c r="A240" s="2"/>
      <c r="B240" s="4"/>
      <c r="C240" s="2"/>
      <c r="D240" s="2"/>
      <c r="E240" s="4"/>
      <c r="F240" s="2"/>
      <c r="G240" s="4"/>
      <c r="H240" s="4"/>
      <c r="I240" s="4"/>
      <c r="J240" s="4"/>
      <c r="K240" s="4"/>
      <c r="L240" s="4"/>
      <c r="M240" s="4"/>
      <c r="N240" s="4"/>
      <c r="O240" s="4"/>
      <c r="P240" s="4"/>
      <c r="Q240" s="4"/>
      <c r="R240" s="4"/>
      <c r="S240" s="4"/>
      <c r="T240" s="4"/>
      <c r="U240" s="4"/>
      <c r="V240" s="4"/>
      <c r="W240" s="4"/>
      <c r="X240" s="4"/>
      <c r="Y240" s="4"/>
      <c r="Z240" s="4"/>
    </row>
    <row r="241" ht="14.25" customHeight="1">
      <c r="A241" s="2"/>
      <c r="B241" s="4"/>
      <c r="C241" s="2"/>
      <c r="D241" s="2"/>
      <c r="E241" s="4"/>
      <c r="F241" s="2"/>
      <c r="G241" s="4"/>
      <c r="H241" s="4"/>
      <c r="I241" s="4"/>
      <c r="J241" s="4"/>
      <c r="K241" s="4"/>
      <c r="L241" s="4"/>
      <c r="M241" s="4"/>
      <c r="N241" s="4"/>
      <c r="O241" s="4"/>
      <c r="P241" s="4"/>
      <c r="Q241" s="4"/>
      <c r="R241" s="4"/>
      <c r="S241" s="4"/>
      <c r="T241" s="4"/>
      <c r="U241" s="4"/>
      <c r="V241" s="4"/>
      <c r="W241" s="4"/>
      <c r="X241" s="4"/>
      <c r="Y241" s="4"/>
      <c r="Z241" s="4"/>
    </row>
    <row r="242" ht="14.25" customHeight="1">
      <c r="A242" s="2"/>
      <c r="B242" s="4"/>
      <c r="C242" s="2"/>
      <c r="D242" s="2"/>
      <c r="E242" s="4"/>
      <c r="F242" s="2"/>
      <c r="G242" s="4"/>
      <c r="H242" s="4"/>
      <c r="I242" s="4"/>
      <c r="J242" s="4"/>
      <c r="K242" s="4"/>
      <c r="L242" s="4"/>
      <c r="M242" s="4"/>
      <c r="N242" s="4"/>
      <c r="O242" s="4"/>
      <c r="P242" s="4"/>
      <c r="Q242" s="4"/>
      <c r="R242" s="4"/>
      <c r="S242" s="4"/>
      <c r="T242" s="4"/>
      <c r="U242" s="4"/>
      <c r="V242" s="4"/>
      <c r="W242" s="4"/>
      <c r="X242" s="4"/>
      <c r="Y242" s="4"/>
      <c r="Z242" s="4"/>
    </row>
    <row r="243" ht="14.25" customHeight="1">
      <c r="A243" s="2"/>
      <c r="B243" s="4"/>
      <c r="C243" s="2"/>
      <c r="D243" s="2"/>
      <c r="E243" s="4"/>
      <c r="F243" s="2"/>
      <c r="G243" s="4"/>
      <c r="H243" s="4"/>
      <c r="I243" s="4"/>
      <c r="J243" s="4"/>
      <c r="K243" s="4"/>
      <c r="L243" s="4"/>
      <c r="M243" s="4"/>
      <c r="N243" s="4"/>
      <c r="O243" s="4"/>
      <c r="P243" s="4"/>
      <c r="Q243" s="4"/>
      <c r="R243" s="4"/>
      <c r="S243" s="4"/>
      <c r="T243" s="4"/>
      <c r="U243" s="4"/>
      <c r="V243" s="4"/>
      <c r="W243" s="4"/>
      <c r="X243" s="4"/>
      <c r="Y243" s="4"/>
      <c r="Z243" s="4"/>
    </row>
    <row r="244" ht="14.25" customHeight="1">
      <c r="A244" s="2"/>
      <c r="B244" s="4"/>
      <c r="C244" s="2"/>
      <c r="D244" s="2"/>
      <c r="E244" s="4"/>
      <c r="F244" s="2"/>
      <c r="G244" s="4"/>
      <c r="H244" s="4"/>
      <c r="I244" s="4"/>
      <c r="J244" s="4"/>
      <c r="K244" s="4"/>
      <c r="L244" s="4"/>
      <c r="M244" s="4"/>
      <c r="N244" s="4"/>
      <c r="O244" s="4"/>
      <c r="P244" s="4"/>
      <c r="Q244" s="4"/>
      <c r="R244" s="4"/>
      <c r="S244" s="4"/>
      <c r="T244" s="4"/>
      <c r="U244" s="4"/>
      <c r="V244" s="4"/>
      <c r="W244" s="4"/>
      <c r="X244" s="4"/>
      <c r="Y244" s="4"/>
      <c r="Z244" s="4"/>
    </row>
    <row r="245" ht="14.25" customHeight="1">
      <c r="A245" s="2"/>
      <c r="B245" s="4"/>
      <c r="C245" s="2"/>
      <c r="D245" s="2"/>
      <c r="E245" s="4"/>
      <c r="F245" s="2"/>
      <c r="G245" s="4"/>
      <c r="H245" s="4"/>
      <c r="I245" s="4"/>
      <c r="J245" s="4"/>
      <c r="K245" s="4"/>
      <c r="L245" s="4"/>
      <c r="M245" s="4"/>
      <c r="N245" s="4"/>
      <c r="O245" s="4"/>
      <c r="P245" s="4"/>
      <c r="Q245" s="4"/>
      <c r="R245" s="4"/>
      <c r="S245" s="4"/>
      <c r="T245" s="4"/>
      <c r="U245" s="4"/>
      <c r="V245" s="4"/>
      <c r="W245" s="4"/>
      <c r="X245" s="4"/>
      <c r="Y245" s="4"/>
      <c r="Z245" s="4"/>
    </row>
    <row r="246" ht="14.25" customHeight="1">
      <c r="A246" s="2"/>
      <c r="B246" s="4"/>
      <c r="C246" s="2"/>
      <c r="D246" s="2"/>
      <c r="E246" s="4"/>
      <c r="F246" s="2"/>
      <c r="G246" s="4"/>
      <c r="H246" s="4"/>
      <c r="I246" s="4"/>
      <c r="J246" s="4"/>
      <c r="K246" s="4"/>
      <c r="L246" s="4"/>
      <c r="M246" s="4"/>
      <c r="N246" s="4"/>
      <c r="O246" s="4"/>
      <c r="P246" s="4"/>
      <c r="Q246" s="4"/>
      <c r="R246" s="4"/>
      <c r="S246" s="4"/>
      <c r="T246" s="4"/>
      <c r="U246" s="4"/>
      <c r="V246" s="4"/>
      <c r="W246" s="4"/>
      <c r="X246" s="4"/>
      <c r="Y246" s="4"/>
      <c r="Z246" s="4"/>
    </row>
    <row r="247" ht="14.25" customHeight="1">
      <c r="A247" s="2"/>
      <c r="B247" s="4"/>
      <c r="C247" s="2"/>
      <c r="D247" s="2"/>
      <c r="E247" s="4"/>
      <c r="F247" s="2"/>
      <c r="G247" s="4"/>
      <c r="H247" s="4"/>
      <c r="I247" s="4"/>
      <c r="J247" s="4"/>
      <c r="K247" s="4"/>
      <c r="L247" s="4"/>
      <c r="M247" s="4"/>
      <c r="N247" s="4"/>
      <c r="O247" s="4"/>
      <c r="P247" s="4"/>
      <c r="Q247" s="4"/>
      <c r="R247" s="4"/>
      <c r="S247" s="4"/>
      <c r="T247" s="4"/>
      <c r="U247" s="4"/>
      <c r="V247" s="4"/>
      <c r="W247" s="4"/>
      <c r="X247" s="4"/>
      <c r="Y247" s="4"/>
      <c r="Z247" s="4"/>
    </row>
    <row r="248" ht="14.25" customHeight="1">
      <c r="A248" s="2"/>
      <c r="B248" s="4"/>
      <c r="C248" s="2"/>
      <c r="D248" s="2"/>
      <c r="E248" s="4"/>
      <c r="F248" s="2"/>
      <c r="G248" s="4"/>
      <c r="H248" s="4"/>
      <c r="I248" s="4"/>
      <c r="J248" s="4"/>
      <c r="K248" s="4"/>
      <c r="L248" s="4"/>
      <c r="M248" s="4"/>
      <c r="N248" s="4"/>
      <c r="O248" s="4"/>
      <c r="P248" s="4"/>
      <c r="Q248" s="4"/>
      <c r="R248" s="4"/>
      <c r="S248" s="4"/>
      <c r="T248" s="4"/>
      <c r="U248" s="4"/>
      <c r="V248" s="4"/>
      <c r="W248" s="4"/>
      <c r="X248" s="4"/>
      <c r="Y248" s="4"/>
      <c r="Z248" s="4"/>
    </row>
    <row r="249" ht="14.25" customHeight="1">
      <c r="A249" s="2"/>
      <c r="B249" s="4"/>
      <c r="C249" s="2"/>
      <c r="D249" s="2"/>
      <c r="E249" s="4"/>
      <c r="F249" s="2"/>
      <c r="G249" s="4"/>
      <c r="H249" s="4"/>
      <c r="I249" s="4"/>
      <c r="J249" s="4"/>
      <c r="K249" s="4"/>
      <c r="L249" s="4"/>
      <c r="M249" s="4"/>
      <c r="N249" s="4"/>
      <c r="O249" s="4"/>
      <c r="P249" s="4"/>
      <c r="Q249" s="4"/>
      <c r="R249" s="4"/>
      <c r="S249" s="4"/>
      <c r="T249" s="4"/>
      <c r="U249" s="4"/>
      <c r="V249" s="4"/>
      <c r="W249" s="4"/>
      <c r="X249" s="4"/>
      <c r="Y249" s="4"/>
      <c r="Z249" s="4"/>
    </row>
    <row r="250" ht="14.25" customHeight="1">
      <c r="A250" s="2"/>
      <c r="B250" s="4"/>
      <c r="C250" s="2"/>
      <c r="D250" s="2"/>
      <c r="E250" s="4"/>
      <c r="F250" s="2"/>
      <c r="G250" s="4"/>
      <c r="H250" s="4"/>
      <c r="I250" s="4"/>
      <c r="J250" s="4"/>
      <c r="K250" s="4"/>
      <c r="L250" s="4"/>
      <c r="M250" s="4"/>
      <c r="N250" s="4"/>
      <c r="O250" s="4"/>
      <c r="P250" s="4"/>
      <c r="Q250" s="4"/>
      <c r="R250" s="4"/>
      <c r="S250" s="4"/>
      <c r="T250" s="4"/>
      <c r="U250" s="4"/>
      <c r="V250" s="4"/>
      <c r="W250" s="4"/>
      <c r="X250" s="4"/>
      <c r="Y250" s="4"/>
      <c r="Z250" s="4"/>
    </row>
    <row r="251" ht="14.25" customHeight="1">
      <c r="A251" s="2"/>
      <c r="B251" s="4"/>
      <c r="C251" s="2"/>
      <c r="D251" s="2"/>
      <c r="E251" s="4"/>
      <c r="F251" s="2"/>
      <c r="G251" s="4"/>
      <c r="H251" s="4"/>
      <c r="I251" s="4"/>
      <c r="J251" s="4"/>
      <c r="K251" s="4"/>
      <c r="L251" s="4"/>
      <c r="M251" s="4"/>
      <c r="N251" s="4"/>
      <c r="O251" s="4"/>
      <c r="P251" s="4"/>
      <c r="Q251" s="4"/>
      <c r="R251" s="4"/>
      <c r="S251" s="4"/>
      <c r="T251" s="4"/>
      <c r="U251" s="4"/>
      <c r="V251" s="4"/>
      <c r="W251" s="4"/>
      <c r="X251" s="4"/>
      <c r="Y251" s="4"/>
      <c r="Z251" s="4"/>
    </row>
    <row r="252" ht="14.25" customHeight="1">
      <c r="A252" s="2"/>
      <c r="B252" s="4"/>
      <c r="C252" s="2"/>
      <c r="D252" s="2"/>
      <c r="E252" s="4"/>
      <c r="F252" s="2"/>
      <c r="G252" s="4"/>
      <c r="H252" s="4"/>
      <c r="I252" s="4"/>
      <c r="J252" s="4"/>
      <c r="K252" s="4"/>
      <c r="L252" s="4"/>
      <c r="M252" s="4"/>
      <c r="N252" s="4"/>
      <c r="O252" s="4"/>
      <c r="P252" s="4"/>
      <c r="Q252" s="4"/>
      <c r="R252" s="4"/>
      <c r="S252" s="4"/>
      <c r="T252" s="4"/>
      <c r="U252" s="4"/>
      <c r="V252" s="4"/>
      <c r="W252" s="4"/>
      <c r="X252" s="4"/>
      <c r="Y252" s="4"/>
      <c r="Z252" s="4"/>
    </row>
    <row r="253" ht="14.25" customHeight="1">
      <c r="A253" s="2"/>
      <c r="B253" s="4"/>
      <c r="C253" s="2"/>
      <c r="D253" s="2"/>
      <c r="E253" s="4"/>
      <c r="F253" s="2"/>
      <c r="G253" s="4"/>
      <c r="H253" s="4"/>
      <c r="I253" s="4"/>
      <c r="J253" s="4"/>
      <c r="K253" s="4"/>
      <c r="L253" s="4"/>
      <c r="M253" s="4"/>
      <c r="N253" s="4"/>
      <c r="O253" s="4"/>
      <c r="P253" s="4"/>
      <c r="Q253" s="4"/>
      <c r="R253" s="4"/>
      <c r="S253" s="4"/>
      <c r="T253" s="4"/>
      <c r="U253" s="4"/>
      <c r="V253" s="4"/>
      <c r="W253" s="4"/>
      <c r="X253" s="4"/>
      <c r="Y253" s="4"/>
      <c r="Z253" s="4"/>
    </row>
    <row r="254" ht="14.25" customHeight="1">
      <c r="A254" s="2"/>
      <c r="B254" s="4"/>
      <c r="C254" s="2"/>
      <c r="D254" s="2"/>
      <c r="E254" s="4"/>
      <c r="F254" s="2"/>
      <c r="G254" s="4"/>
      <c r="H254" s="4"/>
      <c r="I254" s="4"/>
      <c r="J254" s="4"/>
      <c r="K254" s="4"/>
      <c r="L254" s="4"/>
      <c r="M254" s="4"/>
      <c r="N254" s="4"/>
      <c r="O254" s="4"/>
      <c r="P254" s="4"/>
      <c r="Q254" s="4"/>
      <c r="R254" s="4"/>
      <c r="S254" s="4"/>
      <c r="T254" s="4"/>
      <c r="U254" s="4"/>
      <c r="V254" s="4"/>
      <c r="W254" s="4"/>
      <c r="X254" s="4"/>
      <c r="Y254" s="4"/>
      <c r="Z254" s="4"/>
    </row>
    <row r="255" ht="14.25" customHeight="1">
      <c r="A255" s="2"/>
      <c r="B255" s="4"/>
      <c r="C255" s="2"/>
      <c r="D255" s="2"/>
      <c r="E255" s="4"/>
      <c r="F255" s="2"/>
      <c r="G255" s="4"/>
      <c r="H255" s="4"/>
      <c r="I255" s="4"/>
      <c r="J255" s="4"/>
      <c r="K255" s="4"/>
      <c r="L255" s="4"/>
      <c r="M255" s="4"/>
      <c r="N255" s="4"/>
      <c r="O255" s="4"/>
      <c r="P255" s="4"/>
      <c r="Q255" s="4"/>
      <c r="R255" s="4"/>
      <c r="S255" s="4"/>
      <c r="T255" s="4"/>
      <c r="U255" s="4"/>
      <c r="V255" s="4"/>
      <c r="W255" s="4"/>
      <c r="X255" s="4"/>
      <c r="Y255" s="4"/>
      <c r="Z255" s="4"/>
    </row>
    <row r="256" ht="14.25" customHeight="1">
      <c r="A256" s="2"/>
      <c r="B256" s="4"/>
      <c r="C256" s="2"/>
      <c r="D256" s="2"/>
      <c r="E256" s="4"/>
      <c r="F256" s="2"/>
      <c r="G256" s="4"/>
      <c r="H256" s="4"/>
      <c r="I256" s="4"/>
      <c r="J256" s="4"/>
      <c r="K256" s="4"/>
      <c r="L256" s="4"/>
      <c r="M256" s="4"/>
      <c r="N256" s="4"/>
      <c r="O256" s="4"/>
      <c r="P256" s="4"/>
      <c r="Q256" s="4"/>
      <c r="R256" s="4"/>
      <c r="S256" s="4"/>
      <c r="T256" s="4"/>
      <c r="U256" s="4"/>
      <c r="V256" s="4"/>
      <c r="W256" s="4"/>
      <c r="X256" s="4"/>
      <c r="Y256" s="4"/>
      <c r="Z256" s="4"/>
    </row>
    <row r="257" ht="14.25" customHeight="1">
      <c r="A257" s="2"/>
      <c r="B257" s="4"/>
      <c r="C257" s="2"/>
      <c r="D257" s="2"/>
      <c r="E257" s="4"/>
      <c r="F257" s="2"/>
      <c r="G257" s="4"/>
      <c r="H257" s="4"/>
      <c r="I257" s="4"/>
      <c r="J257" s="4"/>
      <c r="K257" s="4"/>
      <c r="L257" s="4"/>
      <c r="M257" s="4"/>
      <c r="N257" s="4"/>
      <c r="O257" s="4"/>
      <c r="P257" s="4"/>
      <c r="Q257" s="4"/>
      <c r="R257" s="4"/>
      <c r="S257" s="4"/>
      <c r="T257" s="4"/>
      <c r="U257" s="4"/>
      <c r="V257" s="4"/>
      <c r="W257" s="4"/>
      <c r="X257" s="4"/>
      <c r="Y257" s="4"/>
      <c r="Z257" s="4"/>
    </row>
    <row r="258" ht="14.25" customHeight="1">
      <c r="A258" s="2"/>
      <c r="B258" s="4"/>
      <c r="C258" s="2"/>
      <c r="D258" s="2"/>
      <c r="E258" s="4"/>
      <c r="F258" s="2"/>
      <c r="G258" s="4"/>
      <c r="H258" s="4"/>
      <c r="I258" s="4"/>
      <c r="J258" s="4"/>
      <c r="K258" s="4"/>
      <c r="L258" s="4"/>
      <c r="M258" s="4"/>
      <c r="N258" s="4"/>
      <c r="O258" s="4"/>
      <c r="P258" s="4"/>
      <c r="Q258" s="4"/>
      <c r="R258" s="4"/>
      <c r="S258" s="4"/>
      <c r="T258" s="4"/>
      <c r="U258" s="4"/>
      <c r="V258" s="4"/>
      <c r="W258" s="4"/>
      <c r="X258" s="4"/>
      <c r="Y258" s="4"/>
      <c r="Z258" s="4"/>
    </row>
    <row r="259" ht="14.25" customHeight="1">
      <c r="A259" s="2"/>
      <c r="B259" s="4"/>
      <c r="C259" s="2"/>
      <c r="D259" s="2"/>
      <c r="E259" s="4"/>
      <c r="F259" s="2"/>
      <c r="G259" s="4"/>
      <c r="H259" s="4"/>
      <c r="I259" s="4"/>
      <c r="J259" s="4"/>
      <c r="K259" s="4"/>
      <c r="L259" s="4"/>
      <c r="M259" s="4"/>
      <c r="N259" s="4"/>
      <c r="O259" s="4"/>
      <c r="P259" s="4"/>
      <c r="Q259" s="4"/>
      <c r="R259" s="4"/>
      <c r="S259" s="4"/>
      <c r="T259" s="4"/>
      <c r="U259" s="4"/>
      <c r="V259" s="4"/>
      <c r="W259" s="4"/>
      <c r="X259" s="4"/>
      <c r="Y259" s="4"/>
      <c r="Z259" s="4"/>
    </row>
    <row r="260" ht="14.25" customHeight="1">
      <c r="A260" s="2"/>
      <c r="B260" s="4"/>
      <c r="C260" s="2"/>
      <c r="D260" s="2"/>
      <c r="E260" s="4"/>
      <c r="F260" s="2"/>
      <c r="G260" s="4"/>
      <c r="H260" s="4"/>
      <c r="I260" s="4"/>
      <c r="J260" s="4"/>
      <c r="K260" s="4"/>
      <c r="L260" s="4"/>
      <c r="M260" s="4"/>
      <c r="N260" s="4"/>
      <c r="O260" s="4"/>
      <c r="P260" s="4"/>
      <c r="Q260" s="4"/>
      <c r="R260" s="4"/>
      <c r="S260" s="4"/>
      <c r="T260" s="4"/>
      <c r="U260" s="4"/>
      <c r="V260" s="4"/>
      <c r="W260" s="4"/>
      <c r="X260" s="4"/>
      <c r="Y260" s="4"/>
      <c r="Z260" s="4"/>
    </row>
    <row r="261" ht="14.25" customHeight="1">
      <c r="A261" s="2"/>
      <c r="B261" s="4"/>
      <c r="C261" s="2"/>
      <c r="D261" s="2"/>
      <c r="E261" s="4"/>
      <c r="F261" s="2"/>
      <c r="G261" s="4"/>
      <c r="H261" s="4"/>
      <c r="I261" s="4"/>
      <c r="J261" s="4"/>
      <c r="K261" s="4"/>
      <c r="L261" s="4"/>
      <c r="M261" s="4"/>
      <c r="N261" s="4"/>
      <c r="O261" s="4"/>
      <c r="P261" s="4"/>
      <c r="Q261" s="4"/>
      <c r="R261" s="4"/>
      <c r="S261" s="4"/>
      <c r="T261" s="4"/>
      <c r="U261" s="4"/>
      <c r="V261" s="4"/>
      <c r="W261" s="4"/>
      <c r="X261" s="4"/>
      <c r="Y261" s="4"/>
      <c r="Z261" s="4"/>
    </row>
    <row r="262" ht="14.25" customHeight="1">
      <c r="A262" s="2"/>
      <c r="B262" s="4"/>
      <c r="C262" s="2"/>
      <c r="D262" s="2"/>
      <c r="E262" s="4"/>
      <c r="F262" s="2"/>
      <c r="G262" s="4"/>
      <c r="H262" s="4"/>
      <c r="I262" s="4"/>
      <c r="J262" s="4"/>
      <c r="K262" s="4"/>
      <c r="L262" s="4"/>
      <c r="M262" s="4"/>
      <c r="N262" s="4"/>
      <c r="O262" s="4"/>
      <c r="P262" s="4"/>
      <c r="Q262" s="4"/>
      <c r="R262" s="4"/>
      <c r="S262" s="4"/>
      <c r="T262" s="4"/>
      <c r="U262" s="4"/>
      <c r="V262" s="4"/>
      <c r="W262" s="4"/>
      <c r="X262" s="4"/>
      <c r="Y262" s="4"/>
      <c r="Z262" s="4"/>
    </row>
    <row r="263" ht="14.25" customHeight="1">
      <c r="A263" s="2"/>
      <c r="B263" s="4"/>
      <c r="C263" s="2"/>
      <c r="D263" s="2"/>
      <c r="E263" s="4"/>
      <c r="F263" s="2"/>
      <c r="G263" s="4"/>
      <c r="H263" s="4"/>
      <c r="I263" s="4"/>
      <c r="J263" s="4"/>
      <c r="K263" s="4"/>
      <c r="L263" s="4"/>
      <c r="M263" s="4"/>
      <c r="N263" s="4"/>
      <c r="O263" s="4"/>
      <c r="P263" s="4"/>
      <c r="Q263" s="4"/>
      <c r="R263" s="4"/>
      <c r="S263" s="4"/>
      <c r="T263" s="4"/>
      <c r="U263" s="4"/>
      <c r="V263" s="4"/>
      <c r="W263" s="4"/>
      <c r="X263" s="4"/>
      <c r="Y263" s="4"/>
      <c r="Z263" s="4"/>
    </row>
    <row r="264" ht="14.25" customHeight="1">
      <c r="A264" s="2"/>
      <c r="B264" s="4"/>
      <c r="C264" s="2"/>
      <c r="D264" s="2"/>
      <c r="E264" s="4"/>
      <c r="F264" s="2"/>
      <c r="G264" s="4"/>
      <c r="H264" s="4"/>
      <c r="I264" s="4"/>
      <c r="J264" s="4"/>
      <c r="K264" s="4"/>
      <c r="L264" s="4"/>
      <c r="M264" s="4"/>
      <c r="N264" s="4"/>
      <c r="O264" s="4"/>
      <c r="P264" s="4"/>
      <c r="Q264" s="4"/>
      <c r="R264" s="4"/>
      <c r="S264" s="4"/>
      <c r="T264" s="4"/>
      <c r="U264" s="4"/>
      <c r="V264" s="4"/>
      <c r="W264" s="4"/>
      <c r="X264" s="4"/>
      <c r="Y264" s="4"/>
      <c r="Z264" s="4"/>
    </row>
    <row r="265" ht="14.25" customHeight="1">
      <c r="A265" s="2"/>
      <c r="B265" s="4"/>
      <c r="C265" s="2"/>
      <c r="D265" s="2"/>
      <c r="E265" s="4"/>
      <c r="F265" s="2"/>
      <c r="G265" s="4"/>
      <c r="H265" s="4"/>
      <c r="I265" s="4"/>
      <c r="J265" s="4"/>
      <c r="K265" s="4"/>
      <c r="L265" s="4"/>
      <c r="M265" s="4"/>
      <c r="N265" s="4"/>
      <c r="O265" s="4"/>
      <c r="P265" s="4"/>
      <c r="Q265" s="4"/>
      <c r="R265" s="4"/>
      <c r="S265" s="4"/>
      <c r="T265" s="4"/>
      <c r="U265" s="4"/>
      <c r="V265" s="4"/>
      <c r="W265" s="4"/>
      <c r="X265" s="4"/>
      <c r="Y265" s="4"/>
      <c r="Z265" s="4"/>
    </row>
    <row r="266" ht="14.25" customHeight="1">
      <c r="A266" s="2"/>
      <c r="B266" s="4"/>
      <c r="C266" s="2"/>
      <c r="D266" s="2"/>
      <c r="E266" s="4"/>
      <c r="F266" s="2"/>
      <c r="G266" s="4"/>
      <c r="H266" s="4"/>
      <c r="I266" s="4"/>
      <c r="J266" s="4"/>
      <c r="K266" s="4"/>
      <c r="L266" s="4"/>
      <c r="M266" s="4"/>
      <c r="N266" s="4"/>
      <c r="O266" s="4"/>
      <c r="P266" s="4"/>
      <c r="Q266" s="4"/>
      <c r="R266" s="4"/>
      <c r="S266" s="4"/>
      <c r="T266" s="4"/>
      <c r="U266" s="4"/>
      <c r="V266" s="4"/>
      <c r="W266" s="4"/>
      <c r="X266" s="4"/>
      <c r="Y266" s="4"/>
      <c r="Z266" s="4"/>
    </row>
    <row r="267" ht="14.25" customHeight="1">
      <c r="A267" s="2"/>
      <c r="B267" s="4"/>
      <c r="C267" s="2"/>
      <c r="D267" s="2"/>
      <c r="E267" s="4"/>
      <c r="F267" s="2"/>
      <c r="G267" s="4"/>
      <c r="H267" s="4"/>
      <c r="I267" s="4"/>
      <c r="J267" s="4"/>
      <c r="K267" s="4"/>
      <c r="L267" s="4"/>
      <c r="M267" s="4"/>
      <c r="N267" s="4"/>
      <c r="O267" s="4"/>
      <c r="P267" s="4"/>
      <c r="Q267" s="4"/>
      <c r="R267" s="4"/>
      <c r="S267" s="4"/>
      <c r="T267" s="4"/>
      <c r="U267" s="4"/>
      <c r="V267" s="4"/>
      <c r="W267" s="4"/>
      <c r="X267" s="4"/>
      <c r="Y267" s="4"/>
      <c r="Z267" s="4"/>
    </row>
    <row r="268" ht="14.25" customHeight="1">
      <c r="A268" s="2"/>
      <c r="B268" s="4"/>
      <c r="C268" s="2"/>
      <c r="D268" s="2"/>
      <c r="E268" s="4"/>
      <c r="F268" s="2"/>
      <c r="G268" s="4"/>
      <c r="H268" s="4"/>
      <c r="I268" s="4"/>
      <c r="J268" s="4"/>
      <c r="K268" s="4"/>
      <c r="L268" s="4"/>
      <c r="M268" s="4"/>
      <c r="N268" s="4"/>
      <c r="O268" s="4"/>
      <c r="P268" s="4"/>
      <c r="Q268" s="4"/>
      <c r="R268" s="4"/>
      <c r="S268" s="4"/>
      <c r="T268" s="4"/>
      <c r="U268" s="4"/>
      <c r="V268" s="4"/>
      <c r="W268" s="4"/>
      <c r="X268" s="4"/>
      <c r="Y268" s="4"/>
      <c r="Z268" s="4"/>
    </row>
    <row r="269" ht="14.25" customHeight="1">
      <c r="A269" s="2"/>
      <c r="B269" s="4"/>
      <c r="C269" s="2"/>
      <c r="D269" s="2"/>
      <c r="E269" s="4"/>
      <c r="F269" s="2"/>
      <c r="G269" s="4"/>
      <c r="H269" s="4"/>
      <c r="I269" s="4"/>
      <c r="J269" s="4"/>
      <c r="K269" s="4"/>
      <c r="L269" s="4"/>
      <c r="M269" s="4"/>
      <c r="N269" s="4"/>
      <c r="O269" s="4"/>
      <c r="P269" s="4"/>
      <c r="Q269" s="4"/>
      <c r="R269" s="4"/>
      <c r="S269" s="4"/>
      <c r="T269" s="4"/>
      <c r="U269" s="4"/>
      <c r="V269" s="4"/>
      <c r="W269" s="4"/>
      <c r="X269" s="4"/>
      <c r="Y269" s="4"/>
      <c r="Z269" s="4"/>
    </row>
    <row r="270" ht="14.25" customHeight="1">
      <c r="A270" s="2"/>
      <c r="B270" s="4"/>
      <c r="C270" s="2"/>
      <c r="D270" s="2"/>
      <c r="E270" s="4"/>
      <c r="F270" s="2"/>
      <c r="G270" s="4"/>
      <c r="H270" s="4"/>
      <c r="I270" s="4"/>
      <c r="J270" s="4"/>
      <c r="K270" s="4"/>
      <c r="L270" s="4"/>
      <c r="M270" s="4"/>
      <c r="N270" s="4"/>
      <c r="O270" s="4"/>
      <c r="P270" s="4"/>
      <c r="Q270" s="4"/>
      <c r="R270" s="4"/>
      <c r="S270" s="4"/>
      <c r="T270" s="4"/>
      <c r="U270" s="4"/>
      <c r="V270" s="4"/>
      <c r="W270" s="4"/>
      <c r="X270" s="4"/>
      <c r="Y270" s="4"/>
      <c r="Z270" s="4"/>
    </row>
    <row r="271" ht="14.25" customHeight="1">
      <c r="A271" s="2"/>
      <c r="B271" s="4"/>
      <c r="C271" s="2"/>
      <c r="D271" s="2"/>
      <c r="E271" s="4"/>
      <c r="F271" s="2"/>
      <c r="G271" s="4"/>
      <c r="H271" s="4"/>
      <c r="I271" s="4"/>
      <c r="J271" s="4"/>
      <c r="K271" s="4"/>
      <c r="L271" s="4"/>
      <c r="M271" s="4"/>
      <c r="N271" s="4"/>
      <c r="O271" s="4"/>
      <c r="P271" s="4"/>
      <c r="Q271" s="4"/>
      <c r="R271" s="4"/>
      <c r="S271" s="4"/>
      <c r="T271" s="4"/>
      <c r="U271" s="4"/>
      <c r="V271" s="4"/>
      <c r="W271" s="4"/>
      <c r="X271" s="4"/>
      <c r="Y271" s="4"/>
      <c r="Z271" s="4"/>
    </row>
    <row r="272" ht="14.25" customHeight="1">
      <c r="A272" s="2"/>
      <c r="B272" s="4"/>
      <c r="C272" s="2"/>
      <c r="D272" s="2"/>
      <c r="E272" s="4"/>
      <c r="F272" s="2"/>
      <c r="G272" s="4"/>
      <c r="H272" s="4"/>
      <c r="I272" s="4"/>
      <c r="J272" s="4"/>
      <c r="K272" s="4"/>
      <c r="L272" s="4"/>
      <c r="M272" s="4"/>
      <c r="N272" s="4"/>
      <c r="O272" s="4"/>
      <c r="P272" s="4"/>
      <c r="Q272" s="4"/>
      <c r="R272" s="4"/>
      <c r="S272" s="4"/>
      <c r="T272" s="4"/>
      <c r="U272" s="4"/>
      <c r="V272" s="4"/>
      <c r="W272" s="4"/>
      <c r="X272" s="4"/>
      <c r="Y272" s="4"/>
      <c r="Z272" s="4"/>
    </row>
    <row r="273" ht="14.25" customHeight="1">
      <c r="A273" s="2"/>
      <c r="B273" s="4"/>
      <c r="C273" s="2"/>
      <c r="D273" s="2"/>
      <c r="E273" s="4"/>
      <c r="F273" s="2"/>
      <c r="G273" s="4"/>
      <c r="H273" s="4"/>
      <c r="I273" s="4"/>
      <c r="J273" s="4"/>
      <c r="K273" s="4"/>
      <c r="L273" s="4"/>
      <c r="M273" s="4"/>
      <c r="N273" s="4"/>
      <c r="O273" s="4"/>
      <c r="P273" s="4"/>
      <c r="Q273" s="4"/>
      <c r="R273" s="4"/>
      <c r="S273" s="4"/>
      <c r="T273" s="4"/>
      <c r="U273" s="4"/>
      <c r="V273" s="4"/>
      <c r="W273" s="4"/>
      <c r="X273" s="4"/>
      <c r="Y273" s="4"/>
      <c r="Z273" s="4"/>
    </row>
    <row r="274" ht="14.25" customHeight="1">
      <c r="A274" s="2"/>
      <c r="B274" s="4"/>
      <c r="C274" s="2"/>
      <c r="D274" s="2"/>
      <c r="E274" s="4"/>
      <c r="F274" s="2"/>
      <c r="G274" s="4"/>
      <c r="H274" s="4"/>
      <c r="I274" s="4"/>
      <c r="J274" s="4"/>
      <c r="K274" s="4"/>
      <c r="L274" s="4"/>
      <c r="M274" s="4"/>
      <c r="N274" s="4"/>
      <c r="O274" s="4"/>
      <c r="P274" s="4"/>
      <c r="Q274" s="4"/>
      <c r="R274" s="4"/>
      <c r="S274" s="4"/>
      <c r="T274" s="4"/>
      <c r="U274" s="4"/>
      <c r="V274" s="4"/>
      <c r="W274" s="4"/>
      <c r="X274" s="4"/>
      <c r="Y274" s="4"/>
      <c r="Z274" s="4"/>
    </row>
    <row r="275" ht="14.25" customHeight="1">
      <c r="A275" s="2"/>
      <c r="B275" s="4"/>
      <c r="C275" s="2"/>
      <c r="D275" s="2"/>
      <c r="E275" s="4"/>
      <c r="F275" s="2"/>
      <c r="G275" s="4"/>
      <c r="H275" s="4"/>
      <c r="I275" s="4"/>
      <c r="J275" s="4"/>
      <c r="K275" s="4"/>
      <c r="L275" s="4"/>
      <c r="M275" s="4"/>
      <c r="N275" s="4"/>
      <c r="O275" s="4"/>
      <c r="P275" s="4"/>
      <c r="Q275" s="4"/>
      <c r="R275" s="4"/>
      <c r="S275" s="4"/>
      <c r="T275" s="4"/>
      <c r="U275" s="4"/>
      <c r="V275" s="4"/>
      <c r="W275" s="4"/>
      <c r="X275" s="4"/>
      <c r="Y275" s="4"/>
      <c r="Z275" s="4"/>
    </row>
    <row r="276" ht="14.25" customHeight="1">
      <c r="A276" s="2"/>
      <c r="B276" s="4"/>
      <c r="C276" s="2"/>
      <c r="D276" s="2"/>
      <c r="E276" s="4"/>
      <c r="F276" s="2"/>
      <c r="G276" s="4"/>
      <c r="H276" s="4"/>
      <c r="I276" s="4"/>
      <c r="J276" s="4"/>
      <c r="K276" s="4"/>
      <c r="L276" s="4"/>
      <c r="M276" s="4"/>
      <c r="N276" s="4"/>
      <c r="O276" s="4"/>
      <c r="P276" s="4"/>
      <c r="Q276" s="4"/>
      <c r="R276" s="4"/>
      <c r="S276" s="4"/>
      <c r="T276" s="4"/>
      <c r="U276" s="4"/>
      <c r="V276" s="4"/>
      <c r="W276" s="4"/>
      <c r="X276" s="4"/>
      <c r="Y276" s="4"/>
      <c r="Z276" s="4"/>
    </row>
    <row r="277" ht="14.25" customHeight="1">
      <c r="A277" s="2"/>
      <c r="B277" s="4"/>
      <c r="C277" s="2"/>
      <c r="D277" s="2"/>
      <c r="E277" s="4"/>
      <c r="F277" s="2"/>
      <c r="G277" s="4"/>
      <c r="H277" s="4"/>
      <c r="I277" s="4"/>
      <c r="J277" s="4"/>
      <c r="K277" s="4"/>
      <c r="L277" s="4"/>
      <c r="M277" s="4"/>
      <c r="N277" s="4"/>
      <c r="O277" s="4"/>
      <c r="P277" s="4"/>
      <c r="Q277" s="4"/>
      <c r="R277" s="4"/>
      <c r="S277" s="4"/>
      <c r="T277" s="4"/>
      <c r="U277" s="4"/>
      <c r="V277" s="4"/>
      <c r="W277" s="4"/>
      <c r="X277" s="4"/>
      <c r="Y277" s="4"/>
      <c r="Z277" s="4"/>
    </row>
    <row r="278" ht="14.25" customHeight="1">
      <c r="A278" s="2"/>
      <c r="B278" s="4"/>
      <c r="C278" s="2"/>
      <c r="D278" s="2"/>
      <c r="E278" s="4"/>
      <c r="F278" s="2"/>
      <c r="G278" s="4"/>
      <c r="H278" s="4"/>
      <c r="I278" s="4"/>
      <c r="J278" s="4"/>
      <c r="K278" s="4"/>
      <c r="L278" s="4"/>
      <c r="M278" s="4"/>
      <c r="N278" s="4"/>
      <c r="O278" s="4"/>
      <c r="P278" s="4"/>
      <c r="Q278" s="4"/>
      <c r="R278" s="4"/>
      <c r="S278" s="4"/>
      <c r="T278" s="4"/>
      <c r="U278" s="4"/>
      <c r="V278" s="4"/>
      <c r="W278" s="4"/>
      <c r="X278" s="4"/>
      <c r="Y278" s="4"/>
      <c r="Z278" s="4"/>
    </row>
    <row r="279" ht="14.25" customHeight="1">
      <c r="A279" s="2"/>
      <c r="B279" s="4"/>
      <c r="C279" s="2"/>
      <c r="D279" s="2"/>
      <c r="E279" s="4"/>
      <c r="F279" s="2"/>
      <c r="G279" s="4"/>
      <c r="H279" s="4"/>
      <c r="I279" s="4"/>
      <c r="J279" s="4"/>
      <c r="K279" s="4"/>
      <c r="L279" s="4"/>
      <c r="M279" s="4"/>
      <c r="N279" s="4"/>
      <c r="O279" s="4"/>
      <c r="P279" s="4"/>
      <c r="Q279" s="4"/>
      <c r="R279" s="4"/>
      <c r="S279" s="4"/>
      <c r="T279" s="4"/>
      <c r="U279" s="4"/>
      <c r="V279" s="4"/>
      <c r="W279" s="4"/>
      <c r="X279" s="4"/>
      <c r="Y279" s="4"/>
      <c r="Z279" s="4"/>
    </row>
    <row r="280" ht="14.25" customHeight="1">
      <c r="A280" s="2"/>
      <c r="B280" s="4"/>
      <c r="C280" s="2"/>
      <c r="D280" s="2"/>
      <c r="E280" s="4"/>
      <c r="F280" s="2"/>
      <c r="G280" s="4"/>
      <c r="H280" s="4"/>
      <c r="I280" s="4"/>
      <c r="J280" s="4"/>
      <c r="K280" s="4"/>
      <c r="L280" s="4"/>
      <c r="M280" s="4"/>
      <c r="N280" s="4"/>
      <c r="O280" s="4"/>
      <c r="P280" s="4"/>
      <c r="Q280" s="4"/>
      <c r="R280" s="4"/>
      <c r="S280" s="4"/>
      <c r="T280" s="4"/>
      <c r="U280" s="4"/>
      <c r="V280" s="4"/>
      <c r="W280" s="4"/>
      <c r="X280" s="4"/>
      <c r="Y280" s="4"/>
      <c r="Z280" s="4"/>
    </row>
    <row r="281" ht="14.25" customHeight="1">
      <c r="A281" s="2"/>
      <c r="B281" s="4"/>
      <c r="C281" s="2"/>
      <c r="D281" s="2"/>
      <c r="E281" s="4"/>
      <c r="F281" s="2"/>
      <c r="G281" s="4"/>
      <c r="H281" s="4"/>
      <c r="I281" s="4"/>
      <c r="J281" s="4"/>
      <c r="K281" s="4"/>
      <c r="L281" s="4"/>
      <c r="M281" s="4"/>
      <c r="N281" s="4"/>
      <c r="O281" s="4"/>
      <c r="P281" s="4"/>
      <c r="Q281" s="4"/>
      <c r="R281" s="4"/>
      <c r="S281" s="4"/>
      <c r="T281" s="4"/>
      <c r="U281" s="4"/>
      <c r="V281" s="4"/>
      <c r="W281" s="4"/>
      <c r="X281" s="4"/>
      <c r="Y281" s="4"/>
      <c r="Z281" s="4"/>
    </row>
    <row r="282" ht="14.25" customHeight="1">
      <c r="A282" s="2"/>
      <c r="B282" s="4"/>
      <c r="C282" s="2"/>
      <c r="D282" s="2"/>
      <c r="E282" s="4"/>
      <c r="F282" s="2"/>
      <c r="G282" s="4"/>
      <c r="H282" s="4"/>
      <c r="I282" s="4"/>
      <c r="J282" s="4"/>
      <c r="K282" s="4"/>
      <c r="L282" s="4"/>
      <c r="M282" s="4"/>
      <c r="N282" s="4"/>
      <c r="O282" s="4"/>
      <c r="P282" s="4"/>
      <c r="Q282" s="4"/>
      <c r="R282" s="4"/>
      <c r="S282" s="4"/>
      <c r="T282" s="4"/>
      <c r="U282" s="4"/>
      <c r="V282" s="4"/>
      <c r="W282" s="4"/>
      <c r="X282" s="4"/>
      <c r="Y282" s="4"/>
      <c r="Z282" s="4"/>
    </row>
    <row r="283" ht="14.25" customHeight="1">
      <c r="A283" s="2"/>
      <c r="B283" s="4"/>
      <c r="C283" s="2"/>
      <c r="D283" s="2"/>
      <c r="E283" s="4"/>
      <c r="F283" s="2"/>
      <c r="G283" s="4"/>
      <c r="H283" s="4"/>
      <c r="I283" s="4"/>
      <c r="J283" s="4"/>
      <c r="K283" s="4"/>
      <c r="L283" s="4"/>
      <c r="M283" s="4"/>
      <c r="N283" s="4"/>
      <c r="O283" s="4"/>
      <c r="P283" s="4"/>
      <c r="Q283" s="4"/>
      <c r="R283" s="4"/>
      <c r="S283" s="4"/>
      <c r="T283" s="4"/>
      <c r="U283" s="4"/>
      <c r="V283" s="4"/>
      <c r="W283" s="4"/>
      <c r="X283" s="4"/>
      <c r="Y283" s="4"/>
      <c r="Z283" s="4"/>
    </row>
    <row r="284" ht="14.25" customHeight="1">
      <c r="A284" s="2"/>
      <c r="B284" s="4"/>
      <c r="C284" s="2"/>
      <c r="D284" s="2"/>
      <c r="E284" s="4"/>
      <c r="F284" s="2"/>
      <c r="G284" s="4"/>
      <c r="H284" s="4"/>
      <c r="I284" s="4"/>
      <c r="J284" s="4"/>
      <c r="K284" s="4"/>
      <c r="L284" s="4"/>
      <c r="M284" s="4"/>
      <c r="N284" s="4"/>
      <c r="O284" s="4"/>
      <c r="P284" s="4"/>
      <c r="Q284" s="4"/>
      <c r="R284" s="4"/>
      <c r="S284" s="4"/>
      <c r="T284" s="4"/>
      <c r="U284" s="4"/>
      <c r="V284" s="4"/>
      <c r="W284" s="4"/>
      <c r="X284" s="4"/>
      <c r="Y284" s="4"/>
      <c r="Z284" s="4"/>
    </row>
    <row r="285" ht="14.25" customHeight="1">
      <c r="A285" s="2"/>
      <c r="B285" s="4"/>
      <c r="C285" s="2"/>
      <c r="D285" s="2"/>
      <c r="E285" s="4"/>
      <c r="F285" s="2"/>
      <c r="G285" s="4"/>
      <c r="H285" s="4"/>
      <c r="I285" s="4"/>
      <c r="J285" s="4"/>
      <c r="K285" s="4"/>
      <c r="L285" s="4"/>
      <c r="M285" s="4"/>
      <c r="N285" s="4"/>
      <c r="O285" s="4"/>
      <c r="P285" s="4"/>
      <c r="Q285" s="4"/>
      <c r="R285" s="4"/>
      <c r="S285" s="4"/>
      <c r="T285" s="4"/>
      <c r="U285" s="4"/>
      <c r="V285" s="4"/>
      <c r="W285" s="4"/>
      <c r="X285" s="4"/>
      <c r="Y285" s="4"/>
      <c r="Z285" s="4"/>
    </row>
    <row r="286" ht="14.25" customHeight="1">
      <c r="A286" s="2"/>
      <c r="B286" s="4"/>
      <c r="C286" s="2"/>
      <c r="D286" s="2"/>
      <c r="E286" s="4"/>
      <c r="F286" s="2"/>
      <c r="G286" s="4"/>
      <c r="H286" s="4"/>
      <c r="I286" s="4"/>
      <c r="J286" s="4"/>
      <c r="K286" s="4"/>
      <c r="L286" s="4"/>
      <c r="M286" s="4"/>
      <c r="N286" s="4"/>
      <c r="O286" s="4"/>
      <c r="P286" s="4"/>
      <c r="Q286" s="4"/>
      <c r="R286" s="4"/>
      <c r="S286" s="4"/>
      <c r="T286" s="4"/>
      <c r="U286" s="4"/>
      <c r="V286" s="4"/>
      <c r="W286" s="4"/>
      <c r="X286" s="4"/>
      <c r="Y286" s="4"/>
      <c r="Z286" s="4"/>
    </row>
    <row r="287" ht="14.25" customHeight="1">
      <c r="A287" s="2"/>
      <c r="B287" s="4"/>
      <c r="C287" s="2"/>
      <c r="D287" s="2"/>
      <c r="E287" s="4"/>
      <c r="F287" s="2"/>
      <c r="G287" s="4"/>
      <c r="H287" s="4"/>
      <c r="I287" s="4"/>
      <c r="J287" s="4"/>
      <c r="K287" s="4"/>
      <c r="L287" s="4"/>
      <c r="M287" s="4"/>
      <c r="N287" s="4"/>
      <c r="O287" s="4"/>
      <c r="P287" s="4"/>
      <c r="Q287" s="4"/>
      <c r="R287" s="4"/>
      <c r="S287" s="4"/>
      <c r="T287" s="4"/>
      <c r="U287" s="4"/>
      <c r="V287" s="4"/>
      <c r="W287" s="4"/>
      <c r="X287" s="4"/>
      <c r="Y287" s="4"/>
      <c r="Z287" s="4"/>
    </row>
    <row r="288" ht="14.25" customHeight="1">
      <c r="A288" s="2"/>
      <c r="B288" s="4"/>
      <c r="C288" s="2"/>
      <c r="D288" s="2"/>
      <c r="E288" s="4"/>
      <c r="F288" s="2"/>
      <c r="G288" s="4"/>
      <c r="H288" s="4"/>
      <c r="I288" s="4"/>
      <c r="J288" s="4"/>
      <c r="K288" s="4"/>
      <c r="L288" s="4"/>
      <c r="M288" s="4"/>
      <c r="N288" s="4"/>
      <c r="O288" s="4"/>
      <c r="P288" s="4"/>
      <c r="Q288" s="4"/>
      <c r="R288" s="4"/>
      <c r="S288" s="4"/>
      <c r="T288" s="4"/>
      <c r="U288" s="4"/>
      <c r="V288" s="4"/>
      <c r="W288" s="4"/>
      <c r="X288" s="4"/>
      <c r="Y288" s="4"/>
      <c r="Z288" s="4"/>
    </row>
    <row r="289" ht="14.25" customHeight="1">
      <c r="A289" s="2"/>
      <c r="B289" s="4"/>
      <c r="C289" s="2"/>
      <c r="D289" s="2"/>
      <c r="E289" s="4"/>
      <c r="F289" s="2"/>
      <c r="G289" s="4"/>
      <c r="H289" s="4"/>
      <c r="I289" s="4"/>
      <c r="J289" s="4"/>
      <c r="K289" s="4"/>
      <c r="L289" s="4"/>
      <c r="M289" s="4"/>
      <c r="N289" s="4"/>
      <c r="O289" s="4"/>
      <c r="P289" s="4"/>
      <c r="Q289" s="4"/>
      <c r="R289" s="4"/>
      <c r="S289" s="4"/>
      <c r="T289" s="4"/>
      <c r="U289" s="4"/>
      <c r="V289" s="4"/>
      <c r="W289" s="4"/>
      <c r="X289" s="4"/>
      <c r="Y289" s="4"/>
      <c r="Z289" s="4"/>
    </row>
    <row r="290" ht="14.25" customHeight="1">
      <c r="A290" s="2"/>
      <c r="B290" s="4"/>
      <c r="C290" s="2"/>
      <c r="D290" s="2"/>
      <c r="E290" s="4"/>
      <c r="F290" s="2"/>
      <c r="G290" s="4"/>
      <c r="H290" s="4"/>
      <c r="I290" s="4"/>
      <c r="J290" s="4"/>
      <c r="K290" s="4"/>
      <c r="L290" s="4"/>
      <c r="M290" s="4"/>
      <c r="N290" s="4"/>
      <c r="O290" s="4"/>
      <c r="P290" s="4"/>
      <c r="Q290" s="4"/>
      <c r="R290" s="4"/>
      <c r="S290" s="4"/>
      <c r="T290" s="4"/>
      <c r="U290" s="4"/>
      <c r="V290" s="4"/>
      <c r="W290" s="4"/>
      <c r="X290" s="4"/>
      <c r="Y290" s="4"/>
      <c r="Z290" s="4"/>
    </row>
    <row r="291" ht="14.25" customHeight="1">
      <c r="A291" s="2"/>
      <c r="B291" s="4"/>
      <c r="C291" s="2"/>
      <c r="D291" s="2"/>
      <c r="E291" s="4"/>
      <c r="F291" s="2"/>
      <c r="G291" s="4"/>
      <c r="H291" s="4"/>
      <c r="I291" s="4"/>
      <c r="J291" s="4"/>
      <c r="K291" s="4"/>
      <c r="L291" s="4"/>
      <c r="M291" s="4"/>
      <c r="N291" s="4"/>
      <c r="O291" s="4"/>
      <c r="P291" s="4"/>
      <c r="Q291" s="4"/>
      <c r="R291" s="4"/>
      <c r="S291" s="4"/>
      <c r="T291" s="4"/>
      <c r="U291" s="4"/>
      <c r="V291" s="4"/>
      <c r="W291" s="4"/>
      <c r="X291" s="4"/>
      <c r="Y291" s="4"/>
      <c r="Z291" s="4"/>
    </row>
    <row r="292" ht="14.25" customHeight="1">
      <c r="A292" s="2"/>
      <c r="B292" s="4"/>
      <c r="C292" s="2"/>
      <c r="D292" s="2"/>
      <c r="E292" s="4"/>
      <c r="F292" s="2"/>
      <c r="G292" s="4"/>
      <c r="H292" s="4"/>
      <c r="I292" s="4"/>
      <c r="J292" s="4"/>
      <c r="K292" s="4"/>
      <c r="L292" s="4"/>
      <c r="M292" s="4"/>
      <c r="N292" s="4"/>
      <c r="O292" s="4"/>
      <c r="P292" s="4"/>
      <c r="Q292" s="4"/>
      <c r="R292" s="4"/>
      <c r="S292" s="4"/>
      <c r="T292" s="4"/>
      <c r="U292" s="4"/>
      <c r="V292" s="4"/>
      <c r="W292" s="4"/>
      <c r="X292" s="4"/>
      <c r="Y292" s="4"/>
      <c r="Z292" s="4"/>
    </row>
    <row r="293" ht="14.25" customHeight="1">
      <c r="A293" s="2"/>
      <c r="B293" s="4"/>
      <c r="C293" s="2"/>
      <c r="D293" s="2"/>
      <c r="E293" s="4"/>
      <c r="F293" s="2"/>
      <c r="G293" s="4"/>
      <c r="H293" s="4"/>
      <c r="I293" s="4"/>
      <c r="J293" s="4"/>
      <c r="K293" s="4"/>
      <c r="L293" s="4"/>
      <c r="M293" s="4"/>
      <c r="N293" s="4"/>
      <c r="O293" s="4"/>
      <c r="P293" s="4"/>
      <c r="Q293" s="4"/>
      <c r="R293" s="4"/>
      <c r="S293" s="4"/>
      <c r="T293" s="4"/>
      <c r="U293" s="4"/>
      <c r="V293" s="4"/>
      <c r="W293" s="4"/>
      <c r="X293" s="4"/>
      <c r="Y293" s="4"/>
      <c r="Z293" s="4"/>
    </row>
    <row r="294" ht="14.25" customHeight="1">
      <c r="A294" s="2"/>
      <c r="B294" s="4"/>
      <c r="C294" s="2"/>
      <c r="D294" s="2"/>
      <c r="E294" s="4"/>
      <c r="F294" s="2"/>
      <c r="G294" s="4"/>
      <c r="H294" s="4"/>
      <c r="I294" s="4"/>
      <c r="J294" s="4"/>
      <c r="K294" s="4"/>
      <c r="L294" s="4"/>
      <c r="M294" s="4"/>
      <c r="N294" s="4"/>
      <c r="O294" s="4"/>
      <c r="P294" s="4"/>
      <c r="Q294" s="4"/>
      <c r="R294" s="4"/>
      <c r="S294" s="4"/>
      <c r="T294" s="4"/>
      <c r="U294" s="4"/>
      <c r="V294" s="4"/>
      <c r="W294" s="4"/>
      <c r="X294" s="4"/>
      <c r="Y294" s="4"/>
      <c r="Z294" s="4"/>
    </row>
    <row r="295" ht="14.25" customHeight="1">
      <c r="A295" s="2"/>
      <c r="B295" s="4"/>
      <c r="C295" s="2"/>
      <c r="D295" s="2"/>
      <c r="E295" s="4"/>
      <c r="F295" s="2"/>
      <c r="G295" s="4"/>
      <c r="H295" s="4"/>
      <c r="I295" s="4"/>
      <c r="J295" s="4"/>
      <c r="K295" s="4"/>
      <c r="L295" s="4"/>
      <c r="M295" s="4"/>
      <c r="N295" s="4"/>
      <c r="O295" s="4"/>
      <c r="P295" s="4"/>
      <c r="Q295" s="4"/>
      <c r="R295" s="4"/>
      <c r="S295" s="4"/>
      <c r="T295" s="4"/>
      <c r="U295" s="4"/>
      <c r="V295" s="4"/>
      <c r="W295" s="4"/>
      <c r="X295" s="4"/>
      <c r="Y295" s="4"/>
      <c r="Z295" s="4"/>
    </row>
    <row r="296" ht="14.25" customHeight="1">
      <c r="A296" s="2"/>
      <c r="B296" s="4"/>
      <c r="C296" s="2"/>
      <c r="D296" s="2"/>
      <c r="E296" s="4"/>
      <c r="F296" s="2"/>
      <c r="G296" s="4"/>
      <c r="H296" s="4"/>
      <c r="I296" s="4"/>
      <c r="J296" s="4"/>
      <c r="K296" s="4"/>
      <c r="L296" s="4"/>
      <c r="M296" s="4"/>
      <c r="N296" s="4"/>
      <c r="O296" s="4"/>
      <c r="P296" s="4"/>
      <c r="Q296" s="4"/>
      <c r="R296" s="4"/>
      <c r="S296" s="4"/>
      <c r="T296" s="4"/>
      <c r="U296" s="4"/>
      <c r="V296" s="4"/>
      <c r="W296" s="4"/>
      <c r="X296" s="4"/>
      <c r="Y296" s="4"/>
      <c r="Z296" s="4"/>
    </row>
    <row r="297" ht="14.25" customHeight="1">
      <c r="A297" s="2"/>
      <c r="B297" s="4"/>
      <c r="C297" s="2"/>
      <c r="D297" s="2"/>
      <c r="E297" s="4"/>
      <c r="F297" s="2"/>
      <c r="G297" s="4"/>
      <c r="H297" s="4"/>
      <c r="I297" s="4"/>
      <c r="J297" s="4"/>
      <c r="K297" s="4"/>
      <c r="L297" s="4"/>
      <c r="M297" s="4"/>
      <c r="N297" s="4"/>
      <c r="O297" s="4"/>
      <c r="P297" s="4"/>
      <c r="Q297" s="4"/>
      <c r="R297" s="4"/>
      <c r="S297" s="4"/>
      <c r="T297" s="4"/>
      <c r="U297" s="4"/>
      <c r="V297" s="4"/>
      <c r="W297" s="4"/>
      <c r="X297" s="4"/>
      <c r="Y297" s="4"/>
      <c r="Z297" s="4"/>
    </row>
    <row r="298" ht="14.25" customHeight="1">
      <c r="A298" s="2"/>
      <c r="B298" s="4"/>
      <c r="C298" s="2"/>
      <c r="D298" s="2"/>
      <c r="E298" s="4"/>
      <c r="F298" s="2"/>
      <c r="G298" s="4"/>
      <c r="H298" s="4"/>
      <c r="I298" s="4"/>
      <c r="J298" s="4"/>
      <c r="K298" s="4"/>
      <c r="L298" s="4"/>
      <c r="M298" s="4"/>
      <c r="N298" s="4"/>
      <c r="O298" s="4"/>
      <c r="P298" s="4"/>
      <c r="Q298" s="4"/>
      <c r="R298" s="4"/>
      <c r="S298" s="4"/>
      <c r="T298" s="4"/>
      <c r="U298" s="4"/>
      <c r="V298" s="4"/>
      <c r="W298" s="4"/>
      <c r="X298" s="4"/>
      <c r="Y298" s="4"/>
      <c r="Z298" s="4"/>
    </row>
    <row r="299" ht="14.25" customHeight="1">
      <c r="A299" s="2"/>
      <c r="B299" s="4"/>
      <c r="C299" s="2"/>
      <c r="D299" s="2"/>
      <c r="E299" s="4"/>
      <c r="F299" s="2"/>
      <c r="G299" s="4"/>
      <c r="H299" s="4"/>
      <c r="I299" s="4"/>
      <c r="J299" s="4"/>
      <c r="K299" s="4"/>
      <c r="L299" s="4"/>
      <c r="M299" s="4"/>
      <c r="N299" s="4"/>
      <c r="O299" s="4"/>
      <c r="P299" s="4"/>
      <c r="Q299" s="4"/>
      <c r="R299" s="4"/>
      <c r="S299" s="4"/>
      <c r="T299" s="4"/>
      <c r="U299" s="4"/>
      <c r="V299" s="4"/>
      <c r="W299" s="4"/>
      <c r="X299" s="4"/>
      <c r="Y299" s="4"/>
      <c r="Z299" s="4"/>
    </row>
    <row r="300" ht="14.25" customHeight="1">
      <c r="A300" s="2"/>
      <c r="B300" s="4"/>
      <c r="C300" s="2"/>
      <c r="D300" s="2"/>
      <c r="E300" s="4"/>
      <c r="F300" s="2"/>
      <c r="G300" s="4"/>
      <c r="H300" s="4"/>
      <c r="I300" s="4"/>
      <c r="J300" s="4"/>
      <c r="K300" s="4"/>
      <c r="L300" s="4"/>
      <c r="M300" s="4"/>
      <c r="N300" s="4"/>
      <c r="O300" s="4"/>
      <c r="P300" s="4"/>
      <c r="Q300" s="4"/>
      <c r="R300" s="4"/>
      <c r="S300" s="4"/>
      <c r="T300" s="4"/>
      <c r="U300" s="4"/>
      <c r="V300" s="4"/>
      <c r="W300" s="4"/>
      <c r="X300" s="4"/>
      <c r="Y300" s="4"/>
      <c r="Z300" s="4"/>
    </row>
    <row r="301" ht="14.25" customHeight="1">
      <c r="A301" s="2"/>
      <c r="B301" s="4"/>
      <c r="C301" s="2"/>
      <c r="D301" s="2"/>
      <c r="E301" s="4"/>
      <c r="F301" s="2"/>
      <c r="G301" s="4"/>
      <c r="H301" s="4"/>
      <c r="I301" s="4"/>
      <c r="J301" s="4"/>
      <c r="K301" s="4"/>
      <c r="L301" s="4"/>
      <c r="M301" s="4"/>
      <c r="N301" s="4"/>
      <c r="O301" s="4"/>
      <c r="P301" s="4"/>
      <c r="Q301" s="4"/>
      <c r="R301" s="4"/>
      <c r="S301" s="4"/>
      <c r="T301" s="4"/>
      <c r="U301" s="4"/>
      <c r="V301" s="4"/>
      <c r="W301" s="4"/>
      <c r="X301" s="4"/>
      <c r="Y301" s="4"/>
      <c r="Z301" s="4"/>
    </row>
    <row r="302" ht="14.25" customHeight="1">
      <c r="A302" s="2"/>
      <c r="B302" s="4"/>
      <c r="C302" s="2"/>
      <c r="D302" s="2"/>
      <c r="E302" s="4"/>
      <c r="F302" s="2"/>
      <c r="G302" s="4"/>
      <c r="H302" s="4"/>
      <c r="I302" s="4"/>
      <c r="J302" s="4"/>
      <c r="K302" s="4"/>
      <c r="L302" s="4"/>
      <c r="M302" s="4"/>
      <c r="N302" s="4"/>
      <c r="O302" s="4"/>
      <c r="P302" s="4"/>
      <c r="Q302" s="4"/>
      <c r="R302" s="4"/>
      <c r="S302" s="4"/>
      <c r="T302" s="4"/>
      <c r="U302" s="4"/>
      <c r="V302" s="4"/>
      <c r="W302" s="4"/>
      <c r="X302" s="4"/>
      <c r="Y302" s="4"/>
      <c r="Z302" s="4"/>
    </row>
    <row r="303" ht="14.25" customHeight="1">
      <c r="A303" s="2"/>
      <c r="B303" s="4"/>
      <c r="C303" s="2"/>
      <c r="D303" s="2"/>
      <c r="E303" s="4"/>
      <c r="F303" s="2"/>
      <c r="G303" s="4"/>
      <c r="H303" s="4"/>
      <c r="I303" s="4"/>
      <c r="J303" s="4"/>
      <c r="K303" s="4"/>
      <c r="L303" s="4"/>
      <c r="M303" s="4"/>
      <c r="N303" s="4"/>
      <c r="O303" s="4"/>
      <c r="P303" s="4"/>
      <c r="Q303" s="4"/>
      <c r="R303" s="4"/>
      <c r="S303" s="4"/>
      <c r="T303" s="4"/>
      <c r="U303" s="4"/>
      <c r="V303" s="4"/>
      <c r="W303" s="4"/>
      <c r="X303" s="4"/>
      <c r="Y303" s="4"/>
      <c r="Z303" s="4"/>
    </row>
    <row r="304" ht="14.25" customHeight="1">
      <c r="A304" s="2"/>
      <c r="B304" s="4"/>
      <c r="C304" s="2"/>
      <c r="D304" s="2"/>
      <c r="E304" s="4"/>
      <c r="F304" s="2"/>
      <c r="G304" s="4"/>
      <c r="H304" s="4"/>
      <c r="I304" s="4"/>
      <c r="J304" s="4"/>
      <c r="K304" s="4"/>
      <c r="L304" s="4"/>
      <c r="M304" s="4"/>
      <c r="N304" s="4"/>
      <c r="O304" s="4"/>
      <c r="P304" s="4"/>
      <c r="Q304" s="4"/>
      <c r="R304" s="4"/>
      <c r="S304" s="4"/>
      <c r="T304" s="4"/>
      <c r="U304" s="4"/>
      <c r="V304" s="4"/>
      <c r="W304" s="4"/>
      <c r="X304" s="4"/>
      <c r="Y304" s="4"/>
      <c r="Z304" s="4"/>
    </row>
    <row r="305" ht="14.25" customHeight="1">
      <c r="A305" s="2"/>
      <c r="B305" s="4"/>
      <c r="C305" s="2"/>
      <c r="D305" s="2"/>
      <c r="E305" s="4"/>
      <c r="F305" s="2"/>
      <c r="G305" s="4"/>
      <c r="H305" s="4"/>
      <c r="I305" s="4"/>
      <c r="J305" s="4"/>
      <c r="K305" s="4"/>
      <c r="L305" s="4"/>
      <c r="M305" s="4"/>
      <c r="N305" s="4"/>
      <c r="O305" s="4"/>
      <c r="P305" s="4"/>
      <c r="Q305" s="4"/>
      <c r="R305" s="4"/>
      <c r="S305" s="4"/>
      <c r="T305" s="4"/>
      <c r="U305" s="4"/>
      <c r="V305" s="4"/>
      <c r="W305" s="4"/>
      <c r="X305" s="4"/>
      <c r="Y305" s="4"/>
      <c r="Z305" s="4"/>
    </row>
    <row r="306" ht="14.25" customHeight="1">
      <c r="A306" s="2"/>
      <c r="B306" s="4"/>
      <c r="C306" s="2"/>
      <c r="D306" s="2"/>
      <c r="E306" s="4"/>
      <c r="F306" s="2"/>
      <c r="G306" s="4"/>
      <c r="H306" s="4"/>
      <c r="I306" s="4"/>
      <c r="J306" s="4"/>
      <c r="K306" s="4"/>
      <c r="L306" s="4"/>
      <c r="M306" s="4"/>
      <c r="N306" s="4"/>
      <c r="O306" s="4"/>
      <c r="P306" s="4"/>
      <c r="Q306" s="4"/>
      <c r="R306" s="4"/>
      <c r="S306" s="4"/>
      <c r="T306" s="4"/>
      <c r="U306" s="4"/>
      <c r="V306" s="4"/>
      <c r="W306" s="4"/>
      <c r="X306" s="4"/>
      <c r="Y306" s="4"/>
      <c r="Z306" s="4"/>
    </row>
    <row r="307" ht="14.25" customHeight="1">
      <c r="A307" s="2"/>
      <c r="B307" s="4"/>
      <c r="C307" s="2"/>
      <c r="D307" s="2"/>
      <c r="E307" s="4"/>
      <c r="F307" s="2"/>
      <c r="G307" s="4"/>
      <c r="H307" s="4"/>
      <c r="I307" s="4"/>
      <c r="J307" s="4"/>
      <c r="K307" s="4"/>
      <c r="L307" s="4"/>
      <c r="M307" s="4"/>
      <c r="N307" s="4"/>
      <c r="O307" s="4"/>
      <c r="P307" s="4"/>
      <c r="Q307" s="4"/>
      <c r="R307" s="4"/>
      <c r="S307" s="4"/>
      <c r="T307" s="4"/>
      <c r="U307" s="4"/>
      <c r="V307" s="4"/>
      <c r="W307" s="4"/>
      <c r="X307" s="4"/>
      <c r="Y307" s="4"/>
      <c r="Z307" s="4"/>
    </row>
    <row r="308" ht="14.25" customHeight="1">
      <c r="A308" s="2"/>
      <c r="B308" s="4"/>
      <c r="C308" s="2"/>
      <c r="D308" s="2"/>
      <c r="E308" s="4"/>
      <c r="F308" s="2"/>
      <c r="G308" s="4"/>
      <c r="H308" s="4"/>
      <c r="I308" s="4"/>
      <c r="J308" s="4"/>
      <c r="K308" s="4"/>
      <c r="L308" s="4"/>
      <c r="M308" s="4"/>
      <c r="N308" s="4"/>
      <c r="O308" s="4"/>
      <c r="P308" s="4"/>
      <c r="Q308" s="4"/>
      <c r="R308" s="4"/>
      <c r="S308" s="4"/>
      <c r="T308" s="4"/>
      <c r="U308" s="4"/>
      <c r="V308" s="4"/>
      <c r="W308" s="4"/>
      <c r="X308" s="4"/>
      <c r="Y308" s="4"/>
      <c r="Z308" s="4"/>
    </row>
    <row r="309" ht="14.25" customHeight="1">
      <c r="A309" s="2"/>
      <c r="B309" s="4"/>
      <c r="C309" s="2"/>
      <c r="D309" s="2"/>
      <c r="E309" s="4"/>
      <c r="F309" s="2"/>
      <c r="G309" s="4"/>
      <c r="H309" s="4"/>
      <c r="I309" s="4"/>
      <c r="J309" s="4"/>
      <c r="K309" s="4"/>
      <c r="L309" s="4"/>
      <c r="M309" s="4"/>
      <c r="N309" s="4"/>
      <c r="O309" s="4"/>
      <c r="P309" s="4"/>
      <c r="Q309" s="4"/>
      <c r="R309" s="4"/>
      <c r="S309" s="4"/>
      <c r="T309" s="4"/>
      <c r="U309" s="4"/>
      <c r="V309" s="4"/>
      <c r="W309" s="4"/>
      <c r="X309" s="4"/>
      <c r="Y309" s="4"/>
      <c r="Z309" s="4"/>
    </row>
    <row r="310" ht="14.25" customHeight="1">
      <c r="A310" s="2"/>
      <c r="B310" s="4"/>
      <c r="C310" s="2"/>
      <c r="D310" s="2"/>
      <c r="E310" s="4"/>
      <c r="F310" s="2"/>
      <c r="G310" s="4"/>
      <c r="H310" s="4"/>
      <c r="I310" s="4"/>
      <c r="J310" s="4"/>
      <c r="K310" s="4"/>
      <c r="L310" s="4"/>
      <c r="M310" s="4"/>
      <c r="N310" s="4"/>
      <c r="O310" s="4"/>
      <c r="P310" s="4"/>
      <c r="Q310" s="4"/>
      <c r="R310" s="4"/>
      <c r="S310" s="4"/>
      <c r="T310" s="4"/>
      <c r="U310" s="4"/>
      <c r="V310" s="4"/>
      <c r="W310" s="4"/>
      <c r="X310" s="4"/>
      <c r="Y310" s="4"/>
      <c r="Z310" s="4"/>
    </row>
    <row r="311" ht="14.25" customHeight="1">
      <c r="A311" s="2"/>
      <c r="B311" s="4"/>
      <c r="C311" s="2"/>
      <c r="D311" s="2"/>
      <c r="E311" s="4"/>
      <c r="F311" s="2"/>
      <c r="G311" s="4"/>
      <c r="H311" s="4"/>
      <c r="I311" s="4"/>
      <c r="J311" s="4"/>
      <c r="K311" s="4"/>
      <c r="L311" s="4"/>
      <c r="M311" s="4"/>
      <c r="N311" s="4"/>
      <c r="O311" s="4"/>
      <c r="P311" s="4"/>
      <c r="Q311" s="4"/>
      <c r="R311" s="4"/>
      <c r="S311" s="4"/>
      <c r="T311" s="4"/>
      <c r="U311" s="4"/>
      <c r="V311" s="4"/>
      <c r="W311" s="4"/>
      <c r="X311" s="4"/>
      <c r="Y311" s="4"/>
      <c r="Z311" s="4"/>
    </row>
    <row r="312" ht="14.25" customHeight="1">
      <c r="A312" s="2"/>
      <c r="B312" s="4"/>
      <c r="C312" s="2"/>
      <c r="D312" s="2"/>
      <c r="E312" s="4"/>
      <c r="F312" s="2"/>
      <c r="G312" s="4"/>
      <c r="H312" s="4"/>
      <c r="I312" s="4"/>
      <c r="J312" s="4"/>
      <c r="K312" s="4"/>
      <c r="L312" s="4"/>
      <c r="M312" s="4"/>
      <c r="N312" s="4"/>
      <c r="O312" s="4"/>
      <c r="P312" s="4"/>
      <c r="Q312" s="4"/>
      <c r="R312" s="4"/>
      <c r="S312" s="4"/>
      <c r="T312" s="4"/>
      <c r="U312" s="4"/>
      <c r="V312" s="4"/>
      <c r="W312" s="4"/>
      <c r="X312" s="4"/>
      <c r="Y312" s="4"/>
      <c r="Z312" s="4"/>
    </row>
    <row r="313" ht="14.25" customHeight="1">
      <c r="A313" s="2"/>
      <c r="B313" s="4"/>
      <c r="C313" s="2"/>
      <c r="D313" s="2"/>
      <c r="E313" s="4"/>
      <c r="F313" s="2"/>
      <c r="G313" s="4"/>
      <c r="H313" s="4"/>
      <c r="I313" s="4"/>
      <c r="J313" s="4"/>
      <c r="K313" s="4"/>
      <c r="L313" s="4"/>
      <c r="M313" s="4"/>
      <c r="N313" s="4"/>
      <c r="O313" s="4"/>
      <c r="P313" s="4"/>
      <c r="Q313" s="4"/>
      <c r="R313" s="4"/>
      <c r="S313" s="4"/>
      <c r="T313" s="4"/>
      <c r="U313" s="4"/>
      <c r="V313" s="4"/>
      <c r="W313" s="4"/>
      <c r="X313" s="4"/>
      <c r="Y313" s="4"/>
      <c r="Z313" s="4"/>
    </row>
    <row r="314" ht="14.25" customHeight="1">
      <c r="A314" s="2"/>
      <c r="B314" s="4"/>
      <c r="C314" s="2"/>
      <c r="D314" s="2"/>
      <c r="E314" s="4"/>
      <c r="F314" s="2"/>
      <c r="G314" s="4"/>
      <c r="H314" s="4"/>
      <c r="I314" s="4"/>
      <c r="J314" s="4"/>
      <c r="K314" s="4"/>
      <c r="L314" s="4"/>
      <c r="M314" s="4"/>
      <c r="N314" s="4"/>
      <c r="O314" s="4"/>
      <c r="P314" s="4"/>
      <c r="Q314" s="4"/>
      <c r="R314" s="4"/>
      <c r="S314" s="4"/>
      <c r="T314" s="4"/>
      <c r="U314" s="4"/>
      <c r="V314" s="4"/>
      <c r="W314" s="4"/>
      <c r="X314" s="4"/>
      <c r="Y314" s="4"/>
      <c r="Z314" s="4"/>
    </row>
    <row r="315" ht="14.25" customHeight="1">
      <c r="A315" s="2"/>
      <c r="B315" s="4"/>
      <c r="C315" s="2"/>
      <c r="D315" s="2"/>
      <c r="E315" s="4"/>
      <c r="F315" s="2"/>
      <c r="G315" s="4"/>
      <c r="H315" s="4"/>
      <c r="I315" s="4"/>
      <c r="J315" s="4"/>
      <c r="K315" s="4"/>
      <c r="L315" s="4"/>
      <c r="M315" s="4"/>
      <c r="N315" s="4"/>
      <c r="O315" s="4"/>
      <c r="P315" s="4"/>
      <c r="Q315" s="4"/>
      <c r="R315" s="4"/>
      <c r="S315" s="4"/>
      <c r="T315" s="4"/>
      <c r="U315" s="4"/>
      <c r="V315" s="4"/>
      <c r="W315" s="4"/>
      <c r="X315" s="4"/>
      <c r="Y315" s="4"/>
      <c r="Z315" s="4"/>
    </row>
    <row r="316" ht="14.25" customHeight="1">
      <c r="A316" s="2"/>
      <c r="B316" s="4"/>
      <c r="C316" s="2"/>
      <c r="D316" s="2"/>
      <c r="E316" s="4"/>
      <c r="F316" s="2"/>
      <c r="G316" s="4"/>
      <c r="H316" s="4"/>
      <c r="I316" s="4"/>
      <c r="J316" s="4"/>
      <c r="K316" s="4"/>
      <c r="L316" s="4"/>
      <c r="M316" s="4"/>
      <c r="N316" s="4"/>
      <c r="O316" s="4"/>
      <c r="P316" s="4"/>
      <c r="Q316" s="4"/>
      <c r="R316" s="4"/>
      <c r="S316" s="4"/>
      <c r="T316" s="4"/>
      <c r="U316" s="4"/>
      <c r="V316" s="4"/>
      <c r="W316" s="4"/>
      <c r="X316" s="4"/>
      <c r="Y316" s="4"/>
      <c r="Z316" s="4"/>
    </row>
    <row r="317" ht="14.25" customHeight="1">
      <c r="A317" s="2"/>
      <c r="B317" s="4"/>
      <c r="C317" s="2"/>
      <c r="D317" s="2"/>
      <c r="E317" s="4"/>
      <c r="F317" s="2"/>
      <c r="G317" s="4"/>
      <c r="H317" s="4"/>
      <c r="I317" s="4"/>
      <c r="J317" s="4"/>
      <c r="K317" s="4"/>
      <c r="L317" s="4"/>
      <c r="M317" s="4"/>
      <c r="N317" s="4"/>
      <c r="O317" s="4"/>
      <c r="P317" s="4"/>
      <c r="Q317" s="4"/>
      <c r="R317" s="4"/>
      <c r="S317" s="4"/>
      <c r="T317" s="4"/>
      <c r="U317" s="4"/>
      <c r="V317" s="4"/>
      <c r="W317" s="4"/>
      <c r="X317" s="4"/>
      <c r="Y317" s="4"/>
      <c r="Z317" s="4"/>
    </row>
    <row r="318" ht="14.25" customHeight="1">
      <c r="A318" s="2"/>
      <c r="B318" s="4"/>
      <c r="C318" s="2"/>
      <c r="D318" s="2"/>
      <c r="E318" s="4"/>
      <c r="F318" s="2"/>
      <c r="G318" s="4"/>
      <c r="H318" s="4"/>
      <c r="I318" s="4"/>
      <c r="J318" s="4"/>
      <c r="K318" s="4"/>
      <c r="L318" s="4"/>
      <c r="M318" s="4"/>
      <c r="N318" s="4"/>
      <c r="O318" s="4"/>
      <c r="P318" s="4"/>
      <c r="Q318" s="4"/>
      <c r="R318" s="4"/>
      <c r="S318" s="4"/>
      <c r="T318" s="4"/>
      <c r="U318" s="4"/>
      <c r="V318" s="4"/>
      <c r="W318" s="4"/>
      <c r="X318" s="4"/>
      <c r="Y318" s="4"/>
      <c r="Z318" s="4"/>
    </row>
    <row r="319" ht="14.25" customHeight="1">
      <c r="A319" s="2"/>
      <c r="B319" s="4"/>
      <c r="C319" s="2"/>
      <c r="D319" s="2"/>
      <c r="E319" s="4"/>
      <c r="F319" s="2"/>
      <c r="G319" s="4"/>
      <c r="H319" s="4"/>
      <c r="I319" s="4"/>
      <c r="J319" s="4"/>
      <c r="K319" s="4"/>
      <c r="L319" s="4"/>
      <c r="M319" s="4"/>
      <c r="N319" s="4"/>
      <c r="O319" s="4"/>
      <c r="P319" s="4"/>
      <c r="Q319" s="4"/>
      <c r="R319" s="4"/>
      <c r="S319" s="4"/>
      <c r="T319" s="4"/>
      <c r="U319" s="4"/>
      <c r="V319" s="4"/>
      <c r="W319" s="4"/>
      <c r="X319" s="4"/>
      <c r="Y319" s="4"/>
      <c r="Z319" s="4"/>
    </row>
    <row r="320" ht="14.25" customHeight="1">
      <c r="A320" s="2"/>
      <c r="B320" s="4"/>
      <c r="C320" s="2"/>
      <c r="D320" s="2"/>
      <c r="E320" s="4"/>
      <c r="F320" s="2"/>
      <c r="G320" s="4"/>
      <c r="H320" s="4"/>
      <c r="I320" s="4"/>
      <c r="J320" s="4"/>
      <c r="K320" s="4"/>
      <c r="L320" s="4"/>
      <c r="M320" s="4"/>
      <c r="N320" s="4"/>
      <c r="O320" s="4"/>
      <c r="P320" s="4"/>
      <c r="Q320" s="4"/>
      <c r="R320" s="4"/>
      <c r="S320" s="4"/>
      <c r="T320" s="4"/>
      <c r="U320" s="4"/>
      <c r="V320" s="4"/>
      <c r="W320" s="4"/>
      <c r="X320" s="4"/>
      <c r="Y320" s="4"/>
      <c r="Z320" s="4"/>
    </row>
    <row r="321" ht="14.25" customHeight="1">
      <c r="A321" s="2"/>
      <c r="B321" s="4"/>
      <c r="C321" s="2"/>
      <c r="D321" s="2"/>
      <c r="E321" s="4"/>
      <c r="F321" s="2"/>
      <c r="G321" s="4"/>
      <c r="H321" s="4"/>
      <c r="I321" s="4"/>
      <c r="J321" s="4"/>
      <c r="K321" s="4"/>
      <c r="L321" s="4"/>
      <c r="M321" s="4"/>
      <c r="N321" s="4"/>
      <c r="O321" s="4"/>
      <c r="P321" s="4"/>
      <c r="Q321" s="4"/>
      <c r="R321" s="4"/>
      <c r="S321" s="4"/>
      <c r="T321" s="4"/>
      <c r="U321" s="4"/>
      <c r="V321" s="4"/>
      <c r="W321" s="4"/>
      <c r="X321" s="4"/>
      <c r="Y321" s="4"/>
      <c r="Z321" s="4"/>
    </row>
    <row r="322" ht="14.25" customHeight="1">
      <c r="A322" s="2"/>
      <c r="B322" s="4"/>
      <c r="C322" s="2"/>
      <c r="D322" s="2"/>
      <c r="E322" s="4"/>
      <c r="F322" s="2"/>
      <c r="G322" s="4"/>
      <c r="H322" s="4"/>
      <c r="I322" s="4"/>
      <c r="J322" s="4"/>
      <c r="K322" s="4"/>
      <c r="L322" s="4"/>
      <c r="M322" s="4"/>
      <c r="N322" s="4"/>
      <c r="O322" s="4"/>
      <c r="P322" s="4"/>
      <c r="Q322" s="4"/>
      <c r="R322" s="4"/>
      <c r="S322" s="4"/>
      <c r="T322" s="4"/>
      <c r="U322" s="4"/>
      <c r="V322" s="4"/>
      <c r="W322" s="4"/>
      <c r="X322" s="4"/>
      <c r="Y322" s="4"/>
      <c r="Z322" s="4"/>
    </row>
    <row r="323" ht="14.25" customHeight="1">
      <c r="A323" s="2"/>
      <c r="B323" s="4"/>
      <c r="C323" s="2"/>
      <c r="D323" s="2"/>
      <c r="E323" s="4"/>
      <c r="F323" s="2"/>
      <c r="G323" s="4"/>
      <c r="H323" s="4"/>
      <c r="I323" s="4"/>
      <c r="J323" s="4"/>
      <c r="K323" s="4"/>
      <c r="L323" s="4"/>
      <c r="M323" s="4"/>
      <c r="N323" s="4"/>
      <c r="O323" s="4"/>
      <c r="P323" s="4"/>
      <c r="Q323" s="4"/>
      <c r="R323" s="4"/>
      <c r="S323" s="4"/>
      <c r="T323" s="4"/>
      <c r="U323" s="4"/>
      <c r="V323" s="4"/>
      <c r="W323" s="4"/>
      <c r="X323" s="4"/>
      <c r="Y323" s="4"/>
      <c r="Z323" s="4"/>
    </row>
    <row r="324" ht="14.25" customHeight="1">
      <c r="A324" s="2"/>
      <c r="B324" s="4"/>
      <c r="C324" s="2"/>
      <c r="D324" s="2"/>
      <c r="E324" s="4"/>
      <c r="F324" s="2"/>
      <c r="G324" s="4"/>
      <c r="H324" s="4"/>
      <c r="I324" s="4"/>
      <c r="J324" s="4"/>
      <c r="K324" s="4"/>
      <c r="L324" s="4"/>
      <c r="M324" s="4"/>
      <c r="N324" s="4"/>
      <c r="O324" s="4"/>
      <c r="P324" s="4"/>
      <c r="Q324" s="4"/>
      <c r="R324" s="4"/>
      <c r="S324" s="4"/>
      <c r="T324" s="4"/>
      <c r="U324" s="4"/>
      <c r="V324" s="4"/>
      <c r="W324" s="4"/>
      <c r="X324" s="4"/>
      <c r="Y324" s="4"/>
      <c r="Z324" s="4"/>
    </row>
    <row r="325" ht="14.25" customHeight="1">
      <c r="A325" s="2"/>
      <c r="B325" s="4"/>
      <c r="C325" s="2"/>
      <c r="D325" s="2"/>
      <c r="E325" s="4"/>
      <c r="F325" s="2"/>
      <c r="G325" s="4"/>
      <c r="H325" s="4"/>
      <c r="I325" s="4"/>
      <c r="J325" s="4"/>
      <c r="K325" s="4"/>
      <c r="L325" s="4"/>
      <c r="M325" s="4"/>
      <c r="N325" s="4"/>
      <c r="O325" s="4"/>
      <c r="P325" s="4"/>
      <c r="Q325" s="4"/>
      <c r="R325" s="4"/>
      <c r="S325" s="4"/>
      <c r="T325" s="4"/>
      <c r="U325" s="4"/>
      <c r="V325" s="4"/>
      <c r="W325" s="4"/>
      <c r="X325" s="4"/>
      <c r="Y325" s="4"/>
      <c r="Z325" s="4"/>
    </row>
    <row r="326" ht="14.25" customHeight="1">
      <c r="A326" s="2"/>
      <c r="B326" s="4"/>
      <c r="C326" s="2"/>
      <c r="D326" s="2"/>
      <c r="E326" s="4"/>
      <c r="F326" s="2"/>
      <c r="G326" s="4"/>
      <c r="H326" s="4"/>
      <c r="I326" s="4"/>
      <c r="J326" s="4"/>
      <c r="K326" s="4"/>
      <c r="L326" s="4"/>
      <c r="M326" s="4"/>
      <c r="N326" s="4"/>
      <c r="O326" s="4"/>
      <c r="P326" s="4"/>
      <c r="Q326" s="4"/>
      <c r="R326" s="4"/>
      <c r="S326" s="4"/>
      <c r="T326" s="4"/>
      <c r="U326" s="4"/>
      <c r="V326" s="4"/>
      <c r="W326" s="4"/>
      <c r="X326" s="4"/>
      <c r="Y326" s="4"/>
      <c r="Z326" s="4"/>
    </row>
    <row r="327" ht="14.25" customHeight="1">
      <c r="A327" s="2"/>
      <c r="B327" s="4"/>
      <c r="C327" s="2"/>
      <c r="D327" s="2"/>
      <c r="E327" s="4"/>
      <c r="F327" s="2"/>
      <c r="G327" s="4"/>
      <c r="H327" s="4"/>
      <c r="I327" s="4"/>
      <c r="J327" s="4"/>
      <c r="K327" s="4"/>
      <c r="L327" s="4"/>
      <c r="M327" s="4"/>
      <c r="N327" s="4"/>
      <c r="O327" s="4"/>
      <c r="P327" s="4"/>
      <c r="Q327" s="4"/>
      <c r="R327" s="4"/>
      <c r="S327" s="4"/>
      <c r="T327" s="4"/>
      <c r="U327" s="4"/>
      <c r="V327" s="4"/>
      <c r="W327" s="4"/>
      <c r="X327" s="4"/>
      <c r="Y327" s="4"/>
      <c r="Z327" s="4"/>
    </row>
    <row r="328" ht="14.25" customHeight="1">
      <c r="A328" s="2"/>
      <c r="B328" s="4"/>
      <c r="C328" s="2"/>
      <c r="D328" s="2"/>
      <c r="E328" s="4"/>
      <c r="F328" s="2"/>
      <c r="G328" s="4"/>
      <c r="H328" s="4"/>
      <c r="I328" s="4"/>
      <c r="J328" s="4"/>
      <c r="K328" s="4"/>
      <c r="L328" s="4"/>
      <c r="M328" s="4"/>
      <c r="N328" s="4"/>
      <c r="O328" s="4"/>
      <c r="P328" s="4"/>
      <c r="Q328" s="4"/>
      <c r="R328" s="4"/>
      <c r="S328" s="4"/>
      <c r="T328" s="4"/>
      <c r="U328" s="4"/>
      <c r="V328" s="4"/>
      <c r="W328" s="4"/>
      <c r="X328" s="4"/>
      <c r="Y328" s="4"/>
      <c r="Z328" s="4"/>
    </row>
    <row r="329" ht="14.25" customHeight="1">
      <c r="A329" s="2"/>
      <c r="B329" s="4"/>
      <c r="C329" s="2"/>
      <c r="D329" s="2"/>
      <c r="E329" s="4"/>
      <c r="F329" s="2"/>
      <c r="G329" s="4"/>
      <c r="H329" s="4"/>
      <c r="I329" s="4"/>
      <c r="J329" s="4"/>
      <c r="K329" s="4"/>
      <c r="L329" s="4"/>
      <c r="M329" s="4"/>
      <c r="N329" s="4"/>
      <c r="O329" s="4"/>
      <c r="P329" s="4"/>
      <c r="Q329" s="4"/>
      <c r="R329" s="4"/>
      <c r="S329" s="4"/>
      <c r="T329" s="4"/>
      <c r="U329" s="4"/>
      <c r="V329" s="4"/>
      <c r="W329" s="4"/>
      <c r="X329" s="4"/>
      <c r="Y329" s="4"/>
      <c r="Z329" s="4"/>
    </row>
    <row r="330" ht="14.25" customHeight="1">
      <c r="A330" s="2"/>
      <c r="B330" s="4"/>
      <c r="C330" s="2"/>
      <c r="D330" s="2"/>
      <c r="E330" s="4"/>
      <c r="F330" s="2"/>
      <c r="G330" s="4"/>
      <c r="H330" s="4"/>
      <c r="I330" s="4"/>
      <c r="J330" s="4"/>
      <c r="K330" s="4"/>
      <c r="L330" s="4"/>
      <c r="M330" s="4"/>
      <c r="N330" s="4"/>
      <c r="O330" s="4"/>
      <c r="P330" s="4"/>
      <c r="Q330" s="4"/>
      <c r="R330" s="4"/>
      <c r="S330" s="4"/>
      <c r="T330" s="4"/>
      <c r="U330" s="4"/>
      <c r="V330" s="4"/>
      <c r="W330" s="4"/>
      <c r="X330" s="4"/>
      <c r="Y330" s="4"/>
      <c r="Z330" s="4"/>
    </row>
    <row r="331" ht="14.25" customHeight="1">
      <c r="A331" s="2"/>
      <c r="B331" s="4"/>
      <c r="C331" s="2"/>
      <c r="D331" s="2"/>
      <c r="E331" s="4"/>
      <c r="F331" s="2"/>
      <c r="G331" s="4"/>
      <c r="H331" s="4"/>
      <c r="I331" s="4"/>
      <c r="J331" s="4"/>
      <c r="K331" s="4"/>
      <c r="L331" s="4"/>
      <c r="M331" s="4"/>
      <c r="N331" s="4"/>
      <c r="O331" s="4"/>
      <c r="P331" s="4"/>
      <c r="Q331" s="4"/>
      <c r="R331" s="4"/>
      <c r="S331" s="4"/>
      <c r="T331" s="4"/>
      <c r="U331" s="4"/>
      <c r="V331" s="4"/>
      <c r="W331" s="4"/>
      <c r="X331" s="4"/>
      <c r="Y331" s="4"/>
      <c r="Z331" s="4"/>
    </row>
    <row r="332" ht="14.25" customHeight="1">
      <c r="A332" s="2"/>
      <c r="B332" s="4"/>
      <c r="C332" s="2"/>
      <c r="D332" s="2"/>
      <c r="E332" s="4"/>
      <c r="F332" s="2"/>
      <c r="G332" s="4"/>
      <c r="H332" s="4"/>
      <c r="I332" s="4"/>
      <c r="J332" s="4"/>
      <c r="K332" s="4"/>
      <c r="L332" s="4"/>
      <c r="M332" s="4"/>
      <c r="N332" s="4"/>
      <c r="O332" s="4"/>
      <c r="P332" s="4"/>
      <c r="Q332" s="4"/>
      <c r="R332" s="4"/>
      <c r="S332" s="4"/>
      <c r="T332" s="4"/>
      <c r="U332" s="4"/>
      <c r="V332" s="4"/>
      <c r="W332" s="4"/>
      <c r="X332" s="4"/>
      <c r="Y332" s="4"/>
      <c r="Z332" s="4"/>
    </row>
    <row r="333" ht="14.25" customHeight="1">
      <c r="A333" s="2"/>
      <c r="B333" s="4"/>
      <c r="C333" s="2"/>
      <c r="D333" s="2"/>
      <c r="E333" s="4"/>
      <c r="F333" s="2"/>
      <c r="G333" s="4"/>
      <c r="H333" s="4"/>
      <c r="I333" s="4"/>
      <c r="J333" s="4"/>
      <c r="K333" s="4"/>
      <c r="L333" s="4"/>
      <c r="M333" s="4"/>
      <c r="N333" s="4"/>
      <c r="O333" s="4"/>
      <c r="P333" s="4"/>
      <c r="Q333" s="4"/>
      <c r="R333" s="4"/>
      <c r="S333" s="4"/>
      <c r="T333" s="4"/>
      <c r="U333" s="4"/>
      <c r="V333" s="4"/>
      <c r="W333" s="4"/>
      <c r="X333" s="4"/>
      <c r="Y333" s="4"/>
      <c r="Z333" s="4"/>
    </row>
    <row r="334" ht="14.25" customHeight="1">
      <c r="A334" s="2"/>
      <c r="B334" s="4"/>
      <c r="C334" s="2"/>
      <c r="D334" s="2"/>
      <c r="E334" s="4"/>
      <c r="F334" s="2"/>
      <c r="G334" s="4"/>
      <c r="H334" s="4"/>
      <c r="I334" s="4"/>
      <c r="J334" s="4"/>
      <c r="K334" s="4"/>
      <c r="L334" s="4"/>
      <c r="M334" s="4"/>
      <c r="N334" s="4"/>
      <c r="O334" s="4"/>
      <c r="P334" s="4"/>
      <c r="Q334" s="4"/>
      <c r="R334" s="4"/>
      <c r="S334" s="4"/>
      <c r="T334" s="4"/>
      <c r="U334" s="4"/>
      <c r="V334" s="4"/>
      <c r="W334" s="4"/>
      <c r="X334" s="4"/>
      <c r="Y334" s="4"/>
      <c r="Z334" s="4"/>
    </row>
    <row r="335" ht="14.25" customHeight="1">
      <c r="A335" s="2"/>
      <c r="B335" s="4"/>
      <c r="C335" s="2"/>
      <c r="D335" s="2"/>
      <c r="E335" s="4"/>
      <c r="F335" s="2"/>
      <c r="G335" s="4"/>
      <c r="H335" s="4"/>
      <c r="I335" s="4"/>
      <c r="J335" s="4"/>
      <c r="K335" s="4"/>
      <c r="L335" s="4"/>
      <c r="M335" s="4"/>
      <c r="N335" s="4"/>
      <c r="O335" s="4"/>
      <c r="P335" s="4"/>
      <c r="Q335" s="4"/>
      <c r="R335" s="4"/>
      <c r="S335" s="4"/>
      <c r="T335" s="4"/>
      <c r="U335" s="4"/>
      <c r="V335" s="4"/>
      <c r="W335" s="4"/>
      <c r="X335" s="4"/>
      <c r="Y335" s="4"/>
      <c r="Z335" s="4"/>
    </row>
    <row r="336" ht="14.25" customHeight="1">
      <c r="A336" s="2"/>
      <c r="B336" s="4"/>
      <c r="C336" s="2"/>
      <c r="D336" s="2"/>
      <c r="E336" s="4"/>
      <c r="F336" s="2"/>
      <c r="G336" s="4"/>
      <c r="H336" s="4"/>
      <c r="I336" s="4"/>
      <c r="J336" s="4"/>
      <c r="K336" s="4"/>
      <c r="L336" s="4"/>
      <c r="M336" s="4"/>
      <c r="N336" s="4"/>
      <c r="O336" s="4"/>
      <c r="P336" s="4"/>
      <c r="Q336" s="4"/>
      <c r="R336" s="4"/>
      <c r="S336" s="4"/>
      <c r="T336" s="4"/>
      <c r="U336" s="4"/>
      <c r="V336" s="4"/>
      <c r="W336" s="4"/>
      <c r="X336" s="4"/>
      <c r="Y336" s="4"/>
      <c r="Z336" s="4"/>
    </row>
    <row r="337" ht="14.25" customHeight="1">
      <c r="A337" s="2"/>
      <c r="B337" s="4"/>
      <c r="C337" s="2"/>
      <c r="D337" s="2"/>
      <c r="E337" s="4"/>
      <c r="F337" s="2"/>
      <c r="G337" s="4"/>
      <c r="H337" s="4"/>
      <c r="I337" s="4"/>
      <c r="J337" s="4"/>
      <c r="K337" s="4"/>
      <c r="L337" s="4"/>
      <c r="M337" s="4"/>
      <c r="N337" s="4"/>
      <c r="O337" s="4"/>
      <c r="P337" s="4"/>
      <c r="Q337" s="4"/>
      <c r="R337" s="4"/>
      <c r="S337" s="4"/>
      <c r="T337" s="4"/>
      <c r="U337" s="4"/>
      <c r="V337" s="4"/>
      <c r="W337" s="4"/>
      <c r="X337" s="4"/>
      <c r="Y337" s="4"/>
      <c r="Z337" s="4"/>
    </row>
    <row r="338" ht="14.25" customHeight="1">
      <c r="A338" s="2"/>
      <c r="B338" s="4"/>
      <c r="C338" s="2"/>
      <c r="D338" s="2"/>
      <c r="E338" s="4"/>
      <c r="F338" s="2"/>
      <c r="G338" s="4"/>
      <c r="H338" s="4"/>
      <c r="I338" s="4"/>
      <c r="J338" s="4"/>
      <c r="K338" s="4"/>
      <c r="L338" s="4"/>
      <c r="M338" s="4"/>
      <c r="N338" s="4"/>
      <c r="O338" s="4"/>
      <c r="P338" s="4"/>
      <c r="Q338" s="4"/>
      <c r="R338" s="4"/>
      <c r="S338" s="4"/>
      <c r="T338" s="4"/>
      <c r="U338" s="4"/>
      <c r="V338" s="4"/>
      <c r="W338" s="4"/>
      <c r="X338" s="4"/>
      <c r="Y338" s="4"/>
      <c r="Z338" s="4"/>
    </row>
    <row r="339" ht="14.25" customHeight="1">
      <c r="A339" s="2"/>
      <c r="B339" s="4"/>
      <c r="C339" s="2"/>
      <c r="D339" s="2"/>
      <c r="E339" s="4"/>
      <c r="F339" s="2"/>
      <c r="G339" s="4"/>
      <c r="H339" s="4"/>
      <c r="I339" s="4"/>
      <c r="J339" s="4"/>
      <c r="K339" s="4"/>
      <c r="L339" s="4"/>
      <c r="M339" s="4"/>
      <c r="N339" s="4"/>
      <c r="O339" s="4"/>
      <c r="P339" s="4"/>
      <c r="Q339" s="4"/>
      <c r="R339" s="4"/>
      <c r="S339" s="4"/>
      <c r="T339" s="4"/>
      <c r="U339" s="4"/>
      <c r="V339" s="4"/>
      <c r="W339" s="4"/>
      <c r="X339" s="4"/>
      <c r="Y339" s="4"/>
      <c r="Z339" s="4"/>
    </row>
    <row r="340" ht="14.25" customHeight="1">
      <c r="A340" s="2"/>
      <c r="B340" s="4"/>
      <c r="C340" s="2"/>
      <c r="D340" s="2"/>
      <c r="E340" s="4"/>
      <c r="F340" s="2"/>
      <c r="G340" s="4"/>
      <c r="H340" s="4"/>
      <c r="I340" s="4"/>
      <c r="J340" s="4"/>
      <c r="K340" s="4"/>
      <c r="L340" s="4"/>
      <c r="M340" s="4"/>
      <c r="N340" s="4"/>
      <c r="O340" s="4"/>
      <c r="P340" s="4"/>
      <c r="Q340" s="4"/>
      <c r="R340" s="4"/>
      <c r="S340" s="4"/>
      <c r="T340" s="4"/>
      <c r="U340" s="4"/>
      <c r="V340" s="4"/>
      <c r="W340" s="4"/>
      <c r="X340" s="4"/>
      <c r="Y340" s="4"/>
      <c r="Z340" s="4"/>
    </row>
    <row r="341" ht="14.25" customHeight="1">
      <c r="A341" s="2"/>
      <c r="B341" s="4"/>
      <c r="C341" s="2"/>
      <c r="D341" s="2"/>
      <c r="E341" s="4"/>
      <c r="F341" s="2"/>
      <c r="G341" s="4"/>
      <c r="H341" s="4"/>
      <c r="I341" s="4"/>
      <c r="J341" s="4"/>
      <c r="K341" s="4"/>
      <c r="L341" s="4"/>
      <c r="M341" s="4"/>
      <c r="N341" s="4"/>
      <c r="O341" s="4"/>
      <c r="P341" s="4"/>
      <c r="Q341" s="4"/>
      <c r="R341" s="4"/>
      <c r="S341" s="4"/>
      <c r="T341" s="4"/>
      <c r="U341" s="4"/>
      <c r="V341" s="4"/>
      <c r="W341" s="4"/>
      <c r="X341" s="4"/>
      <c r="Y341" s="4"/>
      <c r="Z341" s="4"/>
    </row>
    <row r="342" ht="14.25" customHeight="1">
      <c r="A342" s="2"/>
      <c r="B342" s="4"/>
      <c r="C342" s="2"/>
      <c r="D342" s="2"/>
      <c r="E342" s="4"/>
      <c r="F342" s="2"/>
      <c r="G342" s="4"/>
      <c r="H342" s="4"/>
      <c r="I342" s="4"/>
      <c r="J342" s="4"/>
      <c r="K342" s="4"/>
      <c r="L342" s="4"/>
      <c r="M342" s="4"/>
      <c r="N342" s="4"/>
      <c r="O342" s="4"/>
      <c r="P342" s="4"/>
      <c r="Q342" s="4"/>
      <c r="R342" s="4"/>
      <c r="S342" s="4"/>
      <c r="T342" s="4"/>
      <c r="U342" s="4"/>
      <c r="V342" s="4"/>
      <c r="W342" s="4"/>
      <c r="X342" s="4"/>
      <c r="Y342" s="4"/>
      <c r="Z342" s="4"/>
    </row>
    <row r="343" ht="14.25" customHeight="1">
      <c r="A343" s="2"/>
      <c r="B343" s="4"/>
      <c r="C343" s="2"/>
      <c r="D343" s="2"/>
      <c r="E343" s="4"/>
      <c r="F343" s="2"/>
      <c r="G343" s="4"/>
      <c r="H343" s="4"/>
      <c r="I343" s="4"/>
      <c r="J343" s="4"/>
      <c r="K343" s="4"/>
      <c r="L343" s="4"/>
      <c r="M343" s="4"/>
      <c r="N343" s="4"/>
      <c r="O343" s="4"/>
      <c r="P343" s="4"/>
      <c r="Q343" s="4"/>
      <c r="R343" s="4"/>
      <c r="S343" s="4"/>
      <c r="T343" s="4"/>
      <c r="U343" s="4"/>
      <c r="V343" s="4"/>
      <c r="W343" s="4"/>
      <c r="X343" s="4"/>
      <c r="Y343" s="4"/>
      <c r="Z343" s="4"/>
    </row>
    <row r="344" ht="14.25" customHeight="1">
      <c r="A344" s="2"/>
      <c r="B344" s="4"/>
      <c r="C344" s="2"/>
      <c r="D344" s="2"/>
      <c r="E344" s="4"/>
      <c r="F344" s="2"/>
      <c r="G344" s="4"/>
      <c r="H344" s="4"/>
      <c r="I344" s="4"/>
      <c r="J344" s="4"/>
      <c r="K344" s="4"/>
      <c r="L344" s="4"/>
      <c r="M344" s="4"/>
      <c r="N344" s="4"/>
      <c r="O344" s="4"/>
      <c r="P344" s="4"/>
      <c r="Q344" s="4"/>
      <c r="R344" s="4"/>
      <c r="S344" s="4"/>
      <c r="T344" s="4"/>
      <c r="U344" s="4"/>
      <c r="V344" s="4"/>
      <c r="W344" s="4"/>
      <c r="X344" s="4"/>
      <c r="Y344" s="4"/>
      <c r="Z344" s="4"/>
    </row>
    <row r="345" ht="14.25" customHeight="1">
      <c r="A345" s="2"/>
      <c r="B345" s="4"/>
      <c r="C345" s="2"/>
      <c r="D345" s="2"/>
      <c r="E345" s="4"/>
      <c r="F345" s="2"/>
      <c r="G345" s="4"/>
      <c r="H345" s="4"/>
      <c r="I345" s="4"/>
      <c r="J345" s="4"/>
      <c r="K345" s="4"/>
      <c r="L345" s="4"/>
      <c r="M345" s="4"/>
      <c r="N345" s="4"/>
      <c r="O345" s="4"/>
      <c r="P345" s="4"/>
      <c r="Q345" s="4"/>
      <c r="R345" s="4"/>
      <c r="S345" s="4"/>
      <c r="T345" s="4"/>
      <c r="U345" s="4"/>
      <c r="V345" s="4"/>
      <c r="W345" s="4"/>
      <c r="X345" s="4"/>
      <c r="Y345" s="4"/>
      <c r="Z345" s="4"/>
    </row>
    <row r="346" ht="14.25" customHeight="1">
      <c r="A346" s="2"/>
      <c r="B346" s="4"/>
      <c r="C346" s="2"/>
      <c r="D346" s="2"/>
      <c r="E346" s="4"/>
      <c r="F346" s="2"/>
      <c r="G346" s="4"/>
      <c r="H346" s="4"/>
      <c r="I346" s="4"/>
      <c r="J346" s="4"/>
      <c r="K346" s="4"/>
      <c r="L346" s="4"/>
      <c r="M346" s="4"/>
      <c r="N346" s="4"/>
      <c r="O346" s="4"/>
      <c r="P346" s="4"/>
      <c r="Q346" s="4"/>
      <c r="R346" s="4"/>
      <c r="S346" s="4"/>
      <c r="T346" s="4"/>
      <c r="U346" s="4"/>
      <c r="V346" s="4"/>
      <c r="W346" s="4"/>
      <c r="X346" s="4"/>
      <c r="Y346" s="4"/>
      <c r="Z346" s="4"/>
    </row>
    <row r="347" ht="14.25" customHeight="1">
      <c r="A347" s="2"/>
      <c r="B347" s="4"/>
      <c r="C347" s="2"/>
      <c r="D347" s="2"/>
      <c r="E347" s="4"/>
      <c r="F347" s="2"/>
      <c r="G347" s="4"/>
      <c r="H347" s="4"/>
      <c r="I347" s="4"/>
      <c r="J347" s="4"/>
      <c r="K347" s="4"/>
      <c r="L347" s="4"/>
      <c r="M347" s="4"/>
      <c r="N347" s="4"/>
      <c r="O347" s="4"/>
      <c r="P347" s="4"/>
      <c r="Q347" s="4"/>
      <c r="R347" s="4"/>
      <c r="S347" s="4"/>
      <c r="T347" s="4"/>
      <c r="U347" s="4"/>
      <c r="V347" s="4"/>
      <c r="W347" s="4"/>
      <c r="X347" s="4"/>
      <c r="Y347" s="4"/>
      <c r="Z347" s="4"/>
    </row>
    <row r="348" ht="14.25" customHeight="1">
      <c r="A348" s="2"/>
      <c r="B348" s="4"/>
      <c r="C348" s="2"/>
      <c r="D348" s="2"/>
      <c r="E348" s="4"/>
      <c r="F348" s="2"/>
      <c r="G348" s="4"/>
      <c r="H348" s="4"/>
      <c r="I348" s="4"/>
      <c r="J348" s="4"/>
      <c r="K348" s="4"/>
      <c r="L348" s="4"/>
      <c r="M348" s="4"/>
      <c r="N348" s="4"/>
      <c r="O348" s="4"/>
      <c r="P348" s="4"/>
      <c r="Q348" s="4"/>
      <c r="R348" s="4"/>
      <c r="S348" s="4"/>
      <c r="T348" s="4"/>
      <c r="U348" s="4"/>
      <c r="V348" s="4"/>
      <c r="W348" s="4"/>
      <c r="X348" s="4"/>
      <c r="Y348" s="4"/>
      <c r="Z348" s="4"/>
    </row>
    <row r="349" ht="14.25" customHeight="1">
      <c r="A349" s="2"/>
      <c r="B349" s="4"/>
      <c r="C349" s="2"/>
      <c r="D349" s="2"/>
      <c r="E349" s="4"/>
      <c r="F349" s="2"/>
      <c r="G349" s="4"/>
      <c r="H349" s="4"/>
      <c r="I349" s="4"/>
      <c r="J349" s="4"/>
      <c r="K349" s="4"/>
      <c r="L349" s="4"/>
      <c r="M349" s="4"/>
      <c r="N349" s="4"/>
      <c r="O349" s="4"/>
      <c r="P349" s="4"/>
      <c r="Q349" s="4"/>
      <c r="R349" s="4"/>
      <c r="S349" s="4"/>
      <c r="T349" s="4"/>
      <c r="U349" s="4"/>
      <c r="V349" s="4"/>
      <c r="W349" s="4"/>
      <c r="X349" s="4"/>
      <c r="Y349" s="4"/>
      <c r="Z349" s="4"/>
    </row>
    <row r="350" ht="14.25" customHeight="1">
      <c r="A350" s="2"/>
      <c r="B350" s="4"/>
      <c r="C350" s="2"/>
      <c r="D350" s="2"/>
      <c r="E350" s="4"/>
      <c r="F350" s="2"/>
      <c r="G350" s="4"/>
      <c r="H350" s="4"/>
      <c r="I350" s="4"/>
      <c r="J350" s="4"/>
      <c r="K350" s="4"/>
      <c r="L350" s="4"/>
      <c r="M350" s="4"/>
      <c r="N350" s="4"/>
      <c r="O350" s="4"/>
      <c r="P350" s="4"/>
      <c r="Q350" s="4"/>
      <c r="R350" s="4"/>
      <c r="S350" s="4"/>
      <c r="T350" s="4"/>
      <c r="U350" s="4"/>
      <c r="V350" s="4"/>
      <c r="W350" s="4"/>
      <c r="X350" s="4"/>
      <c r="Y350" s="4"/>
      <c r="Z350" s="4"/>
    </row>
    <row r="351" ht="14.25" customHeight="1">
      <c r="A351" s="2"/>
      <c r="B351" s="4"/>
      <c r="C351" s="2"/>
      <c r="D351" s="2"/>
      <c r="E351" s="4"/>
      <c r="F351" s="2"/>
      <c r="G351" s="4"/>
      <c r="H351" s="4"/>
      <c r="I351" s="4"/>
      <c r="J351" s="4"/>
      <c r="K351" s="4"/>
      <c r="L351" s="4"/>
      <c r="M351" s="4"/>
      <c r="N351" s="4"/>
      <c r="O351" s="4"/>
      <c r="P351" s="4"/>
      <c r="Q351" s="4"/>
      <c r="R351" s="4"/>
      <c r="S351" s="4"/>
      <c r="T351" s="4"/>
      <c r="U351" s="4"/>
      <c r="V351" s="4"/>
      <c r="W351" s="4"/>
      <c r="X351" s="4"/>
      <c r="Y351" s="4"/>
      <c r="Z351" s="4"/>
    </row>
    <row r="352" ht="14.25" customHeight="1">
      <c r="A352" s="2"/>
      <c r="B352" s="4"/>
      <c r="C352" s="2"/>
      <c r="D352" s="2"/>
      <c r="E352" s="4"/>
      <c r="F352" s="2"/>
      <c r="G352" s="4"/>
      <c r="H352" s="4"/>
      <c r="I352" s="4"/>
      <c r="J352" s="4"/>
      <c r="K352" s="4"/>
      <c r="L352" s="4"/>
      <c r="M352" s="4"/>
      <c r="N352" s="4"/>
      <c r="O352" s="4"/>
      <c r="P352" s="4"/>
      <c r="Q352" s="4"/>
      <c r="R352" s="4"/>
      <c r="S352" s="4"/>
      <c r="T352" s="4"/>
      <c r="U352" s="4"/>
      <c r="V352" s="4"/>
      <c r="W352" s="4"/>
      <c r="X352" s="4"/>
      <c r="Y352" s="4"/>
      <c r="Z352" s="4"/>
    </row>
    <row r="353" ht="14.25" customHeight="1">
      <c r="A353" s="2"/>
      <c r="B353" s="4"/>
      <c r="C353" s="2"/>
      <c r="D353" s="2"/>
      <c r="E353" s="4"/>
      <c r="F353" s="2"/>
      <c r="G353" s="4"/>
      <c r="H353" s="4"/>
      <c r="I353" s="4"/>
      <c r="J353" s="4"/>
      <c r="K353" s="4"/>
      <c r="L353" s="4"/>
      <c r="M353" s="4"/>
      <c r="N353" s="4"/>
      <c r="O353" s="4"/>
      <c r="P353" s="4"/>
      <c r="Q353" s="4"/>
      <c r="R353" s="4"/>
      <c r="S353" s="4"/>
      <c r="T353" s="4"/>
      <c r="U353" s="4"/>
      <c r="V353" s="4"/>
      <c r="W353" s="4"/>
      <c r="X353" s="4"/>
      <c r="Y353" s="4"/>
      <c r="Z353" s="4"/>
    </row>
    <row r="354" ht="14.25" customHeight="1">
      <c r="A354" s="2"/>
      <c r="B354" s="4"/>
      <c r="C354" s="2"/>
      <c r="D354" s="2"/>
      <c r="E354" s="4"/>
      <c r="F354" s="2"/>
      <c r="G354" s="4"/>
      <c r="H354" s="4"/>
      <c r="I354" s="4"/>
      <c r="J354" s="4"/>
      <c r="K354" s="4"/>
      <c r="L354" s="4"/>
      <c r="M354" s="4"/>
      <c r="N354" s="4"/>
      <c r="O354" s="4"/>
      <c r="P354" s="4"/>
      <c r="Q354" s="4"/>
      <c r="R354" s="4"/>
      <c r="S354" s="4"/>
      <c r="T354" s="4"/>
      <c r="U354" s="4"/>
      <c r="V354" s="4"/>
      <c r="W354" s="4"/>
      <c r="X354" s="4"/>
      <c r="Y354" s="4"/>
      <c r="Z354" s="4"/>
    </row>
    <row r="355" ht="14.25" customHeight="1">
      <c r="A355" s="2"/>
      <c r="B355" s="4"/>
      <c r="C355" s="2"/>
      <c r="D355" s="2"/>
      <c r="E355" s="4"/>
      <c r="F355" s="2"/>
      <c r="G355" s="4"/>
      <c r="H355" s="4"/>
      <c r="I355" s="4"/>
      <c r="J355" s="4"/>
      <c r="K355" s="4"/>
      <c r="L355" s="4"/>
      <c r="M355" s="4"/>
      <c r="N355" s="4"/>
      <c r="O355" s="4"/>
      <c r="P355" s="4"/>
      <c r="Q355" s="4"/>
      <c r="R355" s="4"/>
      <c r="S355" s="4"/>
      <c r="T355" s="4"/>
      <c r="U355" s="4"/>
      <c r="V355" s="4"/>
      <c r="W355" s="4"/>
      <c r="X355" s="4"/>
      <c r="Y355" s="4"/>
      <c r="Z355" s="4"/>
    </row>
    <row r="356" ht="14.25" customHeight="1">
      <c r="A356" s="2"/>
      <c r="B356" s="4"/>
      <c r="C356" s="2"/>
      <c r="D356" s="2"/>
      <c r="E356" s="4"/>
      <c r="F356" s="2"/>
      <c r="G356" s="4"/>
      <c r="H356" s="4"/>
      <c r="I356" s="4"/>
      <c r="J356" s="4"/>
      <c r="K356" s="4"/>
      <c r="L356" s="4"/>
      <c r="M356" s="4"/>
      <c r="N356" s="4"/>
      <c r="O356" s="4"/>
      <c r="P356" s="4"/>
      <c r="Q356" s="4"/>
      <c r="R356" s="4"/>
      <c r="S356" s="4"/>
      <c r="T356" s="4"/>
      <c r="U356" s="4"/>
      <c r="V356" s="4"/>
      <c r="W356" s="4"/>
      <c r="X356" s="4"/>
      <c r="Y356" s="4"/>
      <c r="Z356" s="4"/>
    </row>
    <row r="357" ht="14.25" customHeight="1">
      <c r="A357" s="2"/>
      <c r="B357" s="4"/>
      <c r="C357" s="2"/>
      <c r="D357" s="2"/>
      <c r="E357" s="4"/>
      <c r="F357" s="2"/>
      <c r="G357" s="4"/>
      <c r="H357" s="4"/>
      <c r="I357" s="4"/>
      <c r="J357" s="4"/>
      <c r="K357" s="4"/>
      <c r="L357" s="4"/>
      <c r="M357" s="4"/>
      <c r="N357" s="4"/>
      <c r="O357" s="4"/>
      <c r="P357" s="4"/>
      <c r="Q357" s="4"/>
      <c r="R357" s="4"/>
      <c r="S357" s="4"/>
      <c r="T357" s="4"/>
      <c r="U357" s="4"/>
      <c r="V357" s="4"/>
      <c r="W357" s="4"/>
      <c r="X357" s="4"/>
      <c r="Y357" s="4"/>
      <c r="Z357" s="4"/>
    </row>
    <row r="358" ht="14.25" customHeight="1">
      <c r="A358" s="2"/>
      <c r="B358" s="4"/>
      <c r="C358" s="2"/>
      <c r="D358" s="2"/>
      <c r="E358" s="4"/>
      <c r="F358" s="2"/>
      <c r="G358" s="4"/>
      <c r="H358" s="4"/>
      <c r="I358" s="4"/>
      <c r="J358" s="4"/>
      <c r="K358" s="4"/>
      <c r="L358" s="4"/>
      <c r="M358" s="4"/>
      <c r="N358" s="4"/>
      <c r="O358" s="4"/>
      <c r="P358" s="4"/>
      <c r="Q358" s="4"/>
      <c r="R358" s="4"/>
      <c r="S358" s="4"/>
      <c r="T358" s="4"/>
      <c r="U358" s="4"/>
      <c r="V358" s="4"/>
      <c r="W358" s="4"/>
      <c r="X358" s="4"/>
      <c r="Y358" s="4"/>
      <c r="Z358" s="4"/>
    </row>
    <row r="359" ht="14.25" customHeight="1">
      <c r="A359" s="2"/>
      <c r="B359" s="4"/>
      <c r="C359" s="2"/>
      <c r="D359" s="2"/>
      <c r="E359" s="4"/>
      <c r="F359" s="2"/>
      <c r="G359" s="4"/>
      <c r="H359" s="4"/>
      <c r="I359" s="4"/>
      <c r="J359" s="4"/>
      <c r="K359" s="4"/>
      <c r="L359" s="4"/>
      <c r="M359" s="4"/>
      <c r="N359" s="4"/>
      <c r="O359" s="4"/>
      <c r="P359" s="4"/>
      <c r="Q359" s="4"/>
      <c r="R359" s="4"/>
      <c r="S359" s="4"/>
      <c r="T359" s="4"/>
      <c r="U359" s="4"/>
      <c r="V359" s="4"/>
      <c r="W359" s="4"/>
      <c r="X359" s="4"/>
      <c r="Y359" s="4"/>
      <c r="Z359" s="4"/>
    </row>
    <row r="360" ht="14.25" customHeight="1">
      <c r="A360" s="2"/>
      <c r="B360" s="4"/>
      <c r="C360" s="2"/>
      <c r="D360" s="2"/>
      <c r="E360" s="4"/>
      <c r="F360" s="2"/>
      <c r="G360" s="4"/>
      <c r="H360" s="4"/>
      <c r="I360" s="4"/>
      <c r="J360" s="4"/>
      <c r="K360" s="4"/>
      <c r="L360" s="4"/>
      <c r="M360" s="4"/>
      <c r="N360" s="4"/>
      <c r="O360" s="4"/>
      <c r="P360" s="4"/>
      <c r="Q360" s="4"/>
      <c r="R360" s="4"/>
      <c r="S360" s="4"/>
      <c r="T360" s="4"/>
      <c r="U360" s="4"/>
      <c r="V360" s="4"/>
      <c r="W360" s="4"/>
      <c r="X360" s="4"/>
      <c r="Y360" s="4"/>
      <c r="Z360" s="4"/>
    </row>
    <row r="361" ht="14.25" customHeight="1">
      <c r="A361" s="2"/>
      <c r="B361" s="4"/>
      <c r="C361" s="2"/>
      <c r="D361" s="2"/>
      <c r="E361" s="4"/>
      <c r="F361" s="2"/>
      <c r="G361" s="4"/>
      <c r="H361" s="4"/>
      <c r="I361" s="4"/>
      <c r="J361" s="4"/>
      <c r="K361" s="4"/>
      <c r="L361" s="4"/>
      <c r="M361" s="4"/>
      <c r="N361" s="4"/>
      <c r="O361" s="4"/>
      <c r="P361" s="4"/>
      <c r="Q361" s="4"/>
      <c r="R361" s="4"/>
      <c r="S361" s="4"/>
      <c r="T361" s="4"/>
      <c r="U361" s="4"/>
      <c r="V361" s="4"/>
      <c r="W361" s="4"/>
      <c r="X361" s="4"/>
      <c r="Y361" s="4"/>
      <c r="Z361" s="4"/>
    </row>
    <row r="362" ht="14.25" customHeight="1">
      <c r="A362" s="2"/>
      <c r="B362" s="4"/>
      <c r="C362" s="2"/>
      <c r="D362" s="2"/>
      <c r="E362" s="4"/>
      <c r="F362" s="2"/>
      <c r="G362" s="4"/>
      <c r="H362" s="4"/>
      <c r="I362" s="4"/>
      <c r="J362" s="4"/>
      <c r="K362" s="4"/>
      <c r="L362" s="4"/>
      <c r="M362" s="4"/>
      <c r="N362" s="4"/>
      <c r="O362" s="4"/>
      <c r="P362" s="4"/>
      <c r="Q362" s="4"/>
      <c r="R362" s="4"/>
      <c r="S362" s="4"/>
      <c r="T362" s="4"/>
      <c r="U362" s="4"/>
      <c r="V362" s="4"/>
      <c r="W362" s="4"/>
      <c r="X362" s="4"/>
      <c r="Y362" s="4"/>
      <c r="Z362" s="4"/>
    </row>
    <row r="363" ht="14.25" customHeight="1">
      <c r="A363" s="2"/>
      <c r="B363" s="4"/>
      <c r="C363" s="2"/>
      <c r="D363" s="2"/>
      <c r="E363" s="4"/>
      <c r="F363" s="2"/>
      <c r="G363" s="4"/>
      <c r="H363" s="4"/>
      <c r="I363" s="4"/>
      <c r="J363" s="4"/>
      <c r="K363" s="4"/>
      <c r="L363" s="4"/>
      <c r="M363" s="4"/>
      <c r="N363" s="4"/>
      <c r="O363" s="4"/>
      <c r="P363" s="4"/>
      <c r="Q363" s="4"/>
      <c r="R363" s="4"/>
      <c r="S363" s="4"/>
      <c r="T363" s="4"/>
      <c r="U363" s="4"/>
      <c r="V363" s="4"/>
      <c r="W363" s="4"/>
      <c r="X363" s="4"/>
      <c r="Y363" s="4"/>
      <c r="Z363" s="4"/>
    </row>
    <row r="364" ht="14.25" customHeight="1">
      <c r="A364" s="2"/>
      <c r="B364" s="4"/>
      <c r="C364" s="2"/>
      <c r="D364" s="2"/>
      <c r="E364" s="4"/>
      <c r="F364" s="2"/>
      <c r="G364" s="4"/>
      <c r="H364" s="4"/>
      <c r="I364" s="4"/>
      <c r="J364" s="4"/>
      <c r="K364" s="4"/>
      <c r="L364" s="4"/>
      <c r="M364" s="4"/>
      <c r="N364" s="4"/>
      <c r="O364" s="4"/>
      <c r="P364" s="4"/>
      <c r="Q364" s="4"/>
      <c r="R364" s="4"/>
      <c r="S364" s="4"/>
      <c r="T364" s="4"/>
      <c r="U364" s="4"/>
      <c r="V364" s="4"/>
      <c r="W364" s="4"/>
      <c r="X364" s="4"/>
      <c r="Y364" s="4"/>
      <c r="Z364" s="4"/>
    </row>
    <row r="365" ht="14.25" customHeight="1">
      <c r="A365" s="2"/>
      <c r="B365" s="4"/>
      <c r="C365" s="2"/>
      <c r="D365" s="2"/>
      <c r="E365" s="4"/>
      <c r="F365" s="2"/>
      <c r="G365" s="4"/>
      <c r="H365" s="4"/>
      <c r="I365" s="4"/>
      <c r="J365" s="4"/>
      <c r="K365" s="4"/>
      <c r="L365" s="4"/>
      <c r="M365" s="4"/>
      <c r="N365" s="4"/>
      <c r="O365" s="4"/>
      <c r="P365" s="4"/>
      <c r="Q365" s="4"/>
      <c r="R365" s="4"/>
      <c r="S365" s="4"/>
      <c r="T365" s="4"/>
      <c r="U365" s="4"/>
      <c r="V365" s="4"/>
      <c r="W365" s="4"/>
      <c r="X365" s="4"/>
      <c r="Y365" s="4"/>
      <c r="Z365" s="4"/>
    </row>
    <row r="366" ht="14.25" customHeight="1">
      <c r="A366" s="2"/>
      <c r="B366" s="4"/>
      <c r="C366" s="2"/>
      <c r="D366" s="2"/>
      <c r="E366" s="4"/>
      <c r="F366" s="2"/>
      <c r="G366" s="4"/>
      <c r="H366" s="4"/>
      <c r="I366" s="4"/>
      <c r="J366" s="4"/>
      <c r="K366" s="4"/>
      <c r="L366" s="4"/>
      <c r="M366" s="4"/>
      <c r="N366" s="4"/>
      <c r="O366" s="4"/>
      <c r="P366" s="4"/>
      <c r="Q366" s="4"/>
      <c r="R366" s="4"/>
      <c r="S366" s="4"/>
      <c r="T366" s="4"/>
      <c r="U366" s="4"/>
      <c r="V366" s="4"/>
      <c r="W366" s="4"/>
      <c r="X366" s="4"/>
      <c r="Y366" s="4"/>
      <c r="Z366" s="4"/>
    </row>
    <row r="367" ht="14.25" customHeight="1">
      <c r="A367" s="2"/>
      <c r="B367" s="4"/>
      <c r="C367" s="2"/>
      <c r="D367" s="2"/>
      <c r="E367" s="4"/>
      <c r="F367" s="2"/>
      <c r="G367" s="4"/>
      <c r="H367" s="4"/>
      <c r="I367" s="4"/>
      <c r="J367" s="4"/>
      <c r="K367" s="4"/>
      <c r="L367" s="4"/>
      <c r="M367" s="4"/>
      <c r="N367" s="4"/>
      <c r="O367" s="4"/>
      <c r="P367" s="4"/>
      <c r="Q367" s="4"/>
      <c r="R367" s="4"/>
      <c r="S367" s="4"/>
      <c r="T367" s="4"/>
      <c r="U367" s="4"/>
      <c r="V367" s="4"/>
      <c r="W367" s="4"/>
      <c r="X367" s="4"/>
      <c r="Y367" s="4"/>
      <c r="Z367" s="4"/>
    </row>
    <row r="368" ht="14.25" customHeight="1">
      <c r="A368" s="2"/>
      <c r="B368" s="4"/>
      <c r="C368" s="2"/>
      <c r="D368" s="2"/>
      <c r="E368" s="4"/>
      <c r="F368" s="2"/>
      <c r="G368" s="4"/>
      <c r="H368" s="4"/>
      <c r="I368" s="4"/>
      <c r="J368" s="4"/>
      <c r="K368" s="4"/>
      <c r="L368" s="4"/>
      <c r="M368" s="4"/>
      <c r="N368" s="4"/>
      <c r="O368" s="4"/>
      <c r="P368" s="4"/>
      <c r="Q368" s="4"/>
      <c r="R368" s="4"/>
      <c r="S368" s="4"/>
      <c r="T368" s="4"/>
      <c r="U368" s="4"/>
      <c r="V368" s="4"/>
      <c r="W368" s="4"/>
      <c r="X368" s="4"/>
      <c r="Y368" s="4"/>
      <c r="Z368" s="4"/>
    </row>
    <row r="369" ht="14.25" customHeight="1">
      <c r="A369" s="2"/>
      <c r="B369" s="4"/>
      <c r="C369" s="2"/>
      <c r="D369" s="2"/>
      <c r="E369" s="4"/>
      <c r="F369" s="2"/>
      <c r="G369" s="4"/>
      <c r="H369" s="4"/>
      <c r="I369" s="4"/>
      <c r="J369" s="4"/>
      <c r="K369" s="4"/>
      <c r="L369" s="4"/>
      <c r="M369" s="4"/>
      <c r="N369" s="4"/>
      <c r="O369" s="4"/>
      <c r="P369" s="4"/>
      <c r="Q369" s="4"/>
      <c r="R369" s="4"/>
      <c r="S369" s="4"/>
      <c r="T369" s="4"/>
      <c r="U369" s="4"/>
      <c r="V369" s="4"/>
      <c r="W369" s="4"/>
      <c r="X369" s="4"/>
      <c r="Y369" s="4"/>
      <c r="Z369" s="4"/>
    </row>
    <row r="370" ht="14.25" customHeight="1">
      <c r="A370" s="2"/>
      <c r="B370" s="4"/>
      <c r="C370" s="2"/>
      <c r="D370" s="2"/>
      <c r="E370" s="4"/>
      <c r="F370" s="2"/>
      <c r="G370" s="4"/>
      <c r="H370" s="4"/>
      <c r="I370" s="4"/>
      <c r="J370" s="4"/>
      <c r="K370" s="4"/>
      <c r="L370" s="4"/>
      <c r="M370" s="4"/>
      <c r="N370" s="4"/>
      <c r="O370" s="4"/>
      <c r="P370" s="4"/>
      <c r="Q370" s="4"/>
      <c r="R370" s="4"/>
      <c r="S370" s="4"/>
      <c r="T370" s="4"/>
      <c r="U370" s="4"/>
      <c r="V370" s="4"/>
      <c r="W370" s="4"/>
      <c r="X370" s="4"/>
      <c r="Y370" s="4"/>
      <c r="Z370" s="4"/>
    </row>
    <row r="371" ht="14.25" customHeight="1">
      <c r="A371" s="2"/>
      <c r="B371" s="4"/>
      <c r="C371" s="2"/>
      <c r="D371" s="2"/>
      <c r="E371" s="4"/>
      <c r="F371" s="2"/>
      <c r="G371" s="4"/>
      <c r="H371" s="4"/>
      <c r="I371" s="4"/>
      <c r="J371" s="4"/>
      <c r="K371" s="4"/>
      <c r="L371" s="4"/>
      <c r="M371" s="4"/>
      <c r="N371" s="4"/>
      <c r="O371" s="4"/>
      <c r="P371" s="4"/>
      <c r="Q371" s="4"/>
      <c r="R371" s="4"/>
      <c r="S371" s="4"/>
      <c r="T371" s="4"/>
      <c r="U371" s="4"/>
      <c r="V371" s="4"/>
      <c r="W371" s="4"/>
      <c r="X371" s="4"/>
      <c r="Y371" s="4"/>
      <c r="Z371" s="4"/>
    </row>
    <row r="372" ht="14.25" customHeight="1">
      <c r="A372" s="2"/>
      <c r="B372" s="4"/>
      <c r="C372" s="2"/>
      <c r="D372" s="2"/>
      <c r="E372" s="4"/>
      <c r="F372" s="2"/>
      <c r="G372" s="4"/>
      <c r="H372" s="4"/>
      <c r="I372" s="4"/>
      <c r="J372" s="4"/>
      <c r="K372" s="4"/>
      <c r="L372" s="4"/>
      <c r="M372" s="4"/>
      <c r="N372" s="4"/>
      <c r="O372" s="4"/>
      <c r="P372" s="4"/>
      <c r="Q372" s="4"/>
      <c r="R372" s="4"/>
      <c r="S372" s="4"/>
      <c r="T372" s="4"/>
      <c r="U372" s="4"/>
      <c r="V372" s="4"/>
      <c r="W372" s="4"/>
      <c r="X372" s="4"/>
      <c r="Y372" s="4"/>
      <c r="Z372" s="4"/>
    </row>
    <row r="373" ht="14.25" customHeight="1">
      <c r="A373" s="2"/>
      <c r="B373" s="4"/>
      <c r="C373" s="2"/>
      <c r="D373" s="2"/>
      <c r="E373" s="4"/>
      <c r="F373" s="2"/>
      <c r="G373" s="4"/>
      <c r="H373" s="4"/>
      <c r="I373" s="4"/>
      <c r="J373" s="4"/>
      <c r="K373" s="4"/>
      <c r="L373" s="4"/>
      <c r="M373" s="4"/>
      <c r="N373" s="4"/>
      <c r="O373" s="4"/>
      <c r="P373" s="4"/>
      <c r="Q373" s="4"/>
      <c r="R373" s="4"/>
      <c r="S373" s="4"/>
      <c r="T373" s="4"/>
      <c r="U373" s="4"/>
      <c r="V373" s="4"/>
      <c r="W373" s="4"/>
      <c r="X373" s="4"/>
      <c r="Y373" s="4"/>
      <c r="Z373" s="4"/>
    </row>
    <row r="374" ht="14.25" customHeight="1">
      <c r="A374" s="2"/>
      <c r="B374" s="4"/>
      <c r="C374" s="2"/>
      <c r="D374" s="2"/>
      <c r="E374" s="4"/>
      <c r="F374" s="2"/>
      <c r="G374" s="4"/>
      <c r="H374" s="4"/>
      <c r="I374" s="4"/>
      <c r="J374" s="4"/>
      <c r="K374" s="4"/>
      <c r="L374" s="4"/>
      <c r="M374" s="4"/>
      <c r="N374" s="4"/>
      <c r="O374" s="4"/>
      <c r="P374" s="4"/>
      <c r="Q374" s="4"/>
      <c r="R374" s="4"/>
      <c r="S374" s="4"/>
      <c r="T374" s="4"/>
      <c r="U374" s="4"/>
      <c r="V374" s="4"/>
      <c r="W374" s="4"/>
      <c r="X374" s="4"/>
      <c r="Y374" s="4"/>
      <c r="Z374" s="4"/>
    </row>
    <row r="375" ht="14.25" customHeight="1">
      <c r="A375" s="2"/>
      <c r="B375" s="4"/>
      <c r="C375" s="2"/>
      <c r="D375" s="2"/>
      <c r="E375" s="4"/>
      <c r="F375" s="2"/>
      <c r="G375" s="4"/>
      <c r="H375" s="4"/>
      <c r="I375" s="4"/>
      <c r="J375" s="4"/>
      <c r="K375" s="4"/>
      <c r="L375" s="4"/>
      <c r="M375" s="4"/>
      <c r="N375" s="4"/>
      <c r="O375" s="4"/>
      <c r="P375" s="4"/>
      <c r="Q375" s="4"/>
      <c r="R375" s="4"/>
      <c r="S375" s="4"/>
      <c r="T375" s="4"/>
      <c r="U375" s="4"/>
      <c r="V375" s="4"/>
      <c r="W375" s="4"/>
      <c r="X375" s="4"/>
      <c r="Y375" s="4"/>
      <c r="Z375" s="4"/>
    </row>
    <row r="376" ht="14.25" customHeight="1">
      <c r="A376" s="2"/>
      <c r="B376" s="4"/>
      <c r="C376" s="2"/>
      <c r="D376" s="2"/>
      <c r="E376" s="4"/>
      <c r="F376" s="2"/>
      <c r="G376" s="4"/>
      <c r="H376" s="4"/>
      <c r="I376" s="4"/>
      <c r="J376" s="4"/>
      <c r="K376" s="4"/>
      <c r="L376" s="4"/>
      <c r="M376" s="4"/>
      <c r="N376" s="4"/>
      <c r="O376" s="4"/>
      <c r="P376" s="4"/>
      <c r="Q376" s="4"/>
      <c r="R376" s="4"/>
      <c r="S376" s="4"/>
      <c r="T376" s="4"/>
      <c r="U376" s="4"/>
      <c r="V376" s="4"/>
      <c r="W376" s="4"/>
      <c r="X376" s="4"/>
      <c r="Y376" s="4"/>
      <c r="Z376" s="4"/>
    </row>
    <row r="377" ht="14.25" customHeight="1">
      <c r="A377" s="2"/>
      <c r="B377" s="4"/>
      <c r="C377" s="2"/>
      <c r="D377" s="2"/>
      <c r="E377" s="4"/>
      <c r="F377" s="2"/>
      <c r="G377" s="4"/>
      <c r="H377" s="4"/>
      <c r="I377" s="4"/>
      <c r="J377" s="4"/>
      <c r="K377" s="4"/>
      <c r="L377" s="4"/>
      <c r="M377" s="4"/>
      <c r="N377" s="4"/>
      <c r="O377" s="4"/>
      <c r="P377" s="4"/>
      <c r="Q377" s="4"/>
      <c r="R377" s="4"/>
      <c r="S377" s="4"/>
      <c r="T377" s="4"/>
      <c r="U377" s="4"/>
      <c r="V377" s="4"/>
      <c r="W377" s="4"/>
      <c r="X377" s="4"/>
      <c r="Y377" s="4"/>
      <c r="Z377" s="4"/>
    </row>
    <row r="378" ht="14.25" customHeight="1">
      <c r="A378" s="2"/>
      <c r="B378" s="4"/>
      <c r="C378" s="2"/>
      <c r="D378" s="2"/>
      <c r="E378" s="4"/>
      <c r="F378" s="2"/>
      <c r="G378" s="4"/>
      <c r="H378" s="4"/>
      <c r="I378" s="4"/>
      <c r="J378" s="4"/>
      <c r="K378" s="4"/>
      <c r="L378" s="4"/>
      <c r="M378" s="4"/>
      <c r="N378" s="4"/>
      <c r="O378" s="4"/>
      <c r="P378" s="4"/>
      <c r="Q378" s="4"/>
      <c r="R378" s="4"/>
      <c r="S378" s="4"/>
      <c r="T378" s="4"/>
      <c r="U378" s="4"/>
      <c r="V378" s="4"/>
      <c r="W378" s="4"/>
      <c r="X378" s="4"/>
      <c r="Y378" s="4"/>
      <c r="Z378" s="4"/>
    </row>
    <row r="379" ht="14.25" customHeight="1">
      <c r="A379" s="2"/>
      <c r="B379" s="4"/>
      <c r="C379" s="2"/>
      <c r="D379" s="2"/>
      <c r="E379" s="4"/>
      <c r="F379" s="2"/>
      <c r="G379" s="4"/>
      <c r="H379" s="4"/>
      <c r="I379" s="4"/>
      <c r="J379" s="4"/>
      <c r="K379" s="4"/>
      <c r="L379" s="4"/>
      <c r="M379" s="4"/>
      <c r="N379" s="4"/>
      <c r="O379" s="4"/>
      <c r="P379" s="4"/>
      <c r="Q379" s="4"/>
      <c r="R379" s="4"/>
      <c r="S379" s="4"/>
      <c r="T379" s="4"/>
      <c r="U379" s="4"/>
      <c r="V379" s="4"/>
      <c r="W379" s="4"/>
      <c r="X379" s="4"/>
      <c r="Y379" s="4"/>
      <c r="Z379" s="4"/>
    </row>
    <row r="380" ht="14.25" customHeight="1">
      <c r="A380" s="2"/>
      <c r="B380" s="4"/>
      <c r="C380" s="2"/>
      <c r="D380" s="2"/>
      <c r="E380" s="4"/>
      <c r="F380" s="2"/>
      <c r="G380" s="4"/>
      <c r="H380" s="4"/>
      <c r="I380" s="4"/>
      <c r="J380" s="4"/>
      <c r="K380" s="4"/>
      <c r="L380" s="4"/>
      <c r="M380" s="4"/>
      <c r="N380" s="4"/>
      <c r="O380" s="4"/>
      <c r="P380" s="4"/>
      <c r="Q380" s="4"/>
      <c r="R380" s="4"/>
      <c r="S380" s="4"/>
      <c r="T380" s="4"/>
      <c r="U380" s="4"/>
      <c r="V380" s="4"/>
      <c r="W380" s="4"/>
      <c r="X380" s="4"/>
      <c r="Y380" s="4"/>
      <c r="Z380" s="4"/>
    </row>
    <row r="381" ht="14.25" customHeight="1">
      <c r="A381" s="2"/>
      <c r="B381" s="4"/>
      <c r="C381" s="2"/>
      <c r="D381" s="2"/>
      <c r="E381" s="4"/>
      <c r="F381" s="2"/>
      <c r="G381" s="4"/>
      <c r="H381" s="4"/>
      <c r="I381" s="4"/>
      <c r="J381" s="4"/>
      <c r="K381" s="4"/>
      <c r="L381" s="4"/>
      <c r="M381" s="4"/>
      <c r="N381" s="4"/>
      <c r="O381" s="4"/>
      <c r="P381" s="4"/>
      <c r="Q381" s="4"/>
      <c r="R381" s="4"/>
      <c r="S381" s="4"/>
      <c r="T381" s="4"/>
      <c r="U381" s="4"/>
      <c r="V381" s="4"/>
      <c r="W381" s="4"/>
      <c r="X381" s="4"/>
      <c r="Y381" s="4"/>
      <c r="Z381" s="4"/>
    </row>
    <row r="382" ht="14.25" customHeight="1">
      <c r="A382" s="2"/>
      <c r="B382" s="4"/>
      <c r="C382" s="2"/>
      <c r="D382" s="2"/>
      <c r="E382" s="4"/>
      <c r="F382" s="2"/>
      <c r="G382" s="4"/>
      <c r="H382" s="4"/>
      <c r="I382" s="4"/>
      <c r="J382" s="4"/>
      <c r="K382" s="4"/>
      <c r="L382" s="4"/>
      <c r="M382" s="4"/>
      <c r="N382" s="4"/>
      <c r="O382" s="4"/>
      <c r="P382" s="4"/>
      <c r="Q382" s="4"/>
      <c r="R382" s="4"/>
      <c r="S382" s="4"/>
      <c r="T382" s="4"/>
      <c r="U382" s="4"/>
      <c r="V382" s="4"/>
      <c r="W382" s="4"/>
      <c r="X382" s="4"/>
      <c r="Y382" s="4"/>
      <c r="Z382" s="4"/>
    </row>
    <row r="383" ht="14.25" customHeight="1">
      <c r="A383" s="2"/>
      <c r="B383" s="4"/>
      <c r="C383" s="2"/>
      <c r="D383" s="2"/>
      <c r="E383" s="4"/>
      <c r="F383" s="2"/>
      <c r="G383" s="4"/>
      <c r="H383" s="4"/>
      <c r="I383" s="4"/>
      <c r="J383" s="4"/>
      <c r="K383" s="4"/>
      <c r="L383" s="4"/>
      <c r="M383" s="4"/>
      <c r="N383" s="4"/>
      <c r="O383" s="4"/>
      <c r="P383" s="4"/>
      <c r="Q383" s="4"/>
      <c r="R383" s="4"/>
      <c r="S383" s="4"/>
      <c r="T383" s="4"/>
      <c r="U383" s="4"/>
      <c r="V383" s="4"/>
      <c r="W383" s="4"/>
      <c r="X383" s="4"/>
      <c r="Y383" s="4"/>
      <c r="Z383" s="4"/>
    </row>
    <row r="384" ht="14.25" customHeight="1">
      <c r="A384" s="2"/>
      <c r="B384" s="4"/>
      <c r="C384" s="2"/>
      <c r="D384" s="2"/>
      <c r="E384" s="4"/>
      <c r="F384" s="2"/>
      <c r="G384" s="4"/>
      <c r="H384" s="4"/>
      <c r="I384" s="4"/>
      <c r="J384" s="4"/>
      <c r="K384" s="4"/>
      <c r="L384" s="4"/>
      <c r="M384" s="4"/>
      <c r="N384" s="4"/>
      <c r="O384" s="4"/>
      <c r="P384" s="4"/>
      <c r="Q384" s="4"/>
      <c r="R384" s="4"/>
      <c r="S384" s="4"/>
      <c r="T384" s="4"/>
      <c r="U384" s="4"/>
      <c r="V384" s="4"/>
      <c r="W384" s="4"/>
      <c r="X384" s="4"/>
      <c r="Y384" s="4"/>
      <c r="Z384" s="4"/>
    </row>
    <row r="385" ht="14.25" customHeight="1">
      <c r="A385" s="2"/>
      <c r="B385" s="4"/>
      <c r="C385" s="2"/>
      <c r="D385" s="2"/>
      <c r="E385" s="4"/>
      <c r="F385" s="2"/>
      <c r="G385" s="4"/>
      <c r="H385" s="4"/>
      <c r="I385" s="4"/>
      <c r="J385" s="4"/>
      <c r="K385" s="4"/>
      <c r="L385" s="4"/>
      <c r="M385" s="4"/>
      <c r="N385" s="4"/>
      <c r="O385" s="4"/>
      <c r="P385" s="4"/>
      <c r="Q385" s="4"/>
      <c r="R385" s="4"/>
      <c r="S385" s="4"/>
      <c r="T385" s="4"/>
      <c r="U385" s="4"/>
      <c r="V385" s="4"/>
      <c r="W385" s="4"/>
      <c r="X385" s="4"/>
      <c r="Y385" s="4"/>
      <c r="Z385" s="4"/>
    </row>
    <row r="386" ht="14.25" customHeight="1">
      <c r="A386" s="2"/>
      <c r="B386" s="4"/>
      <c r="C386" s="2"/>
      <c r="D386" s="2"/>
      <c r="E386" s="4"/>
      <c r="F386" s="2"/>
      <c r="G386" s="4"/>
      <c r="H386" s="4"/>
      <c r="I386" s="4"/>
      <c r="J386" s="4"/>
      <c r="K386" s="4"/>
      <c r="L386" s="4"/>
      <c r="M386" s="4"/>
      <c r="N386" s="4"/>
      <c r="O386" s="4"/>
      <c r="P386" s="4"/>
      <c r="Q386" s="4"/>
      <c r="R386" s="4"/>
      <c r="S386" s="4"/>
      <c r="T386" s="4"/>
      <c r="U386" s="4"/>
      <c r="V386" s="4"/>
      <c r="W386" s="4"/>
      <c r="X386" s="4"/>
      <c r="Y386" s="4"/>
      <c r="Z386" s="4"/>
    </row>
    <row r="387" ht="14.25" customHeight="1">
      <c r="A387" s="2"/>
      <c r="B387" s="4"/>
      <c r="C387" s="2"/>
      <c r="D387" s="2"/>
      <c r="E387" s="4"/>
      <c r="F387" s="2"/>
      <c r="G387" s="4"/>
      <c r="H387" s="4"/>
      <c r="I387" s="4"/>
      <c r="J387" s="4"/>
      <c r="K387" s="4"/>
      <c r="L387" s="4"/>
      <c r="M387" s="4"/>
      <c r="N387" s="4"/>
      <c r="O387" s="4"/>
      <c r="P387" s="4"/>
      <c r="Q387" s="4"/>
      <c r="R387" s="4"/>
      <c r="S387" s="4"/>
      <c r="T387" s="4"/>
      <c r="U387" s="4"/>
      <c r="V387" s="4"/>
      <c r="W387" s="4"/>
      <c r="X387" s="4"/>
      <c r="Y387" s="4"/>
      <c r="Z387" s="4"/>
    </row>
    <row r="388" ht="14.25" customHeight="1">
      <c r="A388" s="2"/>
      <c r="B388" s="4"/>
      <c r="C388" s="2"/>
      <c r="D388" s="2"/>
      <c r="E388" s="4"/>
      <c r="F388" s="2"/>
      <c r="G388" s="4"/>
      <c r="H388" s="4"/>
      <c r="I388" s="4"/>
      <c r="J388" s="4"/>
      <c r="K388" s="4"/>
      <c r="L388" s="4"/>
      <c r="M388" s="4"/>
      <c r="N388" s="4"/>
      <c r="O388" s="4"/>
      <c r="P388" s="4"/>
      <c r="Q388" s="4"/>
      <c r="R388" s="4"/>
      <c r="S388" s="4"/>
      <c r="T388" s="4"/>
      <c r="U388" s="4"/>
      <c r="V388" s="4"/>
      <c r="W388" s="4"/>
      <c r="X388" s="4"/>
      <c r="Y388" s="4"/>
      <c r="Z388" s="4"/>
    </row>
    <row r="389" ht="14.25" customHeight="1">
      <c r="A389" s="2"/>
      <c r="B389" s="4"/>
      <c r="C389" s="2"/>
      <c r="D389" s="2"/>
      <c r="E389" s="4"/>
      <c r="F389" s="2"/>
      <c r="G389" s="4"/>
      <c r="H389" s="4"/>
      <c r="I389" s="4"/>
      <c r="J389" s="4"/>
      <c r="K389" s="4"/>
      <c r="L389" s="4"/>
      <c r="M389" s="4"/>
      <c r="N389" s="4"/>
      <c r="O389" s="4"/>
      <c r="P389" s="4"/>
      <c r="Q389" s="4"/>
      <c r="R389" s="4"/>
      <c r="S389" s="4"/>
      <c r="T389" s="4"/>
      <c r="U389" s="4"/>
      <c r="V389" s="4"/>
      <c r="W389" s="4"/>
      <c r="X389" s="4"/>
      <c r="Y389" s="4"/>
      <c r="Z389" s="4"/>
    </row>
    <row r="390" ht="14.25" customHeight="1">
      <c r="A390" s="2"/>
      <c r="B390" s="4"/>
      <c r="C390" s="2"/>
      <c r="D390" s="2"/>
      <c r="E390" s="4"/>
      <c r="F390" s="2"/>
      <c r="G390" s="4"/>
      <c r="H390" s="4"/>
      <c r="I390" s="4"/>
      <c r="J390" s="4"/>
      <c r="K390" s="4"/>
      <c r="L390" s="4"/>
      <c r="M390" s="4"/>
      <c r="N390" s="4"/>
      <c r="O390" s="4"/>
      <c r="P390" s="4"/>
      <c r="Q390" s="4"/>
      <c r="R390" s="4"/>
      <c r="S390" s="4"/>
      <c r="T390" s="4"/>
      <c r="U390" s="4"/>
      <c r="V390" s="4"/>
      <c r="W390" s="4"/>
      <c r="X390" s="4"/>
      <c r="Y390" s="4"/>
      <c r="Z390" s="4"/>
    </row>
    <row r="391" ht="14.25" customHeight="1">
      <c r="A391" s="2"/>
      <c r="B391" s="4"/>
      <c r="C391" s="2"/>
      <c r="D391" s="2"/>
      <c r="E391" s="4"/>
      <c r="F391" s="2"/>
      <c r="G391" s="4"/>
      <c r="H391" s="4"/>
      <c r="I391" s="4"/>
      <c r="J391" s="4"/>
      <c r="K391" s="4"/>
      <c r="L391" s="4"/>
      <c r="M391" s="4"/>
      <c r="N391" s="4"/>
      <c r="O391" s="4"/>
      <c r="P391" s="4"/>
      <c r="Q391" s="4"/>
      <c r="R391" s="4"/>
      <c r="S391" s="4"/>
      <c r="T391" s="4"/>
      <c r="U391" s="4"/>
      <c r="V391" s="4"/>
      <c r="W391" s="4"/>
      <c r="X391" s="4"/>
      <c r="Y391" s="4"/>
      <c r="Z391" s="4"/>
    </row>
    <row r="392" ht="14.25" customHeight="1">
      <c r="A392" s="2"/>
      <c r="B392" s="4"/>
      <c r="C392" s="2"/>
      <c r="D392" s="2"/>
      <c r="E392" s="4"/>
      <c r="F392" s="2"/>
      <c r="G392" s="4"/>
      <c r="H392" s="4"/>
      <c r="I392" s="4"/>
      <c r="J392" s="4"/>
      <c r="K392" s="4"/>
      <c r="L392" s="4"/>
      <c r="M392" s="4"/>
      <c r="N392" s="4"/>
      <c r="O392" s="4"/>
      <c r="P392" s="4"/>
      <c r="Q392" s="4"/>
      <c r="R392" s="4"/>
      <c r="S392" s="4"/>
      <c r="T392" s="4"/>
      <c r="U392" s="4"/>
      <c r="V392" s="4"/>
      <c r="W392" s="4"/>
      <c r="X392" s="4"/>
      <c r="Y392" s="4"/>
      <c r="Z392" s="4"/>
    </row>
    <row r="393" ht="14.25" customHeight="1">
      <c r="A393" s="2"/>
      <c r="B393" s="4"/>
      <c r="C393" s="2"/>
      <c r="D393" s="2"/>
      <c r="E393" s="4"/>
      <c r="F393" s="2"/>
      <c r="G393" s="4"/>
      <c r="H393" s="4"/>
      <c r="I393" s="4"/>
      <c r="J393" s="4"/>
      <c r="K393" s="4"/>
      <c r="L393" s="4"/>
      <c r="M393" s="4"/>
      <c r="N393" s="4"/>
      <c r="O393" s="4"/>
      <c r="P393" s="4"/>
      <c r="Q393" s="4"/>
      <c r="R393" s="4"/>
      <c r="S393" s="4"/>
      <c r="T393" s="4"/>
      <c r="U393" s="4"/>
      <c r="V393" s="4"/>
      <c r="W393" s="4"/>
      <c r="X393" s="4"/>
      <c r="Y393" s="4"/>
      <c r="Z393" s="4"/>
    </row>
    <row r="394" ht="14.25" customHeight="1">
      <c r="A394" s="2"/>
      <c r="B394" s="4"/>
      <c r="C394" s="2"/>
      <c r="D394" s="2"/>
      <c r="E394" s="4"/>
      <c r="F394" s="2"/>
      <c r="G394" s="4"/>
      <c r="H394" s="4"/>
      <c r="I394" s="4"/>
      <c r="J394" s="4"/>
      <c r="K394" s="4"/>
      <c r="L394" s="4"/>
      <c r="M394" s="4"/>
      <c r="N394" s="4"/>
      <c r="O394" s="4"/>
      <c r="P394" s="4"/>
      <c r="Q394" s="4"/>
      <c r="R394" s="4"/>
      <c r="S394" s="4"/>
      <c r="T394" s="4"/>
      <c r="U394" s="4"/>
      <c r="V394" s="4"/>
      <c r="W394" s="4"/>
      <c r="X394" s="4"/>
      <c r="Y394" s="4"/>
      <c r="Z394" s="4"/>
    </row>
    <row r="395" ht="14.25" customHeight="1">
      <c r="A395" s="2"/>
      <c r="B395" s="4"/>
      <c r="C395" s="2"/>
      <c r="D395" s="2"/>
      <c r="E395" s="4"/>
      <c r="F395" s="2"/>
      <c r="G395" s="4"/>
      <c r="H395" s="4"/>
      <c r="I395" s="4"/>
      <c r="J395" s="4"/>
      <c r="K395" s="4"/>
      <c r="L395" s="4"/>
      <c r="M395" s="4"/>
      <c r="N395" s="4"/>
      <c r="O395" s="4"/>
      <c r="P395" s="4"/>
      <c r="Q395" s="4"/>
      <c r="R395" s="4"/>
      <c r="S395" s="4"/>
      <c r="T395" s="4"/>
      <c r="U395" s="4"/>
      <c r="V395" s="4"/>
      <c r="W395" s="4"/>
      <c r="X395" s="4"/>
      <c r="Y395" s="4"/>
      <c r="Z395" s="4"/>
    </row>
    <row r="396" ht="14.25" customHeight="1">
      <c r="A396" s="2"/>
      <c r="B396" s="4"/>
      <c r="C396" s="2"/>
      <c r="D396" s="2"/>
      <c r="E396" s="4"/>
      <c r="F396" s="2"/>
      <c r="G396" s="4"/>
      <c r="H396" s="4"/>
      <c r="I396" s="4"/>
      <c r="J396" s="4"/>
      <c r="K396" s="4"/>
      <c r="L396" s="4"/>
      <c r="M396" s="4"/>
      <c r="N396" s="4"/>
      <c r="O396" s="4"/>
      <c r="P396" s="4"/>
      <c r="Q396" s="4"/>
      <c r="R396" s="4"/>
      <c r="S396" s="4"/>
      <c r="T396" s="4"/>
      <c r="U396" s="4"/>
      <c r="V396" s="4"/>
      <c r="W396" s="4"/>
      <c r="X396" s="4"/>
      <c r="Y396" s="4"/>
      <c r="Z396" s="4"/>
    </row>
    <row r="397" ht="14.25" customHeight="1">
      <c r="A397" s="2"/>
      <c r="B397" s="4"/>
      <c r="C397" s="2"/>
      <c r="D397" s="2"/>
      <c r="E397" s="4"/>
      <c r="F397" s="2"/>
      <c r="G397" s="4"/>
      <c r="H397" s="4"/>
      <c r="I397" s="4"/>
      <c r="J397" s="4"/>
      <c r="K397" s="4"/>
      <c r="L397" s="4"/>
      <c r="M397" s="4"/>
      <c r="N397" s="4"/>
      <c r="O397" s="4"/>
      <c r="P397" s="4"/>
      <c r="Q397" s="4"/>
      <c r="R397" s="4"/>
      <c r="S397" s="4"/>
      <c r="T397" s="4"/>
      <c r="U397" s="4"/>
      <c r="V397" s="4"/>
      <c r="W397" s="4"/>
      <c r="X397" s="4"/>
      <c r="Y397" s="4"/>
      <c r="Z397" s="4"/>
    </row>
    <row r="398" ht="14.25" customHeight="1">
      <c r="A398" s="2"/>
      <c r="B398" s="4"/>
      <c r="C398" s="2"/>
      <c r="D398" s="2"/>
      <c r="E398" s="4"/>
      <c r="F398" s="2"/>
      <c r="G398" s="4"/>
      <c r="H398" s="4"/>
      <c r="I398" s="4"/>
      <c r="J398" s="4"/>
      <c r="K398" s="4"/>
      <c r="L398" s="4"/>
      <c r="M398" s="4"/>
      <c r="N398" s="4"/>
      <c r="O398" s="4"/>
      <c r="P398" s="4"/>
      <c r="Q398" s="4"/>
      <c r="R398" s="4"/>
      <c r="S398" s="4"/>
      <c r="T398" s="4"/>
      <c r="U398" s="4"/>
      <c r="V398" s="4"/>
      <c r="W398" s="4"/>
      <c r="X398" s="4"/>
      <c r="Y398" s="4"/>
      <c r="Z398" s="4"/>
    </row>
    <row r="399" ht="14.25" customHeight="1">
      <c r="A399" s="2"/>
      <c r="B399" s="4"/>
      <c r="C399" s="2"/>
      <c r="D399" s="2"/>
      <c r="E399" s="4"/>
      <c r="F399" s="2"/>
      <c r="G399" s="4"/>
      <c r="H399" s="4"/>
      <c r="I399" s="4"/>
      <c r="J399" s="4"/>
      <c r="K399" s="4"/>
      <c r="L399" s="4"/>
      <c r="M399" s="4"/>
      <c r="N399" s="4"/>
      <c r="O399" s="4"/>
      <c r="P399" s="4"/>
      <c r="Q399" s="4"/>
      <c r="R399" s="4"/>
      <c r="S399" s="4"/>
      <c r="T399" s="4"/>
      <c r="U399" s="4"/>
      <c r="V399" s="4"/>
      <c r="W399" s="4"/>
      <c r="X399" s="4"/>
      <c r="Y399" s="4"/>
      <c r="Z399" s="4"/>
    </row>
    <row r="400" ht="14.25" customHeight="1">
      <c r="A400" s="2"/>
      <c r="B400" s="4"/>
      <c r="C400" s="2"/>
      <c r="D400" s="2"/>
      <c r="E400" s="4"/>
      <c r="F400" s="2"/>
      <c r="G400" s="4"/>
      <c r="H400" s="4"/>
      <c r="I400" s="4"/>
      <c r="J400" s="4"/>
      <c r="K400" s="4"/>
      <c r="L400" s="4"/>
      <c r="M400" s="4"/>
      <c r="N400" s="4"/>
      <c r="O400" s="4"/>
      <c r="P400" s="4"/>
      <c r="Q400" s="4"/>
      <c r="R400" s="4"/>
      <c r="S400" s="4"/>
      <c r="T400" s="4"/>
      <c r="U400" s="4"/>
      <c r="V400" s="4"/>
      <c r="W400" s="4"/>
      <c r="X400" s="4"/>
      <c r="Y400" s="4"/>
      <c r="Z400" s="4"/>
    </row>
    <row r="401" ht="14.25" customHeight="1">
      <c r="A401" s="2"/>
      <c r="B401" s="4"/>
      <c r="C401" s="2"/>
      <c r="D401" s="2"/>
      <c r="E401" s="4"/>
      <c r="F401" s="2"/>
      <c r="G401" s="4"/>
      <c r="H401" s="4"/>
      <c r="I401" s="4"/>
      <c r="J401" s="4"/>
      <c r="K401" s="4"/>
      <c r="L401" s="4"/>
      <c r="M401" s="4"/>
      <c r="N401" s="4"/>
      <c r="O401" s="4"/>
      <c r="P401" s="4"/>
      <c r="Q401" s="4"/>
      <c r="R401" s="4"/>
      <c r="S401" s="4"/>
      <c r="T401" s="4"/>
      <c r="U401" s="4"/>
      <c r="V401" s="4"/>
      <c r="W401" s="4"/>
      <c r="X401" s="4"/>
      <c r="Y401" s="4"/>
      <c r="Z401" s="4"/>
    </row>
    <row r="402" ht="14.25" customHeight="1">
      <c r="A402" s="2"/>
      <c r="B402" s="4"/>
      <c r="C402" s="2"/>
      <c r="D402" s="2"/>
      <c r="E402" s="4"/>
      <c r="F402" s="2"/>
      <c r="G402" s="4"/>
      <c r="H402" s="4"/>
      <c r="I402" s="4"/>
      <c r="J402" s="4"/>
      <c r="K402" s="4"/>
      <c r="L402" s="4"/>
      <c r="M402" s="4"/>
      <c r="N402" s="4"/>
      <c r="O402" s="4"/>
      <c r="P402" s="4"/>
      <c r="Q402" s="4"/>
      <c r="R402" s="4"/>
      <c r="S402" s="4"/>
      <c r="T402" s="4"/>
      <c r="U402" s="4"/>
      <c r="V402" s="4"/>
      <c r="W402" s="4"/>
      <c r="X402" s="4"/>
      <c r="Y402" s="4"/>
      <c r="Z402" s="4"/>
    </row>
    <row r="403" ht="14.25" customHeight="1">
      <c r="A403" s="2"/>
      <c r="B403" s="4"/>
      <c r="C403" s="2"/>
      <c r="D403" s="2"/>
      <c r="E403" s="4"/>
      <c r="F403" s="2"/>
      <c r="G403" s="4"/>
      <c r="H403" s="4"/>
      <c r="I403" s="4"/>
      <c r="J403" s="4"/>
      <c r="K403" s="4"/>
      <c r="L403" s="4"/>
      <c r="M403" s="4"/>
      <c r="N403" s="4"/>
      <c r="O403" s="4"/>
      <c r="P403" s="4"/>
      <c r="Q403" s="4"/>
      <c r="R403" s="4"/>
      <c r="S403" s="4"/>
      <c r="T403" s="4"/>
      <c r="U403" s="4"/>
      <c r="V403" s="4"/>
      <c r="W403" s="4"/>
      <c r="X403" s="4"/>
      <c r="Y403" s="4"/>
      <c r="Z403" s="4"/>
    </row>
    <row r="404" ht="14.25" customHeight="1">
      <c r="A404" s="2"/>
      <c r="B404" s="4"/>
      <c r="C404" s="2"/>
      <c r="D404" s="2"/>
      <c r="E404" s="4"/>
      <c r="F404" s="2"/>
      <c r="G404" s="4"/>
      <c r="H404" s="4"/>
      <c r="I404" s="4"/>
      <c r="J404" s="4"/>
      <c r="K404" s="4"/>
      <c r="L404" s="4"/>
      <c r="M404" s="4"/>
      <c r="N404" s="4"/>
      <c r="O404" s="4"/>
      <c r="P404" s="4"/>
      <c r="Q404" s="4"/>
      <c r="R404" s="4"/>
      <c r="S404" s="4"/>
      <c r="T404" s="4"/>
      <c r="U404" s="4"/>
      <c r="V404" s="4"/>
      <c r="W404" s="4"/>
      <c r="X404" s="4"/>
      <c r="Y404" s="4"/>
      <c r="Z404" s="4"/>
    </row>
    <row r="405" ht="14.25" customHeight="1">
      <c r="A405" s="2"/>
      <c r="B405" s="4"/>
      <c r="C405" s="2"/>
      <c r="D405" s="2"/>
      <c r="E405" s="4"/>
      <c r="F405" s="2"/>
      <c r="G405" s="4"/>
      <c r="H405" s="4"/>
      <c r="I405" s="4"/>
      <c r="J405" s="4"/>
      <c r="K405" s="4"/>
      <c r="L405" s="4"/>
      <c r="M405" s="4"/>
      <c r="N405" s="4"/>
      <c r="O405" s="4"/>
      <c r="P405" s="4"/>
      <c r="Q405" s="4"/>
      <c r="R405" s="4"/>
      <c r="S405" s="4"/>
      <c r="T405" s="4"/>
      <c r="U405" s="4"/>
      <c r="V405" s="4"/>
      <c r="W405" s="4"/>
      <c r="X405" s="4"/>
      <c r="Y405" s="4"/>
      <c r="Z405" s="4"/>
    </row>
    <row r="406" ht="14.25" customHeight="1">
      <c r="A406" s="2"/>
      <c r="B406" s="4"/>
      <c r="C406" s="2"/>
      <c r="D406" s="2"/>
      <c r="E406" s="4"/>
      <c r="F406" s="2"/>
      <c r="G406" s="4"/>
      <c r="H406" s="4"/>
      <c r="I406" s="4"/>
      <c r="J406" s="4"/>
      <c r="K406" s="4"/>
      <c r="L406" s="4"/>
      <c r="M406" s="4"/>
      <c r="N406" s="4"/>
      <c r="O406" s="4"/>
      <c r="P406" s="4"/>
      <c r="Q406" s="4"/>
      <c r="R406" s="4"/>
      <c r="S406" s="4"/>
      <c r="T406" s="4"/>
      <c r="U406" s="4"/>
      <c r="V406" s="4"/>
      <c r="W406" s="4"/>
      <c r="X406" s="4"/>
      <c r="Y406" s="4"/>
      <c r="Z406" s="4"/>
    </row>
    <row r="407" ht="14.25" customHeight="1">
      <c r="A407" s="2"/>
      <c r="B407" s="4"/>
      <c r="C407" s="2"/>
      <c r="D407" s="2"/>
      <c r="E407" s="4"/>
      <c r="F407" s="2"/>
      <c r="G407" s="4"/>
      <c r="H407" s="4"/>
      <c r="I407" s="4"/>
      <c r="J407" s="4"/>
      <c r="K407" s="4"/>
      <c r="L407" s="4"/>
      <c r="M407" s="4"/>
      <c r="N407" s="4"/>
      <c r="O407" s="4"/>
      <c r="P407" s="4"/>
      <c r="Q407" s="4"/>
      <c r="R407" s="4"/>
      <c r="S407" s="4"/>
      <c r="T407" s="4"/>
      <c r="U407" s="4"/>
      <c r="V407" s="4"/>
      <c r="W407" s="4"/>
      <c r="X407" s="4"/>
      <c r="Y407" s="4"/>
      <c r="Z407" s="4"/>
    </row>
    <row r="408" ht="14.25" customHeight="1">
      <c r="A408" s="2"/>
      <c r="B408" s="4"/>
      <c r="C408" s="2"/>
      <c r="D408" s="2"/>
      <c r="E408" s="4"/>
      <c r="F408" s="2"/>
      <c r="G408" s="4"/>
      <c r="H408" s="4"/>
      <c r="I408" s="4"/>
      <c r="J408" s="4"/>
      <c r="K408" s="4"/>
      <c r="L408" s="4"/>
      <c r="M408" s="4"/>
      <c r="N408" s="4"/>
      <c r="O408" s="4"/>
      <c r="P408" s="4"/>
      <c r="Q408" s="4"/>
      <c r="R408" s="4"/>
      <c r="S408" s="4"/>
      <c r="T408" s="4"/>
      <c r="U408" s="4"/>
      <c r="V408" s="4"/>
      <c r="W408" s="4"/>
      <c r="X408" s="4"/>
      <c r="Y408" s="4"/>
      <c r="Z408" s="4"/>
    </row>
    <row r="409" ht="14.25" customHeight="1">
      <c r="A409" s="2"/>
      <c r="B409" s="4"/>
      <c r="C409" s="2"/>
      <c r="D409" s="2"/>
      <c r="E409" s="4"/>
      <c r="F409" s="2"/>
      <c r="G409" s="4"/>
      <c r="H409" s="4"/>
      <c r="I409" s="4"/>
      <c r="J409" s="4"/>
      <c r="K409" s="4"/>
      <c r="L409" s="4"/>
      <c r="M409" s="4"/>
      <c r="N409" s="4"/>
      <c r="O409" s="4"/>
      <c r="P409" s="4"/>
      <c r="Q409" s="4"/>
      <c r="R409" s="4"/>
      <c r="S409" s="4"/>
      <c r="T409" s="4"/>
      <c r="U409" s="4"/>
      <c r="V409" s="4"/>
      <c r="W409" s="4"/>
      <c r="X409" s="4"/>
      <c r="Y409" s="4"/>
      <c r="Z409" s="4"/>
    </row>
    <row r="410" ht="14.25" customHeight="1">
      <c r="A410" s="2"/>
      <c r="B410" s="4"/>
      <c r="C410" s="2"/>
      <c r="D410" s="2"/>
      <c r="E410" s="4"/>
      <c r="F410" s="2"/>
      <c r="G410" s="4"/>
      <c r="H410" s="4"/>
      <c r="I410" s="4"/>
      <c r="J410" s="4"/>
      <c r="K410" s="4"/>
      <c r="L410" s="4"/>
      <c r="M410" s="4"/>
      <c r="N410" s="4"/>
      <c r="O410" s="4"/>
      <c r="P410" s="4"/>
      <c r="Q410" s="4"/>
      <c r="R410" s="4"/>
      <c r="S410" s="4"/>
      <c r="T410" s="4"/>
      <c r="U410" s="4"/>
      <c r="V410" s="4"/>
      <c r="W410" s="4"/>
      <c r="X410" s="4"/>
      <c r="Y410" s="4"/>
      <c r="Z410" s="4"/>
    </row>
    <row r="411" ht="14.25" customHeight="1">
      <c r="A411" s="2"/>
      <c r="B411" s="4"/>
      <c r="C411" s="2"/>
      <c r="D411" s="2"/>
      <c r="E411" s="4"/>
      <c r="F411" s="2"/>
      <c r="G411" s="4"/>
      <c r="H411" s="4"/>
      <c r="I411" s="4"/>
      <c r="J411" s="4"/>
      <c r="K411" s="4"/>
      <c r="L411" s="4"/>
      <c r="M411" s="4"/>
      <c r="N411" s="4"/>
      <c r="O411" s="4"/>
      <c r="P411" s="4"/>
      <c r="Q411" s="4"/>
      <c r="R411" s="4"/>
      <c r="S411" s="4"/>
      <c r="T411" s="4"/>
      <c r="U411" s="4"/>
      <c r="V411" s="4"/>
      <c r="W411" s="4"/>
      <c r="X411" s="4"/>
      <c r="Y411" s="4"/>
      <c r="Z411" s="4"/>
    </row>
    <row r="412" ht="14.25" customHeight="1">
      <c r="A412" s="2"/>
      <c r="B412" s="4"/>
      <c r="C412" s="2"/>
      <c r="D412" s="2"/>
      <c r="E412" s="4"/>
      <c r="F412" s="2"/>
      <c r="G412" s="4"/>
      <c r="H412" s="4"/>
      <c r="I412" s="4"/>
      <c r="J412" s="4"/>
      <c r="K412" s="4"/>
      <c r="L412" s="4"/>
      <c r="M412" s="4"/>
      <c r="N412" s="4"/>
      <c r="O412" s="4"/>
      <c r="P412" s="4"/>
      <c r="Q412" s="4"/>
      <c r="R412" s="4"/>
      <c r="S412" s="4"/>
      <c r="T412" s="4"/>
      <c r="U412" s="4"/>
      <c r="V412" s="4"/>
      <c r="W412" s="4"/>
      <c r="X412" s="4"/>
      <c r="Y412" s="4"/>
      <c r="Z412" s="4"/>
    </row>
    <row r="413" ht="14.25" customHeight="1">
      <c r="A413" s="2"/>
      <c r="B413" s="4"/>
      <c r="C413" s="2"/>
      <c r="D413" s="2"/>
      <c r="E413" s="4"/>
      <c r="F413" s="2"/>
      <c r="G413" s="4"/>
      <c r="H413" s="4"/>
      <c r="I413" s="4"/>
      <c r="J413" s="4"/>
      <c r="K413" s="4"/>
      <c r="L413" s="4"/>
      <c r="M413" s="4"/>
      <c r="N413" s="4"/>
      <c r="O413" s="4"/>
      <c r="P413" s="4"/>
      <c r="Q413" s="4"/>
      <c r="R413" s="4"/>
      <c r="S413" s="4"/>
      <c r="T413" s="4"/>
      <c r="U413" s="4"/>
      <c r="V413" s="4"/>
      <c r="W413" s="4"/>
      <c r="X413" s="4"/>
      <c r="Y413" s="4"/>
      <c r="Z413" s="4"/>
    </row>
    <row r="414" ht="14.25" customHeight="1">
      <c r="A414" s="2"/>
      <c r="B414" s="4"/>
      <c r="C414" s="2"/>
      <c r="D414" s="2"/>
      <c r="E414" s="4"/>
      <c r="F414" s="2"/>
      <c r="G414" s="4"/>
      <c r="H414" s="4"/>
      <c r="I414" s="4"/>
      <c r="J414" s="4"/>
      <c r="K414" s="4"/>
      <c r="L414" s="4"/>
      <c r="M414" s="4"/>
      <c r="N414" s="4"/>
      <c r="O414" s="4"/>
      <c r="P414" s="4"/>
      <c r="Q414" s="4"/>
      <c r="R414" s="4"/>
      <c r="S414" s="4"/>
      <c r="T414" s="4"/>
      <c r="U414" s="4"/>
      <c r="V414" s="4"/>
      <c r="W414" s="4"/>
      <c r="X414" s="4"/>
      <c r="Y414" s="4"/>
      <c r="Z414" s="4"/>
    </row>
    <row r="415" ht="14.25" customHeight="1">
      <c r="A415" s="2"/>
      <c r="B415" s="4"/>
      <c r="C415" s="2"/>
      <c r="D415" s="2"/>
      <c r="E415" s="4"/>
      <c r="F415" s="2"/>
      <c r="G415" s="4"/>
      <c r="H415" s="4"/>
      <c r="I415" s="4"/>
      <c r="J415" s="4"/>
      <c r="K415" s="4"/>
      <c r="L415" s="4"/>
      <c r="M415" s="4"/>
      <c r="N415" s="4"/>
      <c r="O415" s="4"/>
      <c r="P415" s="4"/>
      <c r="Q415" s="4"/>
      <c r="R415" s="4"/>
      <c r="S415" s="4"/>
      <c r="T415" s="4"/>
      <c r="U415" s="4"/>
      <c r="V415" s="4"/>
      <c r="W415" s="4"/>
      <c r="X415" s="4"/>
      <c r="Y415" s="4"/>
      <c r="Z415" s="4"/>
    </row>
    <row r="416" ht="14.25" customHeight="1">
      <c r="A416" s="2"/>
      <c r="B416" s="4"/>
      <c r="C416" s="2"/>
      <c r="D416" s="2"/>
      <c r="E416" s="4"/>
      <c r="F416" s="2"/>
      <c r="G416" s="4"/>
      <c r="H416" s="4"/>
      <c r="I416" s="4"/>
      <c r="J416" s="4"/>
      <c r="K416" s="4"/>
      <c r="L416" s="4"/>
      <c r="M416" s="4"/>
      <c r="N416" s="4"/>
      <c r="O416" s="4"/>
      <c r="P416" s="4"/>
      <c r="Q416" s="4"/>
      <c r="R416" s="4"/>
      <c r="S416" s="4"/>
      <c r="T416" s="4"/>
      <c r="U416" s="4"/>
      <c r="V416" s="4"/>
      <c r="W416" s="4"/>
      <c r="X416" s="4"/>
      <c r="Y416" s="4"/>
      <c r="Z416" s="4"/>
    </row>
    <row r="417" ht="14.25" customHeight="1">
      <c r="A417" s="2"/>
      <c r="B417" s="4"/>
      <c r="C417" s="2"/>
      <c r="D417" s="2"/>
      <c r="E417" s="4"/>
      <c r="F417" s="2"/>
      <c r="G417" s="4"/>
      <c r="H417" s="4"/>
      <c r="I417" s="4"/>
      <c r="J417" s="4"/>
      <c r="K417" s="4"/>
      <c r="L417" s="4"/>
      <c r="M417" s="4"/>
      <c r="N417" s="4"/>
      <c r="O417" s="4"/>
      <c r="P417" s="4"/>
      <c r="Q417" s="4"/>
      <c r="R417" s="4"/>
      <c r="S417" s="4"/>
      <c r="T417" s="4"/>
      <c r="U417" s="4"/>
      <c r="V417" s="4"/>
      <c r="W417" s="4"/>
      <c r="X417" s="4"/>
      <c r="Y417" s="4"/>
      <c r="Z417" s="4"/>
    </row>
    <row r="418" ht="14.25" customHeight="1">
      <c r="A418" s="2"/>
      <c r="B418" s="4"/>
      <c r="C418" s="2"/>
      <c r="D418" s="2"/>
      <c r="E418" s="4"/>
      <c r="F418" s="2"/>
      <c r="G418" s="4"/>
      <c r="H418" s="4"/>
      <c r="I418" s="4"/>
      <c r="J418" s="4"/>
      <c r="K418" s="4"/>
      <c r="L418" s="4"/>
      <c r="M418" s="4"/>
      <c r="N418" s="4"/>
      <c r="O418" s="4"/>
      <c r="P418" s="4"/>
      <c r="Q418" s="4"/>
      <c r="R418" s="4"/>
      <c r="S418" s="4"/>
      <c r="T418" s="4"/>
      <c r="U418" s="4"/>
      <c r="V418" s="4"/>
      <c r="W418" s="4"/>
      <c r="X418" s="4"/>
      <c r="Y418" s="4"/>
      <c r="Z418" s="4"/>
    </row>
    <row r="419" ht="14.25" customHeight="1">
      <c r="A419" s="2"/>
      <c r="B419" s="4"/>
      <c r="C419" s="2"/>
      <c r="D419" s="2"/>
      <c r="E419" s="4"/>
      <c r="F419" s="2"/>
      <c r="G419" s="4"/>
      <c r="H419" s="4"/>
      <c r="I419" s="4"/>
      <c r="J419" s="4"/>
      <c r="K419" s="4"/>
      <c r="L419" s="4"/>
      <c r="M419" s="4"/>
      <c r="N419" s="4"/>
      <c r="O419" s="4"/>
      <c r="P419" s="4"/>
      <c r="Q419" s="4"/>
      <c r="R419" s="4"/>
      <c r="S419" s="4"/>
      <c r="T419" s="4"/>
      <c r="U419" s="4"/>
      <c r="V419" s="4"/>
      <c r="W419" s="4"/>
      <c r="X419" s="4"/>
      <c r="Y419" s="4"/>
      <c r="Z419" s="4"/>
    </row>
    <row r="420" ht="14.25" customHeight="1">
      <c r="A420" s="2"/>
      <c r="B420" s="4"/>
      <c r="C420" s="2"/>
      <c r="D420" s="2"/>
      <c r="E420" s="4"/>
      <c r="F420" s="2"/>
      <c r="G420" s="4"/>
      <c r="H420" s="4"/>
      <c r="I420" s="4"/>
      <c r="J420" s="4"/>
      <c r="K420" s="4"/>
      <c r="L420" s="4"/>
      <c r="M420" s="4"/>
      <c r="N420" s="4"/>
      <c r="O420" s="4"/>
      <c r="P420" s="4"/>
      <c r="Q420" s="4"/>
      <c r="R420" s="4"/>
      <c r="S420" s="4"/>
      <c r="T420" s="4"/>
      <c r="U420" s="4"/>
      <c r="V420" s="4"/>
      <c r="W420" s="4"/>
      <c r="X420" s="4"/>
      <c r="Y420" s="4"/>
      <c r="Z420" s="4"/>
    </row>
    <row r="421" ht="14.25" customHeight="1">
      <c r="A421" s="2"/>
      <c r="B421" s="4"/>
      <c r="C421" s="2"/>
      <c r="D421" s="2"/>
      <c r="E421" s="4"/>
      <c r="F421" s="2"/>
      <c r="G421" s="4"/>
      <c r="H421" s="4"/>
      <c r="I421" s="4"/>
      <c r="J421" s="4"/>
      <c r="K421" s="4"/>
      <c r="L421" s="4"/>
      <c r="M421" s="4"/>
      <c r="N421" s="4"/>
      <c r="O421" s="4"/>
      <c r="P421" s="4"/>
      <c r="Q421" s="4"/>
      <c r="R421" s="4"/>
      <c r="S421" s="4"/>
      <c r="T421" s="4"/>
      <c r="U421" s="4"/>
      <c r="V421" s="4"/>
      <c r="W421" s="4"/>
      <c r="X421" s="4"/>
      <c r="Y421" s="4"/>
      <c r="Z421" s="4"/>
    </row>
    <row r="422" ht="14.25" customHeight="1">
      <c r="A422" s="2"/>
      <c r="B422" s="4"/>
      <c r="C422" s="2"/>
      <c r="D422" s="2"/>
      <c r="E422" s="4"/>
      <c r="F422" s="2"/>
      <c r="G422" s="4"/>
      <c r="H422" s="4"/>
      <c r="I422" s="4"/>
      <c r="J422" s="4"/>
      <c r="K422" s="4"/>
      <c r="L422" s="4"/>
      <c r="M422" s="4"/>
      <c r="N422" s="4"/>
      <c r="O422" s="4"/>
      <c r="P422" s="4"/>
      <c r="Q422" s="4"/>
      <c r="R422" s="4"/>
      <c r="S422" s="4"/>
      <c r="T422" s="4"/>
      <c r="U422" s="4"/>
      <c r="V422" s="4"/>
      <c r="W422" s="4"/>
      <c r="X422" s="4"/>
      <c r="Y422" s="4"/>
      <c r="Z422" s="4"/>
    </row>
    <row r="423" ht="14.25" customHeight="1">
      <c r="A423" s="2"/>
      <c r="B423" s="4"/>
      <c r="C423" s="2"/>
      <c r="D423" s="2"/>
      <c r="E423" s="4"/>
      <c r="F423" s="2"/>
      <c r="G423" s="4"/>
      <c r="H423" s="4"/>
      <c r="I423" s="4"/>
      <c r="J423" s="4"/>
      <c r="K423" s="4"/>
      <c r="L423" s="4"/>
      <c r="M423" s="4"/>
      <c r="N423" s="4"/>
      <c r="O423" s="4"/>
      <c r="P423" s="4"/>
      <c r="Q423" s="4"/>
      <c r="R423" s="4"/>
      <c r="S423" s="4"/>
      <c r="T423" s="4"/>
      <c r="U423" s="4"/>
      <c r="V423" s="4"/>
      <c r="W423" s="4"/>
      <c r="X423" s="4"/>
      <c r="Y423" s="4"/>
      <c r="Z423" s="4"/>
    </row>
    <row r="424" ht="14.25" customHeight="1">
      <c r="A424" s="2"/>
      <c r="B424" s="4"/>
      <c r="C424" s="2"/>
      <c r="D424" s="2"/>
      <c r="E424" s="4"/>
      <c r="F424" s="2"/>
      <c r="G424" s="4"/>
      <c r="H424" s="4"/>
      <c r="I424" s="4"/>
      <c r="J424" s="4"/>
      <c r="K424" s="4"/>
      <c r="L424" s="4"/>
      <c r="M424" s="4"/>
      <c r="N424" s="4"/>
      <c r="O424" s="4"/>
      <c r="P424" s="4"/>
      <c r="Q424" s="4"/>
      <c r="R424" s="4"/>
      <c r="S424" s="4"/>
      <c r="T424" s="4"/>
      <c r="U424" s="4"/>
      <c r="V424" s="4"/>
      <c r="W424" s="4"/>
      <c r="X424" s="4"/>
      <c r="Y424" s="4"/>
      <c r="Z424" s="4"/>
    </row>
    <row r="425" ht="14.25" customHeight="1">
      <c r="A425" s="2"/>
      <c r="B425" s="4"/>
      <c r="C425" s="2"/>
      <c r="D425" s="2"/>
      <c r="E425" s="4"/>
      <c r="F425" s="2"/>
      <c r="G425" s="4"/>
      <c r="H425" s="4"/>
      <c r="I425" s="4"/>
      <c r="J425" s="4"/>
      <c r="K425" s="4"/>
      <c r="L425" s="4"/>
      <c r="M425" s="4"/>
      <c r="N425" s="4"/>
      <c r="O425" s="4"/>
      <c r="P425" s="4"/>
      <c r="Q425" s="4"/>
      <c r="R425" s="4"/>
      <c r="S425" s="4"/>
      <c r="T425" s="4"/>
      <c r="U425" s="4"/>
      <c r="V425" s="4"/>
      <c r="W425" s="4"/>
      <c r="X425" s="4"/>
      <c r="Y425" s="4"/>
      <c r="Z425" s="4"/>
    </row>
    <row r="426" ht="14.25" customHeight="1">
      <c r="A426" s="2"/>
      <c r="B426" s="4"/>
      <c r="C426" s="2"/>
      <c r="D426" s="2"/>
      <c r="E426" s="4"/>
      <c r="F426" s="2"/>
      <c r="G426" s="4"/>
      <c r="H426" s="4"/>
      <c r="I426" s="4"/>
      <c r="J426" s="4"/>
      <c r="K426" s="4"/>
      <c r="L426" s="4"/>
      <c r="M426" s="4"/>
      <c r="N426" s="4"/>
      <c r="O426" s="4"/>
      <c r="P426" s="4"/>
      <c r="Q426" s="4"/>
      <c r="R426" s="4"/>
      <c r="S426" s="4"/>
      <c r="T426" s="4"/>
      <c r="U426" s="4"/>
      <c r="V426" s="4"/>
      <c r="W426" s="4"/>
      <c r="X426" s="4"/>
      <c r="Y426" s="4"/>
      <c r="Z426" s="4"/>
    </row>
    <row r="427" ht="14.25" customHeight="1">
      <c r="A427" s="2"/>
      <c r="B427" s="4"/>
      <c r="C427" s="2"/>
      <c r="D427" s="2"/>
      <c r="E427" s="4"/>
      <c r="F427" s="2"/>
      <c r="G427" s="4"/>
      <c r="H427" s="4"/>
      <c r="I427" s="4"/>
      <c r="J427" s="4"/>
      <c r="K427" s="4"/>
      <c r="L427" s="4"/>
      <c r="M427" s="4"/>
      <c r="N427" s="4"/>
      <c r="O427" s="4"/>
      <c r="P427" s="4"/>
      <c r="Q427" s="4"/>
      <c r="R427" s="4"/>
      <c r="S427" s="4"/>
      <c r="T427" s="4"/>
      <c r="U427" s="4"/>
      <c r="V427" s="4"/>
      <c r="W427" s="4"/>
      <c r="X427" s="4"/>
      <c r="Y427" s="4"/>
      <c r="Z427" s="4"/>
    </row>
    <row r="428" ht="14.25" customHeight="1">
      <c r="A428" s="2"/>
      <c r="B428" s="4"/>
      <c r="C428" s="2"/>
      <c r="D428" s="2"/>
      <c r="E428" s="4"/>
      <c r="F428" s="2"/>
      <c r="G428" s="4"/>
      <c r="H428" s="4"/>
      <c r="I428" s="4"/>
      <c r="J428" s="4"/>
      <c r="K428" s="4"/>
      <c r="L428" s="4"/>
      <c r="M428" s="4"/>
      <c r="N428" s="4"/>
      <c r="O428" s="4"/>
      <c r="P428" s="4"/>
      <c r="Q428" s="4"/>
      <c r="R428" s="4"/>
      <c r="S428" s="4"/>
      <c r="T428" s="4"/>
      <c r="U428" s="4"/>
      <c r="V428" s="4"/>
      <c r="W428" s="4"/>
      <c r="X428" s="4"/>
      <c r="Y428" s="4"/>
      <c r="Z428" s="4"/>
    </row>
    <row r="429" ht="14.25" customHeight="1">
      <c r="A429" s="2"/>
      <c r="B429" s="4"/>
      <c r="C429" s="2"/>
      <c r="D429" s="2"/>
      <c r="E429" s="4"/>
      <c r="F429" s="2"/>
      <c r="G429" s="4"/>
      <c r="H429" s="4"/>
      <c r="I429" s="4"/>
      <c r="J429" s="4"/>
      <c r="K429" s="4"/>
      <c r="L429" s="4"/>
      <c r="M429" s="4"/>
      <c r="N429" s="4"/>
      <c r="O429" s="4"/>
      <c r="P429" s="4"/>
      <c r="Q429" s="4"/>
      <c r="R429" s="4"/>
      <c r="S429" s="4"/>
      <c r="T429" s="4"/>
      <c r="U429" s="4"/>
      <c r="V429" s="4"/>
      <c r="W429" s="4"/>
      <c r="X429" s="4"/>
      <c r="Y429" s="4"/>
      <c r="Z429" s="4"/>
    </row>
    <row r="430" ht="14.25" customHeight="1">
      <c r="A430" s="2"/>
      <c r="B430" s="4"/>
      <c r="C430" s="2"/>
      <c r="D430" s="2"/>
      <c r="E430" s="4"/>
      <c r="F430" s="2"/>
      <c r="G430" s="4"/>
      <c r="H430" s="4"/>
      <c r="I430" s="4"/>
      <c r="J430" s="4"/>
      <c r="K430" s="4"/>
      <c r="L430" s="4"/>
      <c r="M430" s="4"/>
      <c r="N430" s="4"/>
      <c r="O430" s="4"/>
      <c r="P430" s="4"/>
      <c r="Q430" s="4"/>
      <c r="R430" s="4"/>
      <c r="S430" s="4"/>
      <c r="T430" s="4"/>
      <c r="U430" s="4"/>
      <c r="V430" s="4"/>
      <c r="W430" s="4"/>
      <c r="X430" s="4"/>
      <c r="Y430" s="4"/>
      <c r="Z430" s="4"/>
    </row>
    <row r="431" ht="14.25" customHeight="1">
      <c r="A431" s="2"/>
      <c r="B431" s="4"/>
      <c r="C431" s="2"/>
      <c r="D431" s="2"/>
      <c r="E431" s="4"/>
      <c r="F431" s="2"/>
      <c r="G431" s="4"/>
      <c r="H431" s="4"/>
      <c r="I431" s="4"/>
      <c r="J431" s="4"/>
      <c r="K431" s="4"/>
      <c r="L431" s="4"/>
      <c r="M431" s="4"/>
      <c r="N431" s="4"/>
      <c r="O431" s="4"/>
      <c r="P431" s="4"/>
      <c r="Q431" s="4"/>
      <c r="R431" s="4"/>
      <c r="S431" s="4"/>
      <c r="T431" s="4"/>
      <c r="U431" s="4"/>
      <c r="V431" s="4"/>
      <c r="W431" s="4"/>
      <c r="X431" s="4"/>
      <c r="Y431" s="4"/>
      <c r="Z431" s="4"/>
    </row>
    <row r="432" ht="14.25" customHeight="1">
      <c r="A432" s="2"/>
      <c r="B432" s="4"/>
      <c r="C432" s="2"/>
      <c r="D432" s="2"/>
      <c r="E432" s="4"/>
      <c r="F432" s="2"/>
      <c r="G432" s="4"/>
      <c r="H432" s="4"/>
      <c r="I432" s="4"/>
      <c r="J432" s="4"/>
      <c r="K432" s="4"/>
      <c r="L432" s="4"/>
      <c r="M432" s="4"/>
      <c r="N432" s="4"/>
      <c r="O432" s="4"/>
      <c r="P432" s="4"/>
      <c r="Q432" s="4"/>
      <c r="R432" s="4"/>
      <c r="S432" s="4"/>
      <c r="T432" s="4"/>
      <c r="U432" s="4"/>
      <c r="V432" s="4"/>
      <c r="W432" s="4"/>
      <c r="X432" s="4"/>
      <c r="Y432" s="4"/>
      <c r="Z432" s="4"/>
    </row>
    <row r="433" ht="14.25" customHeight="1">
      <c r="A433" s="2"/>
      <c r="B433" s="4"/>
      <c r="C433" s="2"/>
      <c r="D433" s="2"/>
      <c r="E433" s="4"/>
      <c r="F433" s="2"/>
      <c r="G433" s="4"/>
      <c r="H433" s="4"/>
      <c r="I433" s="4"/>
      <c r="J433" s="4"/>
      <c r="K433" s="4"/>
      <c r="L433" s="4"/>
      <c r="M433" s="4"/>
      <c r="N433" s="4"/>
      <c r="O433" s="4"/>
      <c r="P433" s="4"/>
      <c r="Q433" s="4"/>
      <c r="R433" s="4"/>
      <c r="S433" s="4"/>
      <c r="T433" s="4"/>
      <c r="U433" s="4"/>
      <c r="V433" s="4"/>
      <c r="W433" s="4"/>
      <c r="X433" s="4"/>
      <c r="Y433" s="4"/>
      <c r="Z433" s="4"/>
    </row>
    <row r="434" ht="14.25" customHeight="1">
      <c r="A434" s="2"/>
      <c r="B434" s="4"/>
      <c r="C434" s="2"/>
      <c r="D434" s="2"/>
      <c r="E434" s="4"/>
      <c r="F434" s="2"/>
      <c r="G434" s="4"/>
      <c r="H434" s="4"/>
      <c r="I434" s="4"/>
      <c r="J434" s="4"/>
      <c r="K434" s="4"/>
      <c r="L434" s="4"/>
      <c r="M434" s="4"/>
      <c r="N434" s="4"/>
      <c r="O434" s="4"/>
      <c r="P434" s="4"/>
      <c r="Q434" s="4"/>
      <c r="R434" s="4"/>
      <c r="S434" s="4"/>
      <c r="T434" s="4"/>
      <c r="U434" s="4"/>
      <c r="V434" s="4"/>
      <c r="W434" s="4"/>
      <c r="X434" s="4"/>
      <c r="Y434" s="4"/>
      <c r="Z434" s="4"/>
    </row>
    <row r="435" ht="14.25" customHeight="1">
      <c r="A435" s="2"/>
      <c r="B435" s="4"/>
      <c r="C435" s="2"/>
      <c r="D435" s="2"/>
      <c r="E435" s="4"/>
      <c r="F435" s="2"/>
      <c r="G435" s="4"/>
      <c r="H435" s="4"/>
      <c r="I435" s="4"/>
      <c r="J435" s="4"/>
      <c r="K435" s="4"/>
      <c r="L435" s="4"/>
      <c r="M435" s="4"/>
      <c r="N435" s="4"/>
      <c r="O435" s="4"/>
      <c r="P435" s="4"/>
      <c r="Q435" s="4"/>
      <c r="R435" s="4"/>
      <c r="S435" s="4"/>
      <c r="T435" s="4"/>
      <c r="U435" s="4"/>
      <c r="V435" s="4"/>
      <c r="W435" s="4"/>
      <c r="X435" s="4"/>
      <c r="Y435" s="4"/>
      <c r="Z435" s="4"/>
    </row>
    <row r="436" ht="14.25" customHeight="1">
      <c r="A436" s="2"/>
      <c r="B436" s="4"/>
      <c r="C436" s="2"/>
      <c r="D436" s="2"/>
      <c r="E436" s="4"/>
      <c r="F436" s="2"/>
      <c r="G436" s="4"/>
      <c r="H436" s="4"/>
      <c r="I436" s="4"/>
      <c r="J436" s="4"/>
      <c r="K436" s="4"/>
      <c r="L436" s="4"/>
      <c r="M436" s="4"/>
      <c r="N436" s="4"/>
      <c r="O436" s="4"/>
      <c r="P436" s="4"/>
      <c r="Q436" s="4"/>
      <c r="R436" s="4"/>
      <c r="S436" s="4"/>
      <c r="T436" s="4"/>
      <c r="U436" s="4"/>
      <c r="V436" s="4"/>
      <c r="W436" s="4"/>
      <c r="X436" s="4"/>
      <c r="Y436" s="4"/>
      <c r="Z436" s="4"/>
    </row>
    <row r="437" ht="14.25" customHeight="1">
      <c r="A437" s="2"/>
      <c r="B437" s="4"/>
      <c r="C437" s="2"/>
      <c r="D437" s="2"/>
      <c r="E437" s="4"/>
      <c r="F437" s="2"/>
      <c r="G437" s="4"/>
      <c r="H437" s="4"/>
      <c r="I437" s="4"/>
      <c r="J437" s="4"/>
      <c r="K437" s="4"/>
      <c r="L437" s="4"/>
      <c r="M437" s="4"/>
      <c r="N437" s="4"/>
      <c r="O437" s="4"/>
      <c r="P437" s="4"/>
      <c r="Q437" s="4"/>
      <c r="R437" s="4"/>
      <c r="S437" s="4"/>
      <c r="T437" s="4"/>
      <c r="U437" s="4"/>
      <c r="V437" s="4"/>
      <c r="W437" s="4"/>
      <c r="X437" s="4"/>
      <c r="Y437" s="4"/>
      <c r="Z437" s="4"/>
    </row>
    <row r="438" ht="14.25" customHeight="1">
      <c r="A438" s="2"/>
      <c r="B438" s="4"/>
      <c r="C438" s="2"/>
      <c r="D438" s="2"/>
      <c r="E438" s="4"/>
      <c r="F438" s="2"/>
      <c r="G438" s="4"/>
      <c r="H438" s="4"/>
      <c r="I438" s="4"/>
      <c r="J438" s="4"/>
      <c r="K438" s="4"/>
      <c r="L438" s="4"/>
      <c r="M438" s="4"/>
      <c r="N438" s="4"/>
      <c r="O438" s="4"/>
      <c r="P438" s="4"/>
      <c r="Q438" s="4"/>
      <c r="R438" s="4"/>
      <c r="S438" s="4"/>
      <c r="T438" s="4"/>
      <c r="U438" s="4"/>
      <c r="V438" s="4"/>
      <c r="W438" s="4"/>
      <c r="X438" s="4"/>
      <c r="Y438" s="4"/>
      <c r="Z438" s="4"/>
    </row>
    <row r="439" ht="14.25" customHeight="1">
      <c r="A439" s="2"/>
      <c r="B439" s="4"/>
      <c r="C439" s="2"/>
      <c r="D439" s="2"/>
      <c r="E439" s="4"/>
      <c r="F439" s="2"/>
      <c r="G439" s="4"/>
      <c r="H439" s="4"/>
      <c r="I439" s="4"/>
      <c r="J439" s="4"/>
      <c r="K439" s="4"/>
      <c r="L439" s="4"/>
      <c r="M439" s="4"/>
      <c r="N439" s="4"/>
      <c r="O439" s="4"/>
      <c r="P439" s="4"/>
      <c r="Q439" s="4"/>
      <c r="R439" s="4"/>
      <c r="S439" s="4"/>
      <c r="T439" s="4"/>
      <c r="U439" s="4"/>
      <c r="V439" s="4"/>
      <c r="W439" s="4"/>
      <c r="X439" s="4"/>
      <c r="Y439" s="4"/>
      <c r="Z439" s="4"/>
    </row>
    <row r="440" ht="14.25" customHeight="1">
      <c r="A440" s="2"/>
      <c r="B440" s="4"/>
      <c r="C440" s="2"/>
      <c r="D440" s="2"/>
      <c r="E440" s="4"/>
      <c r="F440" s="2"/>
      <c r="G440" s="4"/>
      <c r="H440" s="4"/>
      <c r="I440" s="4"/>
      <c r="J440" s="4"/>
      <c r="K440" s="4"/>
      <c r="L440" s="4"/>
      <c r="M440" s="4"/>
      <c r="N440" s="4"/>
      <c r="O440" s="4"/>
      <c r="P440" s="4"/>
      <c r="Q440" s="4"/>
      <c r="R440" s="4"/>
      <c r="S440" s="4"/>
      <c r="T440" s="4"/>
      <c r="U440" s="4"/>
      <c r="V440" s="4"/>
      <c r="W440" s="4"/>
      <c r="X440" s="4"/>
      <c r="Y440" s="4"/>
      <c r="Z440" s="4"/>
    </row>
    <row r="441" ht="14.25" customHeight="1">
      <c r="A441" s="2"/>
      <c r="B441" s="4"/>
      <c r="C441" s="2"/>
      <c r="D441" s="2"/>
      <c r="E441" s="4"/>
      <c r="F441" s="2"/>
      <c r="G441" s="4"/>
      <c r="H441" s="4"/>
      <c r="I441" s="4"/>
      <c r="J441" s="4"/>
      <c r="K441" s="4"/>
      <c r="L441" s="4"/>
      <c r="M441" s="4"/>
      <c r="N441" s="4"/>
      <c r="O441" s="4"/>
      <c r="P441" s="4"/>
      <c r="Q441" s="4"/>
      <c r="R441" s="4"/>
      <c r="S441" s="4"/>
      <c r="T441" s="4"/>
      <c r="U441" s="4"/>
      <c r="V441" s="4"/>
      <c r="W441" s="4"/>
      <c r="X441" s="4"/>
      <c r="Y441" s="4"/>
      <c r="Z441" s="4"/>
    </row>
    <row r="442" ht="14.25" customHeight="1">
      <c r="A442" s="2"/>
      <c r="B442" s="4"/>
      <c r="C442" s="2"/>
      <c r="D442" s="2"/>
      <c r="E442" s="4"/>
      <c r="F442" s="2"/>
      <c r="G442" s="4"/>
      <c r="H442" s="4"/>
      <c r="I442" s="4"/>
      <c r="J442" s="4"/>
      <c r="K442" s="4"/>
      <c r="L442" s="4"/>
      <c r="M442" s="4"/>
      <c r="N442" s="4"/>
      <c r="O442" s="4"/>
      <c r="P442" s="4"/>
      <c r="Q442" s="4"/>
      <c r="R442" s="4"/>
      <c r="S442" s="4"/>
      <c r="T442" s="4"/>
      <c r="U442" s="4"/>
      <c r="V442" s="4"/>
      <c r="W442" s="4"/>
      <c r="X442" s="4"/>
      <c r="Y442" s="4"/>
      <c r="Z442" s="4"/>
    </row>
    <row r="443" ht="14.25" customHeight="1">
      <c r="A443" s="2"/>
      <c r="B443" s="4"/>
      <c r="C443" s="2"/>
      <c r="D443" s="2"/>
      <c r="E443" s="4"/>
      <c r="F443" s="2"/>
      <c r="G443" s="4"/>
      <c r="H443" s="4"/>
      <c r="I443" s="4"/>
      <c r="J443" s="4"/>
      <c r="K443" s="4"/>
      <c r="L443" s="4"/>
      <c r="M443" s="4"/>
      <c r="N443" s="4"/>
      <c r="O443" s="4"/>
      <c r="P443" s="4"/>
      <c r="Q443" s="4"/>
      <c r="R443" s="4"/>
      <c r="S443" s="4"/>
      <c r="T443" s="4"/>
      <c r="U443" s="4"/>
      <c r="V443" s="4"/>
      <c r="W443" s="4"/>
      <c r="X443" s="4"/>
      <c r="Y443" s="4"/>
      <c r="Z443" s="4"/>
    </row>
    <row r="444" ht="14.25" customHeight="1">
      <c r="A444" s="2"/>
      <c r="B444" s="4"/>
      <c r="C444" s="2"/>
      <c r="D444" s="2"/>
      <c r="E444" s="4"/>
      <c r="F444" s="2"/>
      <c r="G444" s="4"/>
      <c r="H444" s="4"/>
      <c r="I444" s="4"/>
      <c r="J444" s="4"/>
      <c r="K444" s="4"/>
      <c r="L444" s="4"/>
      <c r="M444" s="4"/>
      <c r="N444" s="4"/>
      <c r="O444" s="4"/>
      <c r="P444" s="4"/>
      <c r="Q444" s="4"/>
      <c r="R444" s="4"/>
      <c r="S444" s="4"/>
      <c r="T444" s="4"/>
      <c r="U444" s="4"/>
      <c r="V444" s="4"/>
      <c r="W444" s="4"/>
      <c r="X444" s="4"/>
      <c r="Y444" s="4"/>
      <c r="Z444" s="4"/>
    </row>
    <row r="445" ht="14.25" customHeight="1">
      <c r="A445" s="2"/>
      <c r="B445" s="4"/>
      <c r="C445" s="2"/>
      <c r="D445" s="2"/>
      <c r="E445" s="4"/>
      <c r="F445" s="2"/>
      <c r="G445" s="4"/>
      <c r="H445" s="4"/>
      <c r="I445" s="4"/>
      <c r="J445" s="4"/>
      <c r="K445" s="4"/>
      <c r="L445" s="4"/>
      <c r="M445" s="4"/>
      <c r="N445" s="4"/>
      <c r="O445" s="4"/>
      <c r="P445" s="4"/>
      <c r="Q445" s="4"/>
      <c r="R445" s="4"/>
      <c r="S445" s="4"/>
      <c r="T445" s="4"/>
      <c r="U445" s="4"/>
      <c r="V445" s="4"/>
      <c r="W445" s="4"/>
      <c r="X445" s="4"/>
      <c r="Y445" s="4"/>
      <c r="Z445" s="4"/>
    </row>
    <row r="446" ht="14.25" customHeight="1">
      <c r="A446" s="2"/>
      <c r="B446" s="4"/>
      <c r="C446" s="2"/>
      <c r="D446" s="2"/>
      <c r="E446" s="4"/>
      <c r="F446" s="2"/>
      <c r="G446" s="4"/>
      <c r="H446" s="4"/>
      <c r="I446" s="4"/>
      <c r="J446" s="4"/>
      <c r="K446" s="4"/>
      <c r="L446" s="4"/>
      <c r="M446" s="4"/>
      <c r="N446" s="4"/>
      <c r="O446" s="4"/>
      <c r="P446" s="4"/>
      <c r="Q446" s="4"/>
      <c r="R446" s="4"/>
      <c r="S446" s="4"/>
      <c r="T446" s="4"/>
      <c r="U446" s="4"/>
      <c r="V446" s="4"/>
      <c r="W446" s="4"/>
      <c r="X446" s="4"/>
      <c r="Y446" s="4"/>
      <c r="Z446" s="4"/>
    </row>
    <row r="447" ht="14.25" customHeight="1">
      <c r="A447" s="2"/>
      <c r="B447" s="4"/>
      <c r="C447" s="2"/>
      <c r="D447" s="2"/>
      <c r="E447" s="4"/>
      <c r="F447" s="2"/>
      <c r="G447" s="4"/>
      <c r="H447" s="4"/>
      <c r="I447" s="4"/>
      <c r="J447" s="4"/>
      <c r="K447" s="4"/>
      <c r="L447" s="4"/>
      <c r="M447" s="4"/>
      <c r="N447" s="4"/>
      <c r="O447" s="4"/>
      <c r="P447" s="4"/>
      <c r="Q447" s="4"/>
      <c r="R447" s="4"/>
      <c r="S447" s="4"/>
      <c r="T447" s="4"/>
      <c r="U447" s="4"/>
      <c r="V447" s="4"/>
      <c r="W447" s="4"/>
      <c r="X447" s="4"/>
      <c r="Y447" s="4"/>
      <c r="Z447" s="4"/>
    </row>
    <row r="448" ht="14.25" customHeight="1">
      <c r="A448" s="2"/>
      <c r="B448" s="4"/>
      <c r="C448" s="2"/>
      <c r="D448" s="2"/>
      <c r="E448" s="4"/>
      <c r="F448" s="2"/>
      <c r="G448" s="4"/>
      <c r="H448" s="4"/>
      <c r="I448" s="4"/>
      <c r="J448" s="4"/>
      <c r="K448" s="4"/>
      <c r="L448" s="4"/>
      <c r="M448" s="4"/>
      <c r="N448" s="4"/>
      <c r="O448" s="4"/>
      <c r="P448" s="4"/>
      <c r="Q448" s="4"/>
      <c r="R448" s="4"/>
      <c r="S448" s="4"/>
      <c r="T448" s="4"/>
      <c r="U448" s="4"/>
      <c r="V448" s="4"/>
      <c r="W448" s="4"/>
      <c r="X448" s="4"/>
      <c r="Y448" s="4"/>
      <c r="Z448" s="4"/>
    </row>
    <row r="449" ht="14.25" customHeight="1">
      <c r="A449" s="2"/>
      <c r="B449" s="4"/>
      <c r="C449" s="2"/>
      <c r="D449" s="2"/>
      <c r="E449" s="4"/>
      <c r="F449" s="2"/>
      <c r="G449" s="4"/>
      <c r="H449" s="4"/>
      <c r="I449" s="4"/>
      <c r="J449" s="4"/>
      <c r="K449" s="4"/>
      <c r="L449" s="4"/>
      <c r="M449" s="4"/>
      <c r="N449" s="4"/>
      <c r="O449" s="4"/>
      <c r="P449" s="4"/>
      <c r="Q449" s="4"/>
      <c r="R449" s="4"/>
      <c r="S449" s="4"/>
      <c r="T449" s="4"/>
      <c r="U449" s="4"/>
      <c r="V449" s="4"/>
      <c r="W449" s="4"/>
      <c r="X449" s="4"/>
      <c r="Y449" s="4"/>
      <c r="Z449" s="4"/>
    </row>
    <row r="450" ht="14.25" customHeight="1">
      <c r="A450" s="2"/>
      <c r="B450" s="4"/>
      <c r="C450" s="2"/>
      <c r="D450" s="2"/>
      <c r="E450" s="4"/>
      <c r="F450" s="2"/>
      <c r="G450" s="4"/>
      <c r="H450" s="4"/>
      <c r="I450" s="4"/>
      <c r="J450" s="4"/>
      <c r="K450" s="4"/>
      <c r="L450" s="4"/>
      <c r="M450" s="4"/>
      <c r="N450" s="4"/>
      <c r="O450" s="4"/>
      <c r="P450" s="4"/>
      <c r="Q450" s="4"/>
      <c r="R450" s="4"/>
      <c r="S450" s="4"/>
      <c r="T450" s="4"/>
      <c r="U450" s="4"/>
      <c r="V450" s="4"/>
      <c r="W450" s="4"/>
      <c r="X450" s="4"/>
      <c r="Y450" s="4"/>
      <c r="Z450" s="4"/>
    </row>
    <row r="451" ht="14.25" customHeight="1">
      <c r="A451" s="2"/>
      <c r="B451" s="4"/>
      <c r="C451" s="2"/>
      <c r="D451" s="2"/>
      <c r="E451" s="4"/>
      <c r="F451" s="2"/>
      <c r="G451" s="4"/>
      <c r="H451" s="4"/>
      <c r="I451" s="4"/>
      <c r="J451" s="4"/>
      <c r="K451" s="4"/>
      <c r="L451" s="4"/>
      <c r="M451" s="4"/>
      <c r="N451" s="4"/>
      <c r="O451" s="4"/>
      <c r="P451" s="4"/>
      <c r="Q451" s="4"/>
      <c r="R451" s="4"/>
      <c r="S451" s="4"/>
      <c r="T451" s="4"/>
      <c r="U451" s="4"/>
      <c r="V451" s="4"/>
      <c r="W451" s="4"/>
      <c r="X451" s="4"/>
      <c r="Y451" s="4"/>
      <c r="Z451" s="4"/>
    </row>
    <row r="452" ht="14.25" customHeight="1">
      <c r="A452" s="2"/>
      <c r="B452" s="4"/>
      <c r="C452" s="2"/>
      <c r="D452" s="2"/>
      <c r="E452" s="4"/>
      <c r="F452" s="2"/>
      <c r="G452" s="4"/>
      <c r="H452" s="4"/>
      <c r="I452" s="4"/>
      <c r="J452" s="4"/>
      <c r="K452" s="4"/>
      <c r="L452" s="4"/>
      <c r="M452" s="4"/>
      <c r="N452" s="4"/>
      <c r="O452" s="4"/>
      <c r="P452" s="4"/>
      <c r="Q452" s="4"/>
      <c r="R452" s="4"/>
      <c r="S452" s="4"/>
      <c r="T452" s="4"/>
      <c r="U452" s="4"/>
      <c r="V452" s="4"/>
      <c r="W452" s="4"/>
      <c r="X452" s="4"/>
      <c r="Y452" s="4"/>
      <c r="Z452" s="4"/>
    </row>
    <row r="453" ht="14.25" customHeight="1">
      <c r="A453" s="2"/>
      <c r="B453" s="4"/>
      <c r="C453" s="2"/>
      <c r="D453" s="2"/>
      <c r="E453" s="4"/>
      <c r="F453" s="2"/>
      <c r="G453" s="4"/>
      <c r="H453" s="4"/>
      <c r="I453" s="4"/>
      <c r="J453" s="4"/>
      <c r="K453" s="4"/>
      <c r="L453" s="4"/>
      <c r="M453" s="4"/>
      <c r="N453" s="4"/>
      <c r="O453" s="4"/>
      <c r="P453" s="4"/>
      <c r="Q453" s="4"/>
      <c r="R453" s="4"/>
      <c r="S453" s="4"/>
      <c r="T453" s="4"/>
      <c r="U453" s="4"/>
      <c r="V453" s="4"/>
      <c r="W453" s="4"/>
      <c r="X453" s="4"/>
      <c r="Y453" s="4"/>
      <c r="Z453" s="4"/>
    </row>
    <row r="454" ht="14.25" customHeight="1">
      <c r="A454" s="2"/>
      <c r="B454" s="4"/>
      <c r="C454" s="2"/>
      <c r="D454" s="2"/>
      <c r="E454" s="4"/>
      <c r="F454" s="2"/>
      <c r="G454" s="4"/>
      <c r="H454" s="4"/>
      <c r="I454" s="4"/>
      <c r="J454" s="4"/>
      <c r="K454" s="4"/>
      <c r="L454" s="4"/>
      <c r="M454" s="4"/>
      <c r="N454" s="4"/>
      <c r="O454" s="4"/>
      <c r="P454" s="4"/>
      <c r="Q454" s="4"/>
      <c r="R454" s="4"/>
      <c r="S454" s="4"/>
      <c r="T454" s="4"/>
      <c r="U454" s="4"/>
      <c r="V454" s="4"/>
      <c r="W454" s="4"/>
      <c r="X454" s="4"/>
      <c r="Y454" s="4"/>
      <c r="Z454" s="4"/>
    </row>
    <row r="455" ht="14.25" customHeight="1">
      <c r="A455" s="2"/>
      <c r="B455" s="4"/>
      <c r="C455" s="2"/>
      <c r="D455" s="2"/>
      <c r="E455" s="4"/>
      <c r="F455" s="2"/>
      <c r="G455" s="4"/>
      <c r="H455" s="4"/>
      <c r="I455" s="4"/>
      <c r="J455" s="4"/>
      <c r="K455" s="4"/>
      <c r="L455" s="4"/>
      <c r="M455" s="4"/>
      <c r="N455" s="4"/>
      <c r="O455" s="4"/>
      <c r="P455" s="4"/>
      <c r="Q455" s="4"/>
      <c r="R455" s="4"/>
      <c r="S455" s="4"/>
      <c r="T455" s="4"/>
      <c r="U455" s="4"/>
      <c r="V455" s="4"/>
      <c r="W455" s="4"/>
      <c r="X455" s="4"/>
      <c r="Y455" s="4"/>
      <c r="Z455" s="4"/>
    </row>
    <row r="456" ht="14.25" customHeight="1">
      <c r="A456" s="2"/>
      <c r="B456" s="4"/>
      <c r="C456" s="2"/>
      <c r="D456" s="2"/>
      <c r="E456" s="4"/>
      <c r="F456" s="2"/>
      <c r="G456" s="4"/>
      <c r="H456" s="4"/>
      <c r="I456" s="4"/>
      <c r="J456" s="4"/>
      <c r="K456" s="4"/>
      <c r="L456" s="4"/>
      <c r="M456" s="4"/>
      <c r="N456" s="4"/>
      <c r="O456" s="4"/>
      <c r="P456" s="4"/>
      <c r="Q456" s="4"/>
      <c r="R456" s="4"/>
      <c r="S456" s="4"/>
      <c r="T456" s="4"/>
      <c r="U456" s="4"/>
      <c r="V456" s="4"/>
      <c r="W456" s="4"/>
      <c r="X456" s="4"/>
      <c r="Y456" s="4"/>
      <c r="Z456" s="4"/>
    </row>
    <row r="457" ht="14.25" customHeight="1">
      <c r="A457" s="2"/>
      <c r="B457" s="4"/>
      <c r="C457" s="2"/>
      <c r="D457" s="2"/>
      <c r="E457" s="4"/>
      <c r="F457" s="2"/>
      <c r="G457" s="4"/>
      <c r="H457" s="4"/>
      <c r="I457" s="4"/>
      <c r="J457" s="4"/>
      <c r="K457" s="4"/>
      <c r="L457" s="4"/>
      <c r="M457" s="4"/>
      <c r="N457" s="4"/>
      <c r="O457" s="4"/>
      <c r="P457" s="4"/>
      <c r="Q457" s="4"/>
      <c r="R457" s="4"/>
      <c r="S457" s="4"/>
      <c r="T457" s="4"/>
      <c r="U457" s="4"/>
      <c r="V457" s="4"/>
      <c r="W457" s="4"/>
      <c r="X457" s="4"/>
      <c r="Y457" s="4"/>
      <c r="Z457" s="4"/>
    </row>
    <row r="458" ht="14.25" customHeight="1">
      <c r="A458" s="2"/>
      <c r="B458" s="4"/>
      <c r="C458" s="2"/>
      <c r="D458" s="2"/>
      <c r="E458" s="4"/>
      <c r="F458" s="2"/>
      <c r="G458" s="4"/>
      <c r="H458" s="4"/>
      <c r="I458" s="4"/>
      <c r="J458" s="4"/>
      <c r="K458" s="4"/>
      <c r="L458" s="4"/>
      <c r="M458" s="4"/>
      <c r="N458" s="4"/>
      <c r="O458" s="4"/>
      <c r="P458" s="4"/>
      <c r="Q458" s="4"/>
      <c r="R458" s="4"/>
      <c r="S458" s="4"/>
      <c r="T458" s="4"/>
      <c r="U458" s="4"/>
      <c r="V458" s="4"/>
      <c r="W458" s="4"/>
      <c r="X458" s="4"/>
      <c r="Y458" s="4"/>
      <c r="Z458" s="4"/>
    </row>
    <row r="459" ht="14.25" customHeight="1">
      <c r="A459" s="2"/>
      <c r="B459" s="4"/>
      <c r="C459" s="2"/>
      <c r="D459" s="2"/>
      <c r="E459" s="4"/>
      <c r="F459" s="2"/>
      <c r="G459" s="4"/>
      <c r="H459" s="4"/>
      <c r="I459" s="4"/>
      <c r="J459" s="4"/>
      <c r="K459" s="4"/>
      <c r="L459" s="4"/>
      <c r="M459" s="4"/>
      <c r="N459" s="4"/>
      <c r="O459" s="4"/>
      <c r="P459" s="4"/>
      <c r="Q459" s="4"/>
      <c r="R459" s="4"/>
      <c r="S459" s="4"/>
      <c r="T459" s="4"/>
      <c r="U459" s="4"/>
      <c r="V459" s="4"/>
      <c r="W459" s="4"/>
      <c r="X459" s="4"/>
      <c r="Y459" s="4"/>
      <c r="Z459" s="4"/>
    </row>
    <row r="460" ht="14.25" customHeight="1">
      <c r="A460" s="2"/>
      <c r="B460" s="4"/>
      <c r="C460" s="2"/>
      <c r="D460" s="2"/>
      <c r="E460" s="4"/>
      <c r="F460" s="2"/>
      <c r="G460" s="4"/>
      <c r="H460" s="4"/>
      <c r="I460" s="4"/>
      <c r="J460" s="4"/>
      <c r="K460" s="4"/>
      <c r="L460" s="4"/>
      <c r="M460" s="4"/>
      <c r="N460" s="4"/>
      <c r="O460" s="4"/>
      <c r="P460" s="4"/>
      <c r="Q460" s="4"/>
      <c r="R460" s="4"/>
      <c r="S460" s="4"/>
      <c r="T460" s="4"/>
      <c r="U460" s="4"/>
      <c r="V460" s="4"/>
      <c r="W460" s="4"/>
      <c r="X460" s="4"/>
      <c r="Y460" s="4"/>
      <c r="Z460" s="4"/>
    </row>
    <row r="461" ht="14.25" customHeight="1">
      <c r="A461" s="2"/>
      <c r="B461" s="4"/>
      <c r="C461" s="2"/>
      <c r="D461" s="2"/>
      <c r="E461" s="4"/>
      <c r="F461" s="2"/>
      <c r="G461" s="4"/>
      <c r="H461" s="4"/>
      <c r="I461" s="4"/>
      <c r="J461" s="4"/>
      <c r="K461" s="4"/>
      <c r="L461" s="4"/>
      <c r="M461" s="4"/>
      <c r="N461" s="4"/>
      <c r="O461" s="4"/>
      <c r="P461" s="4"/>
      <c r="Q461" s="4"/>
      <c r="R461" s="4"/>
      <c r="S461" s="4"/>
      <c r="T461" s="4"/>
      <c r="U461" s="4"/>
      <c r="V461" s="4"/>
      <c r="W461" s="4"/>
      <c r="X461" s="4"/>
      <c r="Y461" s="4"/>
      <c r="Z461" s="4"/>
    </row>
    <row r="462" ht="14.25" customHeight="1">
      <c r="A462" s="2"/>
      <c r="B462" s="4"/>
      <c r="C462" s="2"/>
      <c r="D462" s="2"/>
      <c r="E462" s="4"/>
      <c r="F462" s="2"/>
      <c r="G462" s="4"/>
      <c r="H462" s="4"/>
      <c r="I462" s="4"/>
      <c r="J462" s="4"/>
      <c r="K462" s="4"/>
      <c r="L462" s="4"/>
      <c r="M462" s="4"/>
      <c r="N462" s="4"/>
      <c r="O462" s="4"/>
      <c r="P462" s="4"/>
      <c r="Q462" s="4"/>
      <c r="R462" s="4"/>
      <c r="S462" s="4"/>
      <c r="T462" s="4"/>
      <c r="U462" s="4"/>
      <c r="V462" s="4"/>
      <c r="W462" s="4"/>
      <c r="X462" s="4"/>
      <c r="Y462" s="4"/>
      <c r="Z462" s="4"/>
    </row>
    <row r="463" ht="14.25" customHeight="1">
      <c r="A463" s="2"/>
      <c r="B463" s="4"/>
      <c r="C463" s="2"/>
      <c r="D463" s="2"/>
      <c r="E463" s="4"/>
      <c r="F463" s="2"/>
      <c r="G463" s="4"/>
      <c r="H463" s="4"/>
      <c r="I463" s="4"/>
      <c r="J463" s="4"/>
      <c r="K463" s="4"/>
      <c r="L463" s="4"/>
      <c r="M463" s="4"/>
      <c r="N463" s="4"/>
      <c r="O463" s="4"/>
      <c r="P463" s="4"/>
      <c r="Q463" s="4"/>
      <c r="R463" s="4"/>
      <c r="S463" s="4"/>
      <c r="T463" s="4"/>
      <c r="U463" s="4"/>
      <c r="V463" s="4"/>
      <c r="W463" s="4"/>
      <c r="X463" s="4"/>
      <c r="Y463" s="4"/>
      <c r="Z463" s="4"/>
    </row>
    <row r="464" ht="14.25" customHeight="1">
      <c r="A464" s="2"/>
      <c r="B464" s="4"/>
      <c r="C464" s="2"/>
      <c r="D464" s="2"/>
      <c r="E464" s="4"/>
      <c r="F464" s="2"/>
      <c r="G464" s="4"/>
      <c r="H464" s="4"/>
      <c r="I464" s="4"/>
      <c r="J464" s="4"/>
      <c r="K464" s="4"/>
      <c r="L464" s="4"/>
      <c r="M464" s="4"/>
      <c r="N464" s="4"/>
      <c r="O464" s="4"/>
      <c r="P464" s="4"/>
      <c r="Q464" s="4"/>
      <c r="R464" s="4"/>
      <c r="S464" s="4"/>
      <c r="T464" s="4"/>
      <c r="U464" s="4"/>
      <c r="V464" s="4"/>
      <c r="W464" s="4"/>
      <c r="X464" s="4"/>
      <c r="Y464" s="4"/>
      <c r="Z464" s="4"/>
    </row>
    <row r="465" ht="14.25" customHeight="1">
      <c r="A465" s="2"/>
      <c r="B465" s="4"/>
      <c r="C465" s="2"/>
      <c r="D465" s="2"/>
      <c r="E465" s="4"/>
      <c r="F465" s="2"/>
      <c r="G465" s="4"/>
      <c r="H465" s="4"/>
      <c r="I465" s="4"/>
      <c r="J465" s="4"/>
      <c r="K465" s="4"/>
      <c r="L465" s="4"/>
      <c r="M465" s="4"/>
      <c r="N465" s="4"/>
      <c r="O465" s="4"/>
      <c r="P465" s="4"/>
      <c r="Q465" s="4"/>
      <c r="R465" s="4"/>
      <c r="S465" s="4"/>
      <c r="T465" s="4"/>
      <c r="U465" s="4"/>
      <c r="V465" s="4"/>
      <c r="W465" s="4"/>
      <c r="X465" s="4"/>
      <c r="Y465" s="4"/>
      <c r="Z465" s="4"/>
    </row>
    <row r="466" ht="14.25" customHeight="1">
      <c r="A466" s="2"/>
      <c r="B466" s="4"/>
      <c r="C466" s="2"/>
      <c r="D466" s="2"/>
      <c r="E466" s="4"/>
      <c r="F466" s="2"/>
      <c r="G466" s="4"/>
      <c r="H466" s="4"/>
      <c r="I466" s="4"/>
      <c r="J466" s="4"/>
      <c r="K466" s="4"/>
      <c r="L466" s="4"/>
      <c r="M466" s="4"/>
      <c r="N466" s="4"/>
      <c r="O466" s="4"/>
      <c r="P466" s="4"/>
      <c r="Q466" s="4"/>
      <c r="R466" s="4"/>
      <c r="S466" s="4"/>
      <c r="T466" s="4"/>
      <c r="U466" s="4"/>
      <c r="V466" s="4"/>
      <c r="W466" s="4"/>
      <c r="X466" s="4"/>
      <c r="Y466" s="4"/>
      <c r="Z466" s="4"/>
    </row>
    <row r="467" ht="14.25" customHeight="1">
      <c r="A467" s="2"/>
      <c r="B467" s="4"/>
      <c r="C467" s="2"/>
      <c r="D467" s="2"/>
      <c r="E467" s="4"/>
      <c r="F467" s="2"/>
      <c r="G467" s="4"/>
      <c r="H467" s="4"/>
      <c r="I467" s="4"/>
      <c r="J467" s="4"/>
      <c r="K467" s="4"/>
      <c r="L467" s="4"/>
      <c r="M467" s="4"/>
      <c r="N467" s="4"/>
      <c r="O467" s="4"/>
      <c r="P467" s="4"/>
      <c r="Q467" s="4"/>
      <c r="R467" s="4"/>
      <c r="S467" s="4"/>
      <c r="T467" s="4"/>
      <c r="U467" s="4"/>
      <c r="V467" s="4"/>
      <c r="W467" s="4"/>
      <c r="X467" s="4"/>
      <c r="Y467" s="4"/>
      <c r="Z467" s="4"/>
    </row>
    <row r="468" ht="14.25" customHeight="1">
      <c r="A468" s="2"/>
      <c r="B468" s="4"/>
      <c r="C468" s="2"/>
      <c r="D468" s="2"/>
      <c r="E468" s="4"/>
      <c r="F468" s="2"/>
      <c r="G468" s="4"/>
      <c r="H468" s="4"/>
      <c r="I468" s="4"/>
      <c r="J468" s="4"/>
      <c r="K468" s="4"/>
      <c r="L468" s="4"/>
      <c r="M468" s="4"/>
      <c r="N468" s="4"/>
      <c r="O468" s="4"/>
      <c r="P468" s="4"/>
      <c r="Q468" s="4"/>
      <c r="R468" s="4"/>
      <c r="S468" s="4"/>
      <c r="T468" s="4"/>
      <c r="U468" s="4"/>
      <c r="V468" s="4"/>
      <c r="W468" s="4"/>
      <c r="X468" s="4"/>
      <c r="Y468" s="4"/>
      <c r="Z468" s="4"/>
    </row>
    <row r="469" ht="14.25" customHeight="1">
      <c r="A469" s="2"/>
      <c r="B469" s="4"/>
      <c r="C469" s="2"/>
      <c r="D469" s="2"/>
      <c r="E469" s="4"/>
      <c r="F469" s="2"/>
      <c r="G469" s="4"/>
      <c r="H469" s="4"/>
      <c r="I469" s="4"/>
      <c r="J469" s="4"/>
      <c r="K469" s="4"/>
      <c r="L469" s="4"/>
      <c r="M469" s="4"/>
      <c r="N469" s="4"/>
      <c r="O469" s="4"/>
      <c r="P469" s="4"/>
      <c r="Q469" s="4"/>
      <c r="R469" s="4"/>
      <c r="S469" s="4"/>
      <c r="T469" s="4"/>
      <c r="U469" s="4"/>
      <c r="V469" s="4"/>
      <c r="W469" s="4"/>
      <c r="X469" s="4"/>
      <c r="Y469" s="4"/>
      <c r="Z469" s="4"/>
    </row>
    <row r="470" ht="14.25" customHeight="1">
      <c r="A470" s="2"/>
      <c r="B470" s="4"/>
      <c r="C470" s="2"/>
      <c r="D470" s="2"/>
      <c r="E470" s="4"/>
      <c r="F470" s="2"/>
      <c r="G470" s="4"/>
      <c r="H470" s="4"/>
      <c r="I470" s="4"/>
      <c r="J470" s="4"/>
      <c r="K470" s="4"/>
      <c r="L470" s="4"/>
      <c r="M470" s="4"/>
      <c r="N470" s="4"/>
      <c r="O470" s="4"/>
      <c r="P470" s="4"/>
      <c r="Q470" s="4"/>
      <c r="R470" s="4"/>
      <c r="S470" s="4"/>
      <c r="T470" s="4"/>
      <c r="U470" s="4"/>
      <c r="V470" s="4"/>
      <c r="W470" s="4"/>
      <c r="X470" s="4"/>
      <c r="Y470" s="4"/>
      <c r="Z470" s="4"/>
    </row>
    <row r="471" ht="14.25" customHeight="1">
      <c r="A471" s="2"/>
      <c r="B471" s="4"/>
      <c r="C471" s="2"/>
      <c r="D471" s="2"/>
      <c r="E471" s="4"/>
      <c r="F471" s="2"/>
      <c r="G471" s="4"/>
      <c r="H471" s="4"/>
      <c r="I471" s="4"/>
      <c r="J471" s="4"/>
      <c r="K471" s="4"/>
      <c r="L471" s="4"/>
      <c r="M471" s="4"/>
      <c r="N471" s="4"/>
      <c r="O471" s="4"/>
      <c r="P471" s="4"/>
      <c r="Q471" s="4"/>
      <c r="R471" s="4"/>
      <c r="S471" s="4"/>
      <c r="T471" s="4"/>
      <c r="U471" s="4"/>
      <c r="V471" s="4"/>
      <c r="W471" s="4"/>
      <c r="X471" s="4"/>
      <c r="Y471" s="4"/>
      <c r="Z471" s="4"/>
    </row>
    <row r="472" ht="14.25" customHeight="1">
      <c r="A472" s="2"/>
      <c r="B472" s="4"/>
      <c r="C472" s="2"/>
      <c r="D472" s="2"/>
      <c r="E472" s="4"/>
      <c r="F472" s="2"/>
      <c r="G472" s="4"/>
      <c r="H472" s="4"/>
      <c r="I472" s="4"/>
      <c r="J472" s="4"/>
      <c r="K472" s="4"/>
      <c r="L472" s="4"/>
      <c r="M472" s="4"/>
      <c r="N472" s="4"/>
      <c r="O472" s="4"/>
      <c r="P472" s="4"/>
      <c r="Q472" s="4"/>
      <c r="R472" s="4"/>
      <c r="S472" s="4"/>
      <c r="T472" s="4"/>
      <c r="U472" s="4"/>
      <c r="V472" s="4"/>
      <c r="W472" s="4"/>
      <c r="X472" s="4"/>
      <c r="Y472" s="4"/>
      <c r="Z472" s="4"/>
    </row>
    <row r="473" ht="14.25" customHeight="1">
      <c r="A473" s="2"/>
      <c r="B473" s="4"/>
      <c r="C473" s="2"/>
      <c r="D473" s="2"/>
      <c r="E473" s="4"/>
      <c r="F473" s="2"/>
      <c r="G473" s="4"/>
      <c r="H473" s="4"/>
      <c r="I473" s="4"/>
      <c r="J473" s="4"/>
      <c r="K473" s="4"/>
      <c r="L473" s="4"/>
      <c r="M473" s="4"/>
      <c r="N473" s="4"/>
      <c r="O473" s="4"/>
      <c r="P473" s="4"/>
      <c r="Q473" s="4"/>
      <c r="R473" s="4"/>
      <c r="S473" s="4"/>
      <c r="T473" s="4"/>
      <c r="U473" s="4"/>
      <c r="V473" s="4"/>
      <c r="W473" s="4"/>
      <c r="X473" s="4"/>
      <c r="Y473" s="4"/>
      <c r="Z473" s="4"/>
    </row>
    <row r="474" ht="14.25" customHeight="1">
      <c r="A474" s="2"/>
      <c r="B474" s="4"/>
      <c r="C474" s="2"/>
      <c r="D474" s="2"/>
      <c r="E474" s="4"/>
      <c r="F474" s="2"/>
      <c r="G474" s="4"/>
      <c r="H474" s="4"/>
      <c r="I474" s="4"/>
      <c r="J474" s="4"/>
      <c r="K474" s="4"/>
      <c r="L474" s="4"/>
      <c r="M474" s="4"/>
      <c r="N474" s="4"/>
      <c r="O474" s="4"/>
      <c r="P474" s="4"/>
      <c r="Q474" s="4"/>
      <c r="R474" s="4"/>
      <c r="S474" s="4"/>
      <c r="T474" s="4"/>
      <c r="U474" s="4"/>
      <c r="V474" s="4"/>
      <c r="W474" s="4"/>
      <c r="X474" s="4"/>
      <c r="Y474" s="4"/>
      <c r="Z474" s="4"/>
    </row>
    <row r="475" ht="14.25" customHeight="1">
      <c r="A475" s="2"/>
      <c r="B475" s="4"/>
      <c r="C475" s="2"/>
      <c r="D475" s="2"/>
      <c r="E475" s="4"/>
      <c r="F475" s="2"/>
      <c r="G475" s="4"/>
      <c r="H475" s="4"/>
      <c r="I475" s="4"/>
      <c r="J475" s="4"/>
      <c r="K475" s="4"/>
      <c r="L475" s="4"/>
      <c r="M475" s="4"/>
      <c r="N475" s="4"/>
      <c r="O475" s="4"/>
      <c r="P475" s="4"/>
      <c r="Q475" s="4"/>
      <c r="R475" s="4"/>
      <c r="S475" s="4"/>
      <c r="T475" s="4"/>
      <c r="U475" s="4"/>
      <c r="V475" s="4"/>
      <c r="W475" s="4"/>
      <c r="X475" s="4"/>
      <c r="Y475" s="4"/>
      <c r="Z475" s="4"/>
    </row>
    <row r="476" ht="14.25" customHeight="1">
      <c r="A476" s="2"/>
      <c r="B476" s="4"/>
      <c r="C476" s="2"/>
      <c r="D476" s="2"/>
      <c r="E476" s="4"/>
      <c r="F476" s="2"/>
      <c r="G476" s="4"/>
      <c r="H476" s="4"/>
      <c r="I476" s="4"/>
      <c r="J476" s="4"/>
      <c r="K476" s="4"/>
      <c r="L476" s="4"/>
      <c r="M476" s="4"/>
      <c r="N476" s="4"/>
      <c r="O476" s="4"/>
      <c r="P476" s="4"/>
      <c r="Q476" s="4"/>
      <c r="R476" s="4"/>
      <c r="S476" s="4"/>
      <c r="T476" s="4"/>
      <c r="U476" s="4"/>
      <c r="V476" s="4"/>
      <c r="W476" s="4"/>
      <c r="X476" s="4"/>
      <c r="Y476" s="4"/>
      <c r="Z476" s="4"/>
    </row>
    <row r="477" ht="14.25" customHeight="1">
      <c r="A477" s="2"/>
      <c r="B477" s="4"/>
      <c r="C477" s="2"/>
      <c r="D477" s="2"/>
      <c r="E477" s="4"/>
      <c r="F477" s="2"/>
      <c r="G477" s="4"/>
      <c r="H477" s="4"/>
      <c r="I477" s="4"/>
      <c r="J477" s="4"/>
      <c r="K477" s="4"/>
      <c r="L477" s="4"/>
      <c r="M477" s="4"/>
      <c r="N477" s="4"/>
      <c r="O477" s="4"/>
      <c r="P477" s="4"/>
      <c r="Q477" s="4"/>
      <c r="R477" s="4"/>
      <c r="S477" s="4"/>
      <c r="T477" s="4"/>
      <c r="U477" s="4"/>
      <c r="V477" s="4"/>
      <c r="W477" s="4"/>
      <c r="X477" s="4"/>
      <c r="Y477" s="4"/>
      <c r="Z477" s="4"/>
    </row>
    <row r="478" ht="14.25" customHeight="1">
      <c r="A478" s="2"/>
      <c r="B478" s="4"/>
      <c r="C478" s="2"/>
      <c r="D478" s="2"/>
      <c r="E478" s="4"/>
      <c r="F478" s="2"/>
      <c r="G478" s="4"/>
      <c r="H478" s="4"/>
      <c r="I478" s="4"/>
      <c r="J478" s="4"/>
      <c r="K478" s="4"/>
      <c r="L478" s="4"/>
      <c r="M478" s="4"/>
      <c r="N478" s="4"/>
      <c r="O478" s="4"/>
      <c r="P478" s="4"/>
      <c r="Q478" s="4"/>
      <c r="R478" s="4"/>
      <c r="S478" s="4"/>
      <c r="T478" s="4"/>
      <c r="U478" s="4"/>
      <c r="V478" s="4"/>
      <c r="W478" s="4"/>
      <c r="X478" s="4"/>
      <c r="Y478" s="4"/>
      <c r="Z478" s="4"/>
    </row>
    <row r="479" ht="14.25" customHeight="1">
      <c r="A479" s="2"/>
      <c r="B479" s="4"/>
      <c r="C479" s="2"/>
      <c r="D479" s="2"/>
      <c r="E479" s="4"/>
      <c r="F479" s="2"/>
      <c r="G479" s="4"/>
      <c r="H479" s="4"/>
      <c r="I479" s="4"/>
      <c r="J479" s="4"/>
      <c r="K479" s="4"/>
      <c r="L479" s="4"/>
      <c r="M479" s="4"/>
      <c r="N479" s="4"/>
      <c r="O479" s="4"/>
      <c r="P479" s="4"/>
      <c r="Q479" s="4"/>
      <c r="R479" s="4"/>
      <c r="S479" s="4"/>
      <c r="T479" s="4"/>
      <c r="U479" s="4"/>
      <c r="V479" s="4"/>
      <c r="W479" s="4"/>
      <c r="X479" s="4"/>
      <c r="Y479" s="4"/>
      <c r="Z479" s="4"/>
    </row>
    <row r="480" ht="14.25" customHeight="1">
      <c r="A480" s="2"/>
      <c r="B480" s="4"/>
      <c r="C480" s="2"/>
      <c r="D480" s="2"/>
      <c r="E480" s="4"/>
      <c r="F480" s="2"/>
      <c r="G480" s="4"/>
      <c r="H480" s="4"/>
      <c r="I480" s="4"/>
      <c r="J480" s="4"/>
      <c r="K480" s="4"/>
      <c r="L480" s="4"/>
      <c r="M480" s="4"/>
      <c r="N480" s="4"/>
      <c r="O480" s="4"/>
      <c r="P480" s="4"/>
      <c r="Q480" s="4"/>
      <c r="R480" s="4"/>
      <c r="S480" s="4"/>
      <c r="T480" s="4"/>
      <c r="U480" s="4"/>
      <c r="V480" s="4"/>
      <c r="W480" s="4"/>
      <c r="X480" s="4"/>
      <c r="Y480" s="4"/>
      <c r="Z480" s="4"/>
    </row>
    <row r="481" ht="14.25" customHeight="1">
      <c r="A481" s="2"/>
      <c r="B481" s="4"/>
      <c r="C481" s="2"/>
      <c r="D481" s="2"/>
      <c r="E481" s="4"/>
      <c r="F481" s="2"/>
      <c r="G481" s="4"/>
      <c r="H481" s="4"/>
      <c r="I481" s="4"/>
      <c r="J481" s="4"/>
      <c r="K481" s="4"/>
      <c r="L481" s="4"/>
      <c r="M481" s="4"/>
      <c r="N481" s="4"/>
      <c r="O481" s="4"/>
      <c r="P481" s="4"/>
      <c r="Q481" s="4"/>
      <c r="R481" s="4"/>
      <c r="S481" s="4"/>
      <c r="T481" s="4"/>
      <c r="U481" s="4"/>
      <c r="V481" s="4"/>
      <c r="W481" s="4"/>
      <c r="X481" s="4"/>
      <c r="Y481" s="4"/>
      <c r="Z481" s="4"/>
    </row>
    <row r="482" ht="14.25" customHeight="1">
      <c r="A482" s="2"/>
      <c r="B482" s="4"/>
      <c r="C482" s="2"/>
      <c r="D482" s="2"/>
      <c r="E482" s="4"/>
      <c r="F482" s="2"/>
      <c r="G482" s="4"/>
      <c r="H482" s="4"/>
      <c r="I482" s="4"/>
      <c r="J482" s="4"/>
      <c r="K482" s="4"/>
      <c r="L482" s="4"/>
      <c r="M482" s="4"/>
      <c r="N482" s="4"/>
      <c r="O482" s="4"/>
      <c r="P482" s="4"/>
      <c r="Q482" s="4"/>
      <c r="R482" s="4"/>
      <c r="S482" s="4"/>
      <c r="T482" s="4"/>
      <c r="U482" s="4"/>
      <c r="V482" s="4"/>
      <c r="W482" s="4"/>
      <c r="X482" s="4"/>
      <c r="Y482" s="4"/>
      <c r="Z482" s="4"/>
    </row>
    <row r="483" ht="14.25" customHeight="1">
      <c r="A483" s="2"/>
      <c r="B483" s="4"/>
      <c r="C483" s="2"/>
      <c r="D483" s="2"/>
      <c r="E483" s="4"/>
      <c r="F483" s="2"/>
      <c r="G483" s="4"/>
      <c r="H483" s="4"/>
      <c r="I483" s="4"/>
      <c r="J483" s="4"/>
      <c r="K483" s="4"/>
      <c r="L483" s="4"/>
      <c r="M483" s="4"/>
      <c r="N483" s="4"/>
      <c r="O483" s="4"/>
      <c r="P483" s="4"/>
      <c r="Q483" s="4"/>
      <c r="R483" s="4"/>
      <c r="S483" s="4"/>
      <c r="T483" s="4"/>
      <c r="U483" s="4"/>
      <c r="V483" s="4"/>
      <c r="W483" s="4"/>
      <c r="X483" s="4"/>
      <c r="Y483" s="4"/>
      <c r="Z483" s="4"/>
    </row>
    <row r="484" ht="14.25" customHeight="1">
      <c r="A484" s="2"/>
      <c r="B484" s="4"/>
      <c r="C484" s="2"/>
      <c r="D484" s="2"/>
      <c r="E484" s="4"/>
      <c r="F484" s="2"/>
      <c r="G484" s="4"/>
      <c r="H484" s="4"/>
      <c r="I484" s="4"/>
      <c r="J484" s="4"/>
      <c r="K484" s="4"/>
      <c r="L484" s="4"/>
      <c r="M484" s="4"/>
      <c r="N484" s="4"/>
      <c r="O484" s="4"/>
      <c r="P484" s="4"/>
      <c r="Q484" s="4"/>
      <c r="R484" s="4"/>
      <c r="S484" s="4"/>
      <c r="T484" s="4"/>
      <c r="U484" s="4"/>
      <c r="V484" s="4"/>
      <c r="W484" s="4"/>
      <c r="X484" s="4"/>
      <c r="Y484" s="4"/>
      <c r="Z484" s="4"/>
    </row>
    <row r="485" ht="14.25" customHeight="1">
      <c r="A485" s="2"/>
      <c r="B485" s="4"/>
      <c r="C485" s="2"/>
      <c r="D485" s="2"/>
      <c r="E485" s="4"/>
      <c r="F485" s="2"/>
      <c r="G485" s="4"/>
      <c r="H485" s="4"/>
      <c r="I485" s="4"/>
      <c r="J485" s="4"/>
      <c r="K485" s="4"/>
      <c r="L485" s="4"/>
      <c r="M485" s="4"/>
      <c r="N485" s="4"/>
      <c r="O485" s="4"/>
      <c r="P485" s="4"/>
      <c r="Q485" s="4"/>
      <c r="R485" s="4"/>
      <c r="S485" s="4"/>
      <c r="T485" s="4"/>
      <c r="U485" s="4"/>
      <c r="V485" s="4"/>
      <c r="W485" s="4"/>
      <c r="X485" s="4"/>
      <c r="Y485" s="4"/>
      <c r="Z485" s="4"/>
    </row>
    <row r="486" ht="14.25" customHeight="1">
      <c r="A486" s="2"/>
      <c r="B486" s="4"/>
      <c r="C486" s="2"/>
      <c r="D486" s="2"/>
      <c r="E486" s="4"/>
      <c r="F486" s="2"/>
      <c r="G486" s="4"/>
      <c r="H486" s="4"/>
      <c r="I486" s="4"/>
      <c r="J486" s="4"/>
      <c r="K486" s="4"/>
      <c r="L486" s="4"/>
      <c r="M486" s="4"/>
      <c r="N486" s="4"/>
      <c r="O486" s="4"/>
      <c r="P486" s="4"/>
      <c r="Q486" s="4"/>
      <c r="R486" s="4"/>
      <c r="S486" s="4"/>
      <c r="T486" s="4"/>
      <c r="U486" s="4"/>
      <c r="V486" s="4"/>
      <c r="W486" s="4"/>
      <c r="X486" s="4"/>
      <c r="Y486" s="4"/>
      <c r="Z486" s="4"/>
    </row>
    <row r="487" ht="14.25" customHeight="1">
      <c r="A487" s="2"/>
      <c r="B487" s="4"/>
      <c r="C487" s="2"/>
      <c r="D487" s="2"/>
      <c r="E487" s="4"/>
      <c r="F487" s="2"/>
      <c r="G487" s="4"/>
      <c r="H487" s="4"/>
      <c r="I487" s="4"/>
      <c r="J487" s="4"/>
      <c r="K487" s="4"/>
      <c r="L487" s="4"/>
      <c r="M487" s="4"/>
      <c r="N487" s="4"/>
      <c r="O487" s="4"/>
      <c r="P487" s="4"/>
      <c r="Q487" s="4"/>
      <c r="R487" s="4"/>
      <c r="S487" s="4"/>
      <c r="T487" s="4"/>
      <c r="U487" s="4"/>
      <c r="V487" s="4"/>
      <c r="W487" s="4"/>
      <c r="X487" s="4"/>
      <c r="Y487" s="4"/>
      <c r="Z487" s="4"/>
    </row>
    <row r="488" ht="14.25" customHeight="1">
      <c r="A488" s="2"/>
      <c r="B488" s="4"/>
      <c r="C488" s="2"/>
      <c r="D488" s="2"/>
      <c r="E488" s="4"/>
      <c r="F488" s="2"/>
      <c r="G488" s="4"/>
      <c r="H488" s="4"/>
      <c r="I488" s="4"/>
      <c r="J488" s="4"/>
      <c r="K488" s="4"/>
      <c r="L488" s="4"/>
      <c r="M488" s="4"/>
      <c r="N488" s="4"/>
      <c r="O488" s="4"/>
      <c r="P488" s="4"/>
      <c r="Q488" s="4"/>
      <c r="R488" s="4"/>
      <c r="S488" s="4"/>
      <c r="T488" s="4"/>
      <c r="U488" s="4"/>
      <c r="V488" s="4"/>
      <c r="W488" s="4"/>
      <c r="X488" s="4"/>
      <c r="Y488" s="4"/>
      <c r="Z488" s="4"/>
    </row>
    <row r="489" ht="14.25" customHeight="1">
      <c r="A489" s="2"/>
      <c r="B489" s="4"/>
      <c r="C489" s="2"/>
      <c r="D489" s="2"/>
      <c r="E489" s="4"/>
      <c r="F489" s="2"/>
      <c r="G489" s="4"/>
      <c r="H489" s="4"/>
      <c r="I489" s="4"/>
      <c r="J489" s="4"/>
      <c r="K489" s="4"/>
      <c r="L489" s="4"/>
      <c r="M489" s="4"/>
      <c r="N489" s="4"/>
      <c r="O489" s="4"/>
      <c r="P489" s="4"/>
      <c r="Q489" s="4"/>
      <c r="R489" s="4"/>
      <c r="S489" s="4"/>
      <c r="T489" s="4"/>
      <c r="U489" s="4"/>
      <c r="V489" s="4"/>
      <c r="W489" s="4"/>
      <c r="X489" s="4"/>
      <c r="Y489" s="4"/>
      <c r="Z489" s="4"/>
    </row>
    <row r="490" ht="14.25" customHeight="1">
      <c r="A490" s="2"/>
      <c r="B490" s="4"/>
      <c r="C490" s="2"/>
      <c r="D490" s="2"/>
      <c r="E490" s="4"/>
      <c r="F490" s="2"/>
      <c r="G490" s="4"/>
      <c r="H490" s="4"/>
      <c r="I490" s="4"/>
      <c r="J490" s="4"/>
      <c r="K490" s="4"/>
      <c r="L490" s="4"/>
      <c r="M490" s="4"/>
      <c r="N490" s="4"/>
      <c r="O490" s="4"/>
      <c r="P490" s="4"/>
      <c r="Q490" s="4"/>
      <c r="R490" s="4"/>
      <c r="S490" s="4"/>
      <c r="T490" s="4"/>
      <c r="U490" s="4"/>
      <c r="V490" s="4"/>
      <c r="W490" s="4"/>
      <c r="X490" s="4"/>
      <c r="Y490" s="4"/>
      <c r="Z490" s="4"/>
    </row>
    <row r="491" ht="14.25" customHeight="1">
      <c r="A491" s="2"/>
      <c r="B491" s="4"/>
      <c r="C491" s="2"/>
      <c r="D491" s="2"/>
      <c r="E491" s="4"/>
      <c r="F491" s="2"/>
      <c r="G491" s="4"/>
      <c r="H491" s="4"/>
      <c r="I491" s="4"/>
      <c r="J491" s="4"/>
      <c r="K491" s="4"/>
      <c r="L491" s="4"/>
      <c r="M491" s="4"/>
      <c r="N491" s="4"/>
      <c r="O491" s="4"/>
      <c r="P491" s="4"/>
      <c r="Q491" s="4"/>
      <c r="R491" s="4"/>
      <c r="S491" s="4"/>
      <c r="T491" s="4"/>
      <c r="U491" s="4"/>
      <c r="V491" s="4"/>
      <c r="W491" s="4"/>
      <c r="X491" s="4"/>
      <c r="Y491" s="4"/>
      <c r="Z491" s="4"/>
    </row>
    <row r="492" ht="14.25" customHeight="1">
      <c r="A492" s="2"/>
      <c r="B492" s="4"/>
      <c r="C492" s="2"/>
      <c r="D492" s="2"/>
      <c r="E492" s="4"/>
      <c r="F492" s="2"/>
      <c r="G492" s="4"/>
      <c r="H492" s="4"/>
      <c r="I492" s="4"/>
      <c r="J492" s="4"/>
      <c r="K492" s="4"/>
      <c r="L492" s="4"/>
      <c r="M492" s="4"/>
      <c r="N492" s="4"/>
      <c r="O492" s="4"/>
      <c r="P492" s="4"/>
      <c r="Q492" s="4"/>
      <c r="R492" s="4"/>
      <c r="S492" s="4"/>
      <c r="T492" s="4"/>
      <c r="U492" s="4"/>
      <c r="V492" s="4"/>
      <c r="W492" s="4"/>
      <c r="X492" s="4"/>
      <c r="Y492" s="4"/>
      <c r="Z492" s="4"/>
    </row>
    <row r="493" ht="14.25" customHeight="1">
      <c r="A493" s="2"/>
      <c r="B493" s="4"/>
      <c r="C493" s="2"/>
      <c r="D493" s="2"/>
      <c r="E493" s="4"/>
      <c r="F493" s="2"/>
      <c r="G493" s="4"/>
      <c r="H493" s="4"/>
      <c r="I493" s="4"/>
      <c r="J493" s="4"/>
      <c r="K493" s="4"/>
      <c r="L493" s="4"/>
      <c r="M493" s="4"/>
      <c r="N493" s="4"/>
      <c r="O493" s="4"/>
      <c r="P493" s="4"/>
      <c r="Q493" s="4"/>
      <c r="R493" s="4"/>
      <c r="S493" s="4"/>
      <c r="T493" s="4"/>
      <c r="U493" s="4"/>
      <c r="V493" s="4"/>
      <c r="W493" s="4"/>
      <c r="X493" s="4"/>
      <c r="Y493" s="4"/>
      <c r="Z493" s="4"/>
    </row>
    <row r="494" ht="14.25" customHeight="1">
      <c r="A494" s="2"/>
      <c r="B494" s="4"/>
      <c r="C494" s="2"/>
      <c r="D494" s="2"/>
      <c r="E494" s="4"/>
      <c r="F494" s="2"/>
      <c r="G494" s="4"/>
      <c r="H494" s="4"/>
      <c r="I494" s="4"/>
      <c r="J494" s="4"/>
      <c r="K494" s="4"/>
      <c r="L494" s="4"/>
      <c r="M494" s="4"/>
      <c r="N494" s="4"/>
      <c r="O494" s="4"/>
      <c r="P494" s="4"/>
      <c r="Q494" s="4"/>
      <c r="R494" s="4"/>
      <c r="S494" s="4"/>
      <c r="T494" s="4"/>
      <c r="U494" s="4"/>
      <c r="V494" s="4"/>
      <c r="W494" s="4"/>
      <c r="X494" s="4"/>
      <c r="Y494" s="4"/>
      <c r="Z494" s="4"/>
    </row>
    <row r="495" ht="14.25" customHeight="1">
      <c r="A495" s="2"/>
      <c r="B495" s="4"/>
      <c r="C495" s="2"/>
      <c r="D495" s="2"/>
      <c r="E495" s="4"/>
      <c r="F495" s="2"/>
      <c r="G495" s="4"/>
      <c r="H495" s="4"/>
      <c r="I495" s="4"/>
      <c r="J495" s="4"/>
      <c r="K495" s="4"/>
      <c r="L495" s="4"/>
      <c r="M495" s="4"/>
      <c r="N495" s="4"/>
      <c r="O495" s="4"/>
      <c r="P495" s="4"/>
      <c r="Q495" s="4"/>
      <c r="R495" s="4"/>
      <c r="S495" s="4"/>
      <c r="T495" s="4"/>
      <c r="U495" s="4"/>
      <c r="V495" s="4"/>
      <c r="W495" s="4"/>
      <c r="X495" s="4"/>
      <c r="Y495" s="4"/>
      <c r="Z495" s="4"/>
    </row>
    <row r="496" ht="14.25" customHeight="1">
      <c r="A496" s="2"/>
      <c r="B496" s="4"/>
      <c r="C496" s="2"/>
      <c r="D496" s="2"/>
      <c r="E496" s="4"/>
      <c r="F496" s="2"/>
      <c r="G496" s="4"/>
      <c r="H496" s="4"/>
      <c r="I496" s="4"/>
      <c r="J496" s="4"/>
      <c r="K496" s="4"/>
      <c r="L496" s="4"/>
      <c r="M496" s="4"/>
      <c r="N496" s="4"/>
      <c r="O496" s="4"/>
      <c r="P496" s="4"/>
      <c r="Q496" s="4"/>
      <c r="R496" s="4"/>
      <c r="S496" s="4"/>
      <c r="T496" s="4"/>
      <c r="U496" s="4"/>
      <c r="V496" s="4"/>
      <c r="W496" s="4"/>
      <c r="X496" s="4"/>
      <c r="Y496" s="4"/>
      <c r="Z496" s="4"/>
    </row>
    <row r="497" ht="14.25" customHeight="1">
      <c r="A497" s="2"/>
      <c r="B497" s="4"/>
      <c r="C497" s="2"/>
      <c r="D497" s="2"/>
      <c r="E497" s="4"/>
      <c r="F497" s="2"/>
      <c r="G497" s="4"/>
      <c r="H497" s="4"/>
      <c r="I497" s="4"/>
      <c r="J497" s="4"/>
      <c r="K497" s="4"/>
      <c r="L497" s="4"/>
      <c r="M497" s="4"/>
      <c r="N497" s="4"/>
      <c r="O497" s="4"/>
      <c r="P497" s="4"/>
      <c r="Q497" s="4"/>
      <c r="R497" s="4"/>
      <c r="S497" s="4"/>
      <c r="T497" s="4"/>
      <c r="U497" s="4"/>
      <c r="V497" s="4"/>
      <c r="W497" s="4"/>
      <c r="X497" s="4"/>
      <c r="Y497" s="4"/>
      <c r="Z497" s="4"/>
    </row>
    <row r="498" ht="14.25" customHeight="1">
      <c r="A498" s="2"/>
      <c r="B498" s="4"/>
      <c r="C498" s="2"/>
      <c r="D498" s="2"/>
      <c r="E498" s="4"/>
      <c r="F498" s="2"/>
      <c r="G498" s="4"/>
      <c r="H498" s="4"/>
      <c r="I498" s="4"/>
      <c r="J498" s="4"/>
      <c r="K498" s="4"/>
      <c r="L498" s="4"/>
      <c r="M498" s="4"/>
      <c r="N498" s="4"/>
      <c r="O498" s="4"/>
      <c r="P498" s="4"/>
      <c r="Q498" s="4"/>
      <c r="R498" s="4"/>
      <c r="S498" s="4"/>
      <c r="T498" s="4"/>
      <c r="U498" s="4"/>
      <c r="V498" s="4"/>
      <c r="W498" s="4"/>
      <c r="X498" s="4"/>
      <c r="Y498" s="4"/>
      <c r="Z498" s="4"/>
    </row>
    <row r="499" ht="14.25" customHeight="1">
      <c r="A499" s="2"/>
      <c r="B499" s="4"/>
      <c r="C499" s="2"/>
      <c r="D499" s="2"/>
      <c r="E499" s="4"/>
      <c r="F499" s="2"/>
      <c r="G499" s="4"/>
      <c r="H499" s="4"/>
      <c r="I499" s="4"/>
      <c r="J499" s="4"/>
      <c r="K499" s="4"/>
      <c r="L499" s="4"/>
      <c r="M499" s="4"/>
      <c r="N499" s="4"/>
      <c r="O499" s="4"/>
      <c r="P499" s="4"/>
      <c r="Q499" s="4"/>
      <c r="R499" s="4"/>
      <c r="S499" s="4"/>
      <c r="T499" s="4"/>
      <c r="U499" s="4"/>
      <c r="V499" s="4"/>
      <c r="W499" s="4"/>
      <c r="X499" s="4"/>
      <c r="Y499" s="4"/>
      <c r="Z499" s="4"/>
    </row>
    <row r="500" ht="14.25" customHeight="1">
      <c r="A500" s="2"/>
      <c r="B500" s="4"/>
      <c r="C500" s="2"/>
      <c r="D500" s="2"/>
      <c r="E500" s="4"/>
      <c r="F500" s="2"/>
      <c r="G500" s="4"/>
      <c r="H500" s="4"/>
      <c r="I500" s="4"/>
      <c r="J500" s="4"/>
      <c r="K500" s="4"/>
      <c r="L500" s="4"/>
      <c r="M500" s="4"/>
      <c r="N500" s="4"/>
      <c r="O500" s="4"/>
      <c r="P500" s="4"/>
      <c r="Q500" s="4"/>
      <c r="R500" s="4"/>
      <c r="S500" s="4"/>
      <c r="T500" s="4"/>
      <c r="U500" s="4"/>
      <c r="V500" s="4"/>
      <c r="W500" s="4"/>
      <c r="X500" s="4"/>
      <c r="Y500" s="4"/>
      <c r="Z500" s="4"/>
    </row>
    <row r="501" ht="14.25" customHeight="1">
      <c r="A501" s="2"/>
      <c r="B501" s="4"/>
      <c r="C501" s="2"/>
      <c r="D501" s="2"/>
      <c r="E501" s="4"/>
      <c r="F501" s="2"/>
      <c r="G501" s="4"/>
      <c r="H501" s="4"/>
      <c r="I501" s="4"/>
      <c r="J501" s="4"/>
      <c r="K501" s="4"/>
      <c r="L501" s="4"/>
      <c r="M501" s="4"/>
      <c r="N501" s="4"/>
      <c r="O501" s="4"/>
      <c r="P501" s="4"/>
      <c r="Q501" s="4"/>
      <c r="R501" s="4"/>
      <c r="S501" s="4"/>
      <c r="T501" s="4"/>
      <c r="U501" s="4"/>
      <c r="V501" s="4"/>
      <c r="W501" s="4"/>
      <c r="X501" s="4"/>
      <c r="Y501" s="4"/>
      <c r="Z501" s="4"/>
    </row>
    <row r="502" ht="14.25" customHeight="1">
      <c r="A502" s="2"/>
      <c r="B502" s="4"/>
      <c r="C502" s="2"/>
      <c r="D502" s="2"/>
      <c r="E502" s="4"/>
      <c r="F502" s="2"/>
      <c r="G502" s="4"/>
      <c r="H502" s="4"/>
      <c r="I502" s="4"/>
      <c r="J502" s="4"/>
      <c r="K502" s="4"/>
      <c r="L502" s="4"/>
      <c r="M502" s="4"/>
      <c r="N502" s="4"/>
      <c r="O502" s="4"/>
      <c r="P502" s="4"/>
      <c r="Q502" s="4"/>
      <c r="R502" s="4"/>
      <c r="S502" s="4"/>
      <c r="T502" s="4"/>
      <c r="U502" s="4"/>
      <c r="V502" s="4"/>
      <c r="W502" s="4"/>
      <c r="X502" s="4"/>
      <c r="Y502" s="4"/>
      <c r="Z502" s="4"/>
    </row>
    <row r="503" ht="14.25" customHeight="1">
      <c r="A503" s="2"/>
      <c r="B503" s="4"/>
      <c r="C503" s="2"/>
      <c r="D503" s="2"/>
      <c r="E503" s="4"/>
      <c r="F503" s="2"/>
      <c r="G503" s="4"/>
      <c r="H503" s="4"/>
      <c r="I503" s="4"/>
      <c r="J503" s="4"/>
      <c r="K503" s="4"/>
      <c r="L503" s="4"/>
      <c r="M503" s="4"/>
      <c r="N503" s="4"/>
      <c r="O503" s="4"/>
      <c r="P503" s="4"/>
      <c r="Q503" s="4"/>
      <c r="R503" s="4"/>
      <c r="S503" s="4"/>
      <c r="T503" s="4"/>
      <c r="U503" s="4"/>
      <c r="V503" s="4"/>
      <c r="W503" s="4"/>
      <c r="X503" s="4"/>
      <c r="Y503" s="4"/>
      <c r="Z503" s="4"/>
    </row>
    <row r="504" ht="14.25" customHeight="1">
      <c r="A504" s="2"/>
      <c r="B504" s="4"/>
      <c r="C504" s="2"/>
      <c r="D504" s="2"/>
      <c r="E504" s="4"/>
      <c r="F504" s="2"/>
      <c r="G504" s="4"/>
      <c r="H504" s="4"/>
      <c r="I504" s="4"/>
      <c r="J504" s="4"/>
      <c r="K504" s="4"/>
      <c r="L504" s="4"/>
      <c r="M504" s="4"/>
      <c r="N504" s="4"/>
      <c r="O504" s="4"/>
      <c r="P504" s="4"/>
      <c r="Q504" s="4"/>
      <c r="R504" s="4"/>
      <c r="S504" s="4"/>
      <c r="T504" s="4"/>
      <c r="U504" s="4"/>
      <c r="V504" s="4"/>
      <c r="W504" s="4"/>
      <c r="X504" s="4"/>
      <c r="Y504" s="4"/>
      <c r="Z504" s="4"/>
    </row>
    <row r="505" ht="14.25" customHeight="1">
      <c r="A505" s="2"/>
      <c r="B505" s="4"/>
      <c r="C505" s="2"/>
      <c r="D505" s="2"/>
      <c r="E505" s="4"/>
      <c r="F505" s="2"/>
      <c r="G505" s="4"/>
      <c r="H505" s="4"/>
      <c r="I505" s="4"/>
      <c r="J505" s="4"/>
      <c r="K505" s="4"/>
      <c r="L505" s="4"/>
      <c r="M505" s="4"/>
      <c r="N505" s="4"/>
      <c r="O505" s="4"/>
      <c r="P505" s="4"/>
      <c r="Q505" s="4"/>
      <c r="R505" s="4"/>
      <c r="S505" s="4"/>
      <c r="T505" s="4"/>
      <c r="U505" s="4"/>
      <c r="V505" s="4"/>
      <c r="W505" s="4"/>
      <c r="X505" s="4"/>
      <c r="Y505" s="4"/>
      <c r="Z505" s="4"/>
    </row>
    <row r="506" ht="14.25" customHeight="1">
      <c r="A506" s="2"/>
      <c r="B506" s="4"/>
      <c r="C506" s="2"/>
      <c r="D506" s="2"/>
      <c r="E506" s="4"/>
      <c r="F506" s="2"/>
      <c r="G506" s="4"/>
      <c r="H506" s="4"/>
      <c r="I506" s="4"/>
      <c r="J506" s="4"/>
      <c r="K506" s="4"/>
      <c r="L506" s="4"/>
      <c r="M506" s="4"/>
      <c r="N506" s="4"/>
      <c r="O506" s="4"/>
      <c r="P506" s="4"/>
      <c r="Q506" s="4"/>
      <c r="R506" s="4"/>
      <c r="S506" s="4"/>
      <c r="T506" s="4"/>
      <c r="U506" s="4"/>
      <c r="V506" s="4"/>
      <c r="W506" s="4"/>
      <c r="X506" s="4"/>
      <c r="Y506" s="4"/>
      <c r="Z506" s="4"/>
    </row>
    <row r="507" ht="14.25" customHeight="1">
      <c r="A507" s="2"/>
      <c r="B507" s="4"/>
      <c r="C507" s="2"/>
      <c r="D507" s="2"/>
      <c r="E507" s="4"/>
      <c r="F507" s="2"/>
      <c r="G507" s="4"/>
      <c r="H507" s="4"/>
      <c r="I507" s="4"/>
      <c r="J507" s="4"/>
      <c r="K507" s="4"/>
      <c r="L507" s="4"/>
      <c r="M507" s="4"/>
      <c r="N507" s="4"/>
      <c r="O507" s="4"/>
      <c r="P507" s="4"/>
      <c r="Q507" s="4"/>
      <c r="R507" s="4"/>
      <c r="S507" s="4"/>
      <c r="T507" s="4"/>
      <c r="U507" s="4"/>
      <c r="V507" s="4"/>
      <c r="W507" s="4"/>
      <c r="X507" s="4"/>
      <c r="Y507" s="4"/>
      <c r="Z507" s="4"/>
    </row>
    <row r="508" ht="14.25" customHeight="1">
      <c r="A508" s="2"/>
      <c r="B508" s="4"/>
      <c r="C508" s="2"/>
      <c r="D508" s="2"/>
      <c r="E508" s="4"/>
      <c r="F508" s="2"/>
      <c r="G508" s="4"/>
      <c r="H508" s="4"/>
      <c r="I508" s="4"/>
      <c r="J508" s="4"/>
      <c r="K508" s="4"/>
      <c r="L508" s="4"/>
      <c r="M508" s="4"/>
      <c r="N508" s="4"/>
      <c r="O508" s="4"/>
      <c r="P508" s="4"/>
      <c r="Q508" s="4"/>
      <c r="R508" s="4"/>
      <c r="S508" s="4"/>
      <c r="T508" s="4"/>
      <c r="U508" s="4"/>
      <c r="V508" s="4"/>
      <c r="W508" s="4"/>
      <c r="X508" s="4"/>
      <c r="Y508" s="4"/>
      <c r="Z508" s="4"/>
    </row>
    <row r="509" ht="14.25" customHeight="1">
      <c r="A509" s="2"/>
      <c r="B509" s="4"/>
      <c r="C509" s="2"/>
      <c r="D509" s="2"/>
      <c r="E509" s="4"/>
      <c r="F509" s="2"/>
      <c r="G509" s="4"/>
      <c r="H509" s="4"/>
      <c r="I509" s="4"/>
      <c r="J509" s="4"/>
      <c r="K509" s="4"/>
      <c r="L509" s="4"/>
      <c r="M509" s="4"/>
      <c r="N509" s="4"/>
      <c r="O509" s="4"/>
      <c r="P509" s="4"/>
      <c r="Q509" s="4"/>
      <c r="R509" s="4"/>
      <c r="S509" s="4"/>
      <c r="T509" s="4"/>
      <c r="U509" s="4"/>
      <c r="V509" s="4"/>
      <c r="W509" s="4"/>
      <c r="X509" s="4"/>
      <c r="Y509" s="4"/>
      <c r="Z509" s="4"/>
    </row>
    <row r="510" ht="14.25" customHeight="1">
      <c r="A510" s="2"/>
      <c r="B510" s="4"/>
      <c r="C510" s="2"/>
      <c r="D510" s="2"/>
      <c r="E510" s="4"/>
      <c r="F510" s="2"/>
      <c r="G510" s="4"/>
      <c r="H510" s="4"/>
      <c r="I510" s="4"/>
      <c r="J510" s="4"/>
      <c r="K510" s="4"/>
      <c r="L510" s="4"/>
      <c r="M510" s="4"/>
      <c r="N510" s="4"/>
      <c r="O510" s="4"/>
      <c r="P510" s="4"/>
      <c r="Q510" s="4"/>
      <c r="R510" s="4"/>
      <c r="S510" s="4"/>
      <c r="T510" s="4"/>
      <c r="U510" s="4"/>
      <c r="V510" s="4"/>
      <c r="W510" s="4"/>
      <c r="X510" s="4"/>
      <c r="Y510" s="4"/>
      <c r="Z510" s="4"/>
    </row>
    <row r="511" ht="14.25" customHeight="1">
      <c r="A511" s="2"/>
      <c r="B511" s="4"/>
      <c r="C511" s="2"/>
      <c r="D511" s="2"/>
      <c r="E511" s="4"/>
      <c r="F511" s="2"/>
      <c r="G511" s="4"/>
      <c r="H511" s="4"/>
      <c r="I511" s="4"/>
      <c r="J511" s="4"/>
      <c r="K511" s="4"/>
      <c r="L511" s="4"/>
      <c r="M511" s="4"/>
      <c r="N511" s="4"/>
      <c r="O511" s="4"/>
      <c r="P511" s="4"/>
      <c r="Q511" s="4"/>
      <c r="R511" s="4"/>
      <c r="S511" s="4"/>
      <c r="T511" s="4"/>
      <c r="U511" s="4"/>
      <c r="V511" s="4"/>
      <c r="W511" s="4"/>
      <c r="X511" s="4"/>
      <c r="Y511" s="4"/>
      <c r="Z511" s="4"/>
    </row>
    <row r="512" ht="14.25" customHeight="1">
      <c r="A512" s="2"/>
      <c r="B512" s="4"/>
      <c r="C512" s="2"/>
      <c r="D512" s="2"/>
      <c r="E512" s="4"/>
      <c r="F512" s="2"/>
      <c r="G512" s="4"/>
      <c r="H512" s="4"/>
      <c r="I512" s="4"/>
      <c r="J512" s="4"/>
      <c r="K512" s="4"/>
      <c r="L512" s="4"/>
      <c r="M512" s="4"/>
      <c r="N512" s="4"/>
      <c r="O512" s="4"/>
      <c r="P512" s="4"/>
      <c r="Q512" s="4"/>
      <c r="R512" s="4"/>
      <c r="S512" s="4"/>
      <c r="T512" s="4"/>
      <c r="U512" s="4"/>
      <c r="V512" s="4"/>
      <c r="W512" s="4"/>
      <c r="X512" s="4"/>
      <c r="Y512" s="4"/>
      <c r="Z512" s="4"/>
    </row>
    <row r="513" ht="14.25" customHeight="1">
      <c r="A513" s="2"/>
      <c r="B513" s="4"/>
      <c r="C513" s="2"/>
      <c r="D513" s="2"/>
      <c r="E513" s="4"/>
      <c r="F513" s="2"/>
      <c r="G513" s="4"/>
      <c r="H513" s="4"/>
      <c r="I513" s="4"/>
      <c r="J513" s="4"/>
      <c r="K513" s="4"/>
      <c r="L513" s="4"/>
      <c r="M513" s="4"/>
      <c r="N513" s="4"/>
      <c r="O513" s="4"/>
      <c r="P513" s="4"/>
      <c r="Q513" s="4"/>
      <c r="R513" s="4"/>
      <c r="S513" s="4"/>
      <c r="T513" s="4"/>
      <c r="U513" s="4"/>
      <c r="V513" s="4"/>
      <c r="W513" s="4"/>
      <c r="X513" s="4"/>
      <c r="Y513" s="4"/>
      <c r="Z513" s="4"/>
    </row>
    <row r="514" ht="14.25" customHeight="1">
      <c r="A514" s="2"/>
      <c r="B514" s="4"/>
      <c r="C514" s="2"/>
      <c r="D514" s="2"/>
      <c r="E514" s="4"/>
      <c r="F514" s="2"/>
      <c r="G514" s="4"/>
      <c r="H514" s="4"/>
      <c r="I514" s="4"/>
      <c r="J514" s="4"/>
      <c r="K514" s="4"/>
      <c r="L514" s="4"/>
      <c r="M514" s="4"/>
      <c r="N514" s="4"/>
      <c r="O514" s="4"/>
      <c r="P514" s="4"/>
      <c r="Q514" s="4"/>
      <c r="R514" s="4"/>
      <c r="S514" s="4"/>
      <c r="T514" s="4"/>
      <c r="U514" s="4"/>
      <c r="V514" s="4"/>
      <c r="W514" s="4"/>
      <c r="X514" s="4"/>
      <c r="Y514" s="4"/>
      <c r="Z514" s="4"/>
    </row>
    <row r="515" ht="14.25" customHeight="1">
      <c r="A515" s="2"/>
      <c r="B515" s="4"/>
      <c r="C515" s="2"/>
      <c r="D515" s="2"/>
      <c r="E515" s="4"/>
      <c r="F515" s="2"/>
      <c r="G515" s="4"/>
      <c r="H515" s="4"/>
      <c r="I515" s="4"/>
      <c r="J515" s="4"/>
      <c r="K515" s="4"/>
      <c r="L515" s="4"/>
      <c r="M515" s="4"/>
      <c r="N515" s="4"/>
      <c r="O515" s="4"/>
      <c r="P515" s="4"/>
      <c r="Q515" s="4"/>
      <c r="R515" s="4"/>
      <c r="S515" s="4"/>
      <c r="T515" s="4"/>
      <c r="U515" s="4"/>
      <c r="V515" s="4"/>
      <c r="W515" s="4"/>
      <c r="X515" s="4"/>
      <c r="Y515" s="4"/>
      <c r="Z515" s="4"/>
    </row>
    <row r="516" ht="14.25" customHeight="1">
      <c r="A516" s="2"/>
      <c r="B516" s="4"/>
      <c r="C516" s="2"/>
      <c r="D516" s="2"/>
      <c r="E516" s="4"/>
      <c r="F516" s="2"/>
      <c r="G516" s="4"/>
      <c r="H516" s="4"/>
      <c r="I516" s="4"/>
      <c r="J516" s="4"/>
      <c r="K516" s="4"/>
      <c r="L516" s="4"/>
      <c r="M516" s="4"/>
      <c r="N516" s="4"/>
      <c r="O516" s="4"/>
      <c r="P516" s="4"/>
      <c r="Q516" s="4"/>
      <c r="R516" s="4"/>
      <c r="S516" s="4"/>
      <c r="T516" s="4"/>
      <c r="U516" s="4"/>
      <c r="V516" s="4"/>
      <c r="W516" s="4"/>
      <c r="X516" s="4"/>
      <c r="Y516" s="4"/>
      <c r="Z516" s="4"/>
    </row>
    <row r="517" ht="14.25" customHeight="1">
      <c r="A517" s="2"/>
      <c r="B517" s="4"/>
      <c r="C517" s="2"/>
      <c r="D517" s="2"/>
      <c r="E517" s="4"/>
      <c r="F517" s="2"/>
      <c r="G517" s="4"/>
      <c r="H517" s="4"/>
      <c r="I517" s="4"/>
      <c r="J517" s="4"/>
      <c r="K517" s="4"/>
      <c r="L517" s="4"/>
      <c r="M517" s="4"/>
      <c r="N517" s="4"/>
      <c r="O517" s="4"/>
      <c r="P517" s="4"/>
      <c r="Q517" s="4"/>
      <c r="R517" s="4"/>
      <c r="S517" s="4"/>
      <c r="T517" s="4"/>
      <c r="U517" s="4"/>
      <c r="V517" s="4"/>
      <c r="W517" s="4"/>
      <c r="X517" s="4"/>
      <c r="Y517" s="4"/>
      <c r="Z517" s="4"/>
    </row>
    <row r="518" ht="14.25" customHeight="1">
      <c r="A518" s="2"/>
      <c r="B518" s="4"/>
      <c r="C518" s="2"/>
      <c r="D518" s="2"/>
      <c r="E518" s="4"/>
      <c r="F518" s="2"/>
      <c r="G518" s="4"/>
      <c r="H518" s="4"/>
      <c r="I518" s="4"/>
      <c r="J518" s="4"/>
      <c r="K518" s="4"/>
      <c r="L518" s="4"/>
      <c r="M518" s="4"/>
      <c r="N518" s="4"/>
      <c r="O518" s="4"/>
      <c r="P518" s="4"/>
      <c r="Q518" s="4"/>
      <c r="R518" s="4"/>
      <c r="S518" s="4"/>
      <c r="T518" s="4"/>
      <c r="U518" s="4"/>
      <c r="V518" s="4"/>
      <c r="W518" s="4"/>
      <c r="X518" s="4"/>
      <c r="Y518" s="4"/>
      <c r="Z518" s="4"/>
    </row>
    <row r="519" ht="14.25" customHeight="1">
      <c r="A519" s="2"/>
      <c r="B519" s="4"/>
      <c r="C519" s="2"/>
      <c r="D519" s="2"/>
      <c r="E519" s="4"/>
      <c r="F519" s="2"/>
      <c r="G519" s="4"/>
      <c r="H519" s="4"/>
      <c r="I519" s="4"/>
      <c r="J519" s="4"/>
      <c r="K519" s="4"/>
      <c r="L519" s="4"/>
      <c r="M519" s="4"/>
      <c r="N519" s="4"/>
      <c r="O519" s="4"/>
      <c r="P519" s="4"/>
      <c r="Q519" s="4"/>
      <c r="R519" s="4"/>
      <c r="S519" s="4"/>
      <c r="T519" s="4"/>
      <c r="U519" s="4"/>
      <c r="V519" s="4"/>
      <c r="W519" s="4"/>
      <c r="X519" s="4"/>
      <c r="Y519" s="4"/>
      <c r="Z519" s="4"/>
    </row>
    <row r="520" ht="14.25" customHeight="1">
      <c r="A520" s="2"/>
      <c r="B520" s="4"/>
      <c r="C520" s="2"/>
      <c r="D520" s="2"/>
      <c r="E520" s="4"/>
      <c r="F520" s="2"/>
      <c r="G520" s="4"/>
      <c r="H520" s="4"/>
      <c r="I520" s="4"/>
      <c r="J520" s="4"/>
      <c r="K520" s="4"/>
      <c r="L520" s="4"/>
      <c r="M520" s="4"/>
      <c r="N520" s="4"/>
      <c r="O520" s="4"/>
      <c r="P520" s="4"/>
      <c r="Q520" s="4"/>
      <c r="R520" s="4"/>
      <c r="S520" s="4"/>
      <c r="T520" s="4"/>
      <c r="U520" s="4"/>
      <c r="V520" s="4"/>
      <c r="W520" s="4"/>
      <c r="X520" s="4"/>
      <c r="Y520" s="4"/>
      <c r="Z520" s="4"/>
    </row>
    <row r="521" ht="14.25" customHeight="1">
      <c r="A521" s="2"/>
      <c r="B521" s="4"/>
      <c r="C521" s="2"/>
      <c r="D521" s="2"/>
      <c r="E521" s="4"/>
      <c r="F521" s="2"/>
      <c r="G521" s="4"/>
      <c r="H521" s="4"/>
      <c r="I521" s="4"/>
      <c r="J521" s="4"/>
      <c r="K521" s="4"/>
      <c r="L521" s="4"/>
      <c r="M521" s="4"/>
      <c r="N521" s="4"/>
      <c r="O521" s="4"/>
      <c r="P521" s="4"/>
      <c r="Q521" s="4"/>
      <c r="R521" s="4"/>
      <c r="S521" s="4"/>
      <c r="T521" s="4"/>
      <c r="U521" s="4"/>
      <c r="V521" s="4"/>
      <c r="W521" s="4"/>
      <c r="X521" s="4"/>
      <c r="Y521" s="4"/>
      <c r="Z521" s="4"/>
    </row>
    <row r="522" ht="14.25" customHeight="1">
      <c r="A522" s="2"/>
      <c r="B522" s="4"/>
      <c r="C522" s="2"/>
      <c r="D522" s="2"/>
      <c r="E522" s="4"/>
      <c r="F522" s="2"/>
      <c r="G522" s="4"/>
      <c r="H522" s="4"/>
      <c r="I522" s="4"/>
      <c r="J522" s="4"/>
      <c r="K522" s="4"/>
      <c r="L522" s="4"/>
      <c r="M522" s="4"/>
      <c r="N522" s="4"/>
      <c r="O522" s="4"/>
      <c r="P522" s="4"/>
      <c r="Q522" s="4"/>
      <c r="R522" s="4"/>
      <c r="S522" s="4"/>
      <c r="T522" s="4"/>
      <c r="U522" s="4"/>
      <c r="V522" s="4"/>
      <c r="W522" s="4"/>
      <c r="X522" s="4"/>
      <c r="Y522" s="4"/>
      <c r="Z522" s="4"/>
    </row>
    <row r="523" ht="14.25" customHeight="1">
      <c r="A523" s="2"/>
      <c r="B523" s="4"/>
      <c r="C523" s="2"/>
      <c r="D523" s="2"/>
      <c r="E523" s="4"/>
      <c r="F523" s="2"/>
      <c r="G523" s="4"/>
      <c r="H523" s="4"/>
      <c r="I523" s="4"/>
      <c r="J523" s="4"/>
      <c r="K523" s="4"/>
      <c r="L523" s="4"/>
      <c r="M523" s="4"/>
      <c r="N523" s="4"/>
      <c r="O523" s="4"/>
      <c r="P523" s="4"/>
      <c r="Q523" s="4"/>
      <c r="R523" s="4"/>
      <c r="S523" s="4"/>
      <c r="T523" s="4"/>
      <c r="U523" s="4"/>
      <c r="V523" s="4"/>
      <c r="W523" s="4"/>
      <c r="X523" s="4"/>
      <c r="Y523" s="4"/>
      <c r="Z523" s="4"/>
    </row>
    <row r="524" ht="14.25" customHeight="1">
      <c r="A524" s="2"/>
      <c r="B524" s="4"/>
      <c r="C524" s="2"/>
      <c r="D524" s="2"/>
      <c r="E524" s="4"/>
      <c r="F524" s="2"/>
      <c r="G524" s="4"/>
      <c r="H524" s="4"/>
      <c r="I524" s="4"/>
      <c r="J524" s="4"/>
      <c r="K524" s="4"/>
      <c r="L524" s="4"/>
      <c r="M524" s="4"/>
      <c r="N524" s="4"/>
      <c r="O524" s="4"/>
      <c r="P524" s="4"/>
      <c r="Q524" s="4"/>
      <c r="R524" s="4"/>
      <c r="S524" s="4"/>
      <c r="T524" s="4"/>
      <c r="U524" s="4"/>
      <c r="V524" s="4"/>
      <c r="W524" s="4"/>
      <c r="X524" s="4"/>
      <c r="Y524" s="4"/>
      <c r="Z524" s="4"/>
    </row>
    <row r="525" ht="14.25" customHeight="1">
      <c r="A525" s="2"/>
      <c r="B525" s="4"/>
      <c r="C525" s="2"/>
      <c r="D525" s="2"/>
      <c r="E525" s="4"/>
      <c r="F525" s="2"/>
      <c r="G525" s="4"/>
      <c r="H525" s="4"/>
      <c r="I525" s="4"/>
      <c r="J525" s="4"/>
      <c r="K525" s="4"/>
      <c r="L525" s="4"/>
      <c r="M525" s="4"/>
      <c r="N525" s="4"/>
      <c r="O525" s="4"/>
      <c r="P525" s="4"/>
      <c r="Q525" s="4"/>
      <c r="R525" s="4"/>
      <c r="S525" s="4"/>
      <c r="T525" s="4"/>
      <c r="U525" s="4"/>
      <c r="V525" s="4"/>
      <c r="W525" s="4"/>
      <c r="X525" s="4"/>
      <c r="Y525" s="4"/>
      <c r="Z525" s="4"/>
    </row>
    <row r="526" ht="14.25" customHeight="1">
      <c r="A526" s="2"/>
      <c r="B526" s="4"/>
      <c r="C526" s="2"/>
      <c r="D526" s="2"/>
      <c r="E526" s="4"/>
      <c r="F526" s="2"/>
      <c r="G526" s="4"/>
      <c r="H526" s="4"/>
      <c r="I526" s="4"/>
      <c r="J526" s="4"/>
      <c r="K526" s="4"/>
      <c r="L526" s="4"/>
      <c r="M526" s="4"/>
      <c r="N526" s="4"/>
      <c r="O526" s="4"/>
      <c r="P526" s="4"/>
      <c r="Q526" s="4"/>
      <c r="R526" s="4"/>
      <c r="S526" s="4"/>
      <c r="T526" s="4"/>
      <c r="U526" s="4"/>
      <c r="V526" s="4"/>
      <c r="W526" s="4"/>
      <c r="X526" s="4"/>
      <c r="Y526" s="4"/>
      <c r="Z526" s="4"/>
    </row>
    <row r="527" ht="14.25" customHeight="1">
      <c r="A527" s="2"/>
      <c r="B527" s="4"/>
      <c r="C527" s="2"/>
      <c r="D527" s="2"/>
      <c r="E527" s="4"/>
      <c r="F527" s="2"/>
      <c r="G527" s="4"/>
      <c r="H527" s="4"/>
      <c r="I527" s="4"/>
      <c r="J527" s="4"/>
      <c r="K527" s="4"/>
      <c r="L527" s="4"/>
      <c r="M527" s="4"/>
      <c r="N527" s="4"/>
      <c r="O527" s="4"/>
      <c r="P527" s="4"/>
      <c r="Q527" s="4"/>
      <c r="R527" s="4"/>
      <c r="S527" s="4"/>
      <c r="T527" s="4"/>
      <c r="U527" s="4"/>
      <c r="V527" s="4"/>
      <c r="W527" s="4"/>
      <c r="X527" s="4"/>
      <c r="Y527" s="4"/>
      <c r="Z527" s="4"/>
    </row>
    <row r="528" ht="14.25" customHeight="1">
      <c r="A528" s="2"/>
      <c r="B528" s="4"/>
      <c r="C528" s="2"/>
      <c r="D528" s="2"/>
      <c r="E528" s="4"/>
      <c r="F528" s="2"/>
      <c r="G528" s="4"/>
      <c r="H528" s="4"/>
      <c r="I528" s="4"/>
      <c r="J528" s="4"/>
      <c r="K528" s="4"/>
      <c r="L528" s="4"/>
      <c r="M528" s="4"/>
      <c r="N528" s="4"/>
      <c r="O528" s="4"/>
      <c r="P528" s="4"/>
      <c r="Q528" s="4"/>
      <c r="R528" s="4"/>
      <c r="S528" s="4"/>
      <c r="T528" s="4"/>
      <c r="U528" s="4"/>
      <c r="V528" s="4"/>
      <c r="W528" s="4"/>
      <c r="X528" s="4"/>
      <c r="Y528" s="4"/>
      <c r="Z528" s="4"/>
    </row>
    <row r="529" ht="14.25" customHeight="1">
      <c r="A529" s="2"/>
      <c r="B529" s="4"/>
      <c r="C529" s="2"/>
      <c r="D529" s="2"/>
      <c r="E529" s="4"/>
      <c r="F529" s="2"/>
      <c r="G529" s="4"/>
      <c r="H529" s="4"/>
      <c r="I529" s="4"/>
      <c r="J529" s="4"/>
      <c r="K529" s="4"/>
      <c r="L529" s="4"/>
      <c r="M529" s="4"/>
      <c r="N529" s="4"/>
      <c r="O529" s="4"/>
      <c r="P529" s="4"/>
      <c r="Q529" s="4"/>
      <c r="R529" s="4"/>
      <c r="S529" s="4"/>
      <c r="T529" s="4"/>
      <c r="U529" s="4"/>
      <c r="V529" s="4"/>
      <c r="W529" s="4"/>
      <c r="X529" s="4"/>
      <c r="Y529" s="4"/>
      <c r="Z529" s="4"/>
    </row>
    <row r="530" ht="14.25" customHeight="1">
      <c r="A530" s="2"/>
      <c r="B530" s="4"/>
      <c r="C530" s="2"/>
      <c r="D530" s="2"/>
      <c r="E530" s="4"/>
      <c r="F530" s="2"/>
      <c r="G530" s="4"/>
      <c r="H530" s="4"/>
      <c r="I530" s="4"/>
      <c r="J530" s="4"/>
      <c r="K530" s="4"/>
      <c r="L530" s="4"/>
      <c r="M530" s="4"/>
      <c r="N530" s="4"/>
      <c r="O530" s="4"/>
      <c r="P530" s="4"/>
      <c r="Q530" s="4"/>
      <c r="R530" s="4"/>
      <c r="S530" s="4"/>
      <c r="T530" s="4"/>
      <c r="U530" s="4"/>
      <c r="V530" s="4"/>
      <c r="W530" s="4"/>
      <c r="X530" s="4"/>
      <c r="Y530" s="4"/>
      <c r="Z530" s="4"/>
    </row>
    <row r="531" ht="14.25" customHeight="1">
      <c r="A531" s="2"/>
      <c r="B531" s="4"/>
      <c r="C531" s="2"/>
      <c r="D531" s="2"/>
      <c r="E531" s="4"/>
      <c r="F531" s="2"/>
      <c r="G531" s="4"/>
      <c r="H531" s="4"/>
      <c r="I531" s="4"/>
      <c r="J531" s="4"/>
      <c r="K531" s="4"/>
      <c r="L531" s="4"/>
      <c r="M531" s="4"/>
      <c r="N531" s="4"/>
      <c r="O531" s="4"/>
      <c r="P531" s="4"/>
      <c r="Q531" s="4"/>
      <c r="R531" s="4"/>
      <c r="S531" s="4"/>
      <c r="T531" s="4"/>
      <c r="U531" s="4"/>
      <c r="V531" s="4"/>
      <c r="W531" s="4"/>
      <c r="X531" s="4"/>
      <c r="Y531" s="4"/>
      <c r="Z531" s="4"/>
    </row>
    <row r="532" ht="14.25" customHeight="1">
      <c r="A532" s="2"/>
      <c r="B532" s="4"/>
      <c r="C532" s="2"/>
      <c r="D532" s="2"/>
      <c r="E532" s="4"/>
      <c r="F532" s="2"/>
      <c r="G532" s="4"/>
      <c r="H532" s="4"/>
      <c r="I532" s="4"/>
      <c r="J532" s="4"/>
      <c r="K532" s="4"/>
      <c r="L532" s="4"/>
      <c r="M532" s="4"/>
      <c r="N532" s="4"/>
      <c r="O532" s="4"/>
      <c r="P532" s="4"/>
      <c r="Q532" s="4"/>
      <c r="R532" s="4"/>
      <c r="S532" s="4"/>
      <c r="T532" s="4"/>
      <c r="U532" s="4"/>
      <c r="V532" s="4"/>
      <c r="W532" s="4"/>
      <c r="X532" s="4"/>
      <c r="Y532" s="4"/>
      <c r="Z532" s="4"/>
    </row>
    <row r="533" ht="14.25" customHeight="1">
      <c r="A533" s="2"/>
      <c r="B533" s="4"/>
      <c r="C533" s="2"/>
      <c r="D533" s="2"/>
      <c r="E533" s="4"/>
      <c r="F533" s="2"/>
      <c r="G533" s="4"/>
      <c r="H533" s="4"/>
      <c r="I533" s="4"/>
      <c r="J533" s="4"/>
      <c r="K533" s="4"/>
      <c r="L533" s="4"/>
      <c r="M533" s="4"/>
      <c r="N533" s="4"/>
      <c r="O533" s="4"/>
      <c r="P533" s="4"/>
      <c r="Q533" s="4"/>
      <c r="R533" s="4"/>
      <c r="S533" s="4"/>
      <c r="T533" s="4"/>
      <c r="U533" s="4"/>
      <c r="V533" s="4"/>
      <c r="W533" s="4"/>
      <c r="X533" s="4"/>
      <c r="Y533" s="4"/>
      <c r="Z533" s="4"/>
    </row>
    <row r="534" ht="14.25" customHeight="1">
      <c r="A534" s="2"/>
      <c r="B534" s="4"/>
      <c r="C534" s="2"/>
      <c r="D534" s="2"/>
      <c r="E534" s="4"/>
      <c r="F534" s="2"/>
      <c r="G534" s="4"/>
      <c r="H534" s="4"/>
      <c r="I534" s="4"/>
      <c r="J534" s="4"/>
      <c r="K534" s="4"/>
      <c r="L534" s="4"/>
      <c r="M534" s="4"/>
      <c r="N534" s="4"/>
      <c r="O534" s="4"/>
      <c r="P534" s="4"/>
      <c r="Q534" s="4"/>
      <c r="R534" s="4"/>
      <c r="S534" s="4"/>
      <c r="T534" s="4"/>
      <c r="U534" s="4"/>
      <c r="V534" s="4"/>
      <c r="W534" s="4"/>
      <c r="X534" s="4"/>
      <c r="Y534" s="4"/>
      <c r="Z534" s="4"/>
    </row>
    <row r="535" ht="14.25" customHeight="1">
      <c r="A535" s="2"/>
      <c r="B535" s="4"/>
      <c r="C535" s="2"/>
      <c r="D535" s="2"/>
      <c r="E535" s="4"/>
      <c r="F535" s="2"/>
      <c r="G535" s="4"/>
      <c r="H535" s="4"/>
      <c r="I535" s="4"/>
      <c r="J535" s="4"/>
      <c r="K535" s="4"/>
      <c r="L535" s="4"/>
      <c r="M535" s="4"/>
      <c r="N535" s="4"/>
      <c r="O535" s="4"/>
      <c r="P535" s="4"/>
      <c r="Q535" s="4"/>
      <c r="R535" s="4"/>
      <c r="S535" s="4"/>
      <c r="T535" s="4"/>
      <c r="U535" s="4"/>
      <c r="V535" s="4"/>
      <c r="W535" s="4"/>
      <c r="X535" s="4"/>
      <c r="Y535" s="4"/>
      <c r="Z535" s="4"/>
    </row>
    <row r="536" ht="14.25" customHeight="1">
      <c r="A536" s="2"/>
      <c r="B536" s="4"/>
      <c r="C536" s="2"/>
      <c r="D536" s="2"/>
      <c r="E536" s="4"/>
      <c r="F536" s="2"/>
      <c r="G536" s="4"/>
      <c r="H536" s="4"/>
      <c r="I536" s="4"/>
      <c r="J536" s="4"/>
      <c r="K536" s="4"/>
      <c r="L536" s="4"/>
      <c r="M536" s="4"/>
      <c r="N536" s="4"/>
      <c r="O536" s="4"/>
      <c r="P536" s="4"/>
      <c r="Q536" s="4"/>
      <c r="R536" s="4"/>
      <c r="S536" s="4"/>
      <c r="T536" s="4"/>
      <c r="U536" s="4"/>
      <c r="V536" s="4"/>
      <c r="W536" s="4"/>
      <c r="X536" s="4"/>
      <c r="Y536" s="4"/>
      <c r="Z536" s="4"/>
    </row>
    <row r="537" ht="14.25" customHeight="1">
      <c r="A537" s="2"/>
      <c r="B537" s="4"/>
      <c r="C537" s="2"/>
      <c r="D537" s="2"/>
      <c r="E537" s="4"/>
      <c r="F537" s="2"/>
      <c r="G537" s="4"/>
      <c r="H537" s="4"/>
      <c r="I537" s="4"/>
      <c r="J537" s="4"/>
      <c r="K537" s="4"/>
      <c r="L537" s="4"/>
      <c r="M537" s="4"/>
      <c r="N537" s="4"/>
      <c r="O537" s="4"/>
      <c r="P537" s="4"/>
      <c r="Q537" s="4"/>
      <c r="R537" s="4"/>
      <c r="S537" s="4"/>
      <c r="T537" s="4"/>
      <c r="U537" s="4"/>
      <c r="V537" s="4"/>
      <c r="W537" s="4"/>
      <c r="X537" s="4"/>
      <c r="Y537" s="4"/>
      <c r="Z537" s="4"/>
    </row>
    <row r="538" ht="14.25" customHeight="1">
      <c r="A538" s="2"/>
      <c r="B538" s="4"/>
      <c r="C538" s="2"/>
      <c r="D538" s="2"/>
      <c r="E538" s="4"/>
      <c r="F538" s="2"/>
      <c r="G538" s="4"/>
      <c r="H538" s="4"/>
      <c r="I538" s="4"/>
      <c r="J538" s="4"/>
      <c r="K538" s="4"/>
      <c r="L538" s="4"/>
      <c r="M538" s="4"/>
      <c r="N538" s="4"/>
      <c r="O538" s="4"/>
      <c r="P538" s="4"/>
      <c r="Q538" s="4"/>
      <c r="R538" s="4"/>
      <c r="S538" s="4"/>
      <c r="T538" s="4"/>
      <c r="U538" s="4"/>
      <c r="V538" s="4"/>
      <c r="W538" s="4"/>
      <c r="X538" s="4"/>
      <c r="Y538" s="4"/>
      <c r="Z538" s="4"/>
    </row>
    <row r="539" ht="14.25" customHeight="1">
      <c r="A539" s="2"/>
      <c r="B539" s="4"/>
      <c r="C539" s="2"/>
      <c r="D539" s="2"/>
      <c r="E539" s="4"/>
      <c r="F539" s="2"/>
      <c r="G539" s="4"/>
      <c r="H539" s="4"/>
      <c r="I539" s="4"/>
      <c r="J539" s="4"/>
      <c r="K539" s="4"/>
      <c r="L539" s="4"/>
      <c r="M539" s="4"/>
      <c r="N539" s="4"/>
      <c r="O539" s="4"/>
      <c r="P539" s="4"/>
      <c r="Q539" s="4"/>
      <c r="R539" s="4"/>
      <c r="S539" s="4"/>
      <c r="T539" s="4"/>
      <c r="U539" s="4"/>
      <c r="V539" s="4"/>
      <c r="W539" s="4"/>
      <c r="X539" s="4"/>
      <c r="Y539" s="4"/>
      <c r="Z539" s="4"/>
    </row>
    <row r="540" ht="14.25" customHeight="1">
      <c r="A540" s="2"/>
      <c r="B540" s="4"/>
      <c r="C540" s="2"/>
      <c r="D540" s="2"/>
      <c r="E540" s="4"/>
      <c r="F540" s="2"/>
      <c r="G540" s="4"/>
      <c r="H540" s="4"/>
      <c r="I540" s="4"/>
      <c r="J540" s="4"/>
      <c r="K540" s="4"/>
      <c r="L540" s="4"/>
      <c r="M540" s="4"/>
      <c r="N540" s="4"/>
      <c r="O540" s="4"/>
      <c r="P540" s="4"/>
      <c r="Q540" s="4"/>
      <c r="R540" s="4"/>
      <c r="S540" s="4"/>
      <c r="T540" s="4"/>
      <c r="U540" s="4"/>
      <c r="V540" s="4"/>
      <c r="W540" s="4"/>
      <c r="X540" s="4"/>
      <c r="Y540" s="4"/>
      <c r="Z540" s="4"/>
    </row>
    <row r="541" ht="14.25" customHeight="1">
      <c r="A541" s="2"/>
      <c r="B541" s="4"/>
      <c r="C541" s="2"/>
      <c r="D541" s="2"/>
      <c r="E541" s="4"/>
      <c r="F541" s="2"/>
      <c r="G541" s="4"/>
      <c r="H541" s="4"/>
      <c r="I541" s="4"/>
      <c r="J541" s="4"/>
      <c r="K541" s="4"/>
      <c r="L541" s="4"/>
      <c r="M541" s="4"/>
      <c r="N541" s="4"/>
      <c r="O541" s="4"/>
      <c r="P541" s="4"/>
      <c r="Q541" s="4"/>
      <c r="R541" s="4"/>
      <c r="S541" s="4"/>
      <c r="T541" s="4"/>
      <c r="U541" s="4"/>
      <c r="V541" s="4"/>
      <c r="W541" s="4"/>
      <c r="X541" s="4"/>
      <c r="Y541" s="4"/>
      <c r="Z541" s="4"/>
    </row>
    <row r="542" ht="14.25" customHeight="1">
      <c r="A542" s="2"/>
      <c r="B542" s="4"/>
      <c r="C542" s="2"/>
      <c r="D542" s="2"/>
      <c r="E542" s="4"/>
      <c r="F542" s="2"/>
      <c r="G542" s="4"/>
      <c r="H542" s="4"/>
      <c r="I542" s="4"/>
      <c r="J542" s="4"/>
      <c r="K542" s="4"/>
      <c r="L542" s="4"/>
      <c r="M542" s="4"/>
      <c r="N542" s="4"/>
      <c r="O542" s="4"/>
      <c r="P542" s="4"/>
      <c r="Q542" s="4"/>
      <c r="R542" s="4"/>
      <c r="S542" s="4"/>
      <c r="T542" s="4"/>
      <c r="U542" s="4"/>
      <c r="V542" s="4"/>
      <c r="W542" s="4"/>
      <c r="X542" s="4"/>
      <c r="Y542" s="4"/>
      <c r="Z542" s="4"/>
    </row>
    <row r="543" ht="14.25" customHeight="1">
      <c r="A543" s="2"/>
      <c r="B543" s="4"/>
      <c r="C543" s="2"/>
      <c r="D543" s="2"/>
      <c r="E543" s="4"/>
      <c r="F543" s="2"/>
      <c r="G543" s="4"/>
      <c r="H543" s="4"/>
      <c r="I543" s="4"/>
      <c r="J543" s="4"/>
      <c r="K543" s="4"/>
      <c r="L543" s="4"/>
      <c r="M543" s="4"/>
      <c r="N543" s="4"/>
      <c r="O543" s="4"/>
      <c r="P543" s="4"/>
      <c r="Q543" s="4"/>
      <c r="R543" s="4"/>
      <c r="S543" s="4"/>
      <c r="T543" s="4"/>
      <c r="U543" s="4"/>
      <c r="V543" s="4"/>
      <c r="W543" s="4"/>
      <c r="X543" s="4"/>
      <c r="Y543" s="4"/>
      <c r="Z543" s="4"/>
    </row>
    <row r="544" ht="14.25" customHeight="1">
      <c r="A544" s="2"/>
      <c r="B544" s="4"/>
      <c r="C544" s="2"/>
      <c r="D544" s="2"/>
      <c r="E544" s="4"/>
      <c r="F544" s="2"/>
      <c r="G544" s="4"/>
      <c r="H544" s="4"/>
      <c r="I544" s="4"/>
      <c r="J544" s="4"/>
      <c r="K544" s="4"/>
      <c r="L544" s="4"/>
      <c r="M544" s="4"/>
      <c r="N544" s="4"/>
      <c r="O544" s="4"/>
      <c r="P544" s="4"/>
      <c r="Q544" s="4"/>
      <c r="R544" s="4"/>
      <c r="S544" s="4"/>
      <c r="T544" s="4"/>
      <c r="U544" s="4"/>
      <c r="V544" s="4"/>
      <c r="W544" s="4"/>
      <c r="X544" s="4"/>
      <c r="Y544" s="4"/>
      <c r="Z544" s="4"/>
    </row>
    <row r="545" ht="14.25" customHeight="1">
      <c r="A545" s="2"/>
      <c r="B545" s="4"/>
      <c r="C545" s="2"/>
      <c r="D545" s="2"/>
      <c r="E545" s="4"/>
      <c r="F545" s="2"/>
      <c r="G545" s="4"/>
      <c r="H545" s="4"/>
      <c r="I545" s="4"/>
      <c r="J545" s="4"/>
      <c r="K545" s="4"/>
      <c r="L545" s="4"/>
      <c r="M545" s="4"/>
      <c r="N545" s="4"/>
      <c r="O545" s="4"/>
      <c r="P545" s="4"/>
      <c r="Q545" s="4"/>
      <c r="R545" s="4"/>
      <c r="S545" s="4"/>
      <c r="T545" s="4"/>
      <c r="U545" s="4"/>
      <c r="V545" s="4"/>
      <c r="W545" s="4"/>
      <c r="X545" s="4"/>
      <c r="Y545" s="4"/>
      <c r="Z545" s="4"/>
    </row>
    <row r="546" ht="14.25" customHeight="1">
      <c r="A546" s="2"/>
      <c r="B546" s="4"/>
      <c r="C546" s="2"/>
      <c r="D546" s="2"/>
      <c r="E546" s="4"/>
      <c r="F546" s="2"/>
      <c r="G546" s="4"/>
      <c r="H546" s="4"/>
      <c r="I546" s="4"/>
      <c r="J546" s="4"/>
      <c r="K546" s="4"/>
      <c r="L546" s="4"/>
      <c r="M546" s="4"/>
      <c r="N546" s="4"/>
      <c r="O546" s="4"/>
      <c r="P546" s="4"/>
      <c r="Q546" s="4"/>
      <c r="R546" s="4"/>
      <c r="S546" s="4"/>
      <c r="T546" s="4"/>
      <c r="U546" s="4"/>
      <c r="V546" s="4"/>
      <c r="W546" s="4"/>
      <c r="X546" s="4"/>
      <c r="Y546" s="4"/>
      <c r="Z546" s="4"/>
    </row>
    <row r="547" ht="14.25" customHeight="1">
      <c r="A547" s="2"/>
      <c r="B547" s="4"/>
      <c r="C547" s="2"/>
      <c r="D547" s="2"/>
      <c r="E547" s="4"/>
      <c r="F547" s="2"/>
      <c r="G547" s="4"/>
      <c r="H547" s="4"/>
      <c r="I547" s="4"/>
      <c r="J547" s="4"/>
      <c r="K547" s="4"/>
      <c r="L547" s="4"/>
      <c r="M547" s="4"/>
      <c r="N547" s="4"/>
      <c r="O547" s="4"/>
      <c r="P547" s="4"/>
      <c r="Q547" s="4"/>
      <c r="R547" s="4"/>
      <c r="S547" s="4"/>
      <c r="T547" s="4"/>
      <c r="U547" s="4"/>
      <c r="V547" s="4"/>
      <c r="W547" s="4"/>
      <c r="X547" s="4"/>
      <c r="Y547" s="4"/>
      <c r="Z547" s="4"/>
    </row>
    <row r="548" ht="14.25" customHeight="1">
      <c r="A548" s="2"/>
      <c r="B548" s="4"/>
      <c r="C548" s="2"/>
      <c r="D548" s="2"/>
      <c r="E548" s="4"/>
      <c r="F548" s="2"/>
      <c r="G548" s="4"/>
      <c r="H548" s="4"/>
      <c r="I548" s="4"/>
      <c r="J548" s="4"/>
      <c r="K548" s="4"/>
      <c r="L548" s="4"/>
      <c r="M548" s="4"/>
      <c r="N548" s="4"/>
      <c r="O548" s="4"/>
      <c r="P548" s="4"/>
      <c r="Q548" s="4"/>
      <c r="R548" s="4"/>
      <c r="S548" s="4"/>
      <c r="T548" s="4"/>
      <c r="U548" s="4"/>
      <c r="V548" s="4"/>
      <c r="W548" s="4"/>
      <c r="X548" s="4"/>
      <c r="Y548" s="4"/>
      <c r="Z548" s="4"/>
    </row>
    <row r="549" ht="14.25" customHeight="1">
      <c r="A549" s="2"/>
      <c r="B549" s="4"/>
      <c r="C549" s="2"/>
      <c r="D549" s="2"/>
      <c r="E549" s="4"/>
      <c r="F549" s="2"/>
      <c r="G549" s="4"/>
      <c r="H549" s="4"/>
      <c r="I549" s="4"/>
      <c r="J549" s="4"/>
      <c r="K549" s="4"/>
      <c r="L549" s="4"/>
      <c r="M549" s="4"/>
      <c r="N549" s="4"/>
      <c r="O549" s="4"/>
      <c r="P549" s="4"/>
      <c r="Q549" s="4"/>
      <c r="R549" s="4"/>
      <c r="S549" s="4"/>
      <c r="T549" s="4"/>
      <c r="U549" s="4"/>
      <c r="V549" s="4"/>
      <c r="W549" s="4"/>
      <c r="X549" s="4"/>
      <c r="Y549" s="4"/>
      <c r="Z549" s="4"/>
    </row>
    <row r="550" ht="14.25" customHeight="1">
      <c r="A550" s="2"/>
      <c r="B550" s="4"/>
      <c r="C550" s="2"/>
      <c r="D550" s="2"/>
      <c r="E550" s="4"/>
      <c r="F550" s="2"/>
      <c r="G550" s="4"/>
      <c r="H550" s="4"/>
      <c r="I550" s="4"/>
      <c r="J550" s="4"/>
      <c r="K550" s="4"/>
      <c r="L550" s="4"/>
      <c r="M550" s="4"/>
      <c r="N550" s="4"/>
      <c r="O550" s="4"/>
      <c r="P550" s="4"/>
      <c r="Q550" s="4"/>
      <c r="R550" s="4"/>
      <c r="S550" s="4"/>
      <c r="T550" s="4"/>
      <c r="U550" s="4"/>
      <c r="V550" s="4"/>
      <c r="W550" s="4"/>
      <c r="X550" s="4"/>
      <c r="Y550" s="4"/>
      <c r="Z550" s="4"/>
    </row>
    <row r="551" ht="14.25" customHeight="1">
      <c r="A551" s="2"/>
      <c r="B551" s="4"/>
      <c r="C551" s="2"/>
      <c r="D551" s="2"/>
      <c r="E551" s="4"/>
      <c r="F551" s="2"/>
      <c r="G551" s="4"/>
      <c r="H551" s="4"/>
      <c r="I551" s="4"/>
      <c r="J551" s="4"/>
      <c r="K551" s="4"/>
      <c r="L551" s="4"/>
      <c r="M551" s="4"/>
      <c r="N551" s="4"/>
      <c r="O551" s="4"/>
      <c r="P551" s="4"/>
      <c r="Q551" s="4"/>
      <c r="R551" s="4"/>
      <c r="S551" s="4"/>
      <c r="T551" s="4"/>
      <c r="U551" s="4"/>
      <c r="V551" s="4"/>
      <c r="W551" s="4"/>
      <c r="X551" s="4"/>
      <c r="Y551" s="4"/>
      <c r="Z551" s="4"/>
    </row>
    <row r="552" ht="14.25" customHeight="1">
      <c r="A552" s="2"/>
      <c r="B552" s="4"/>
      <c r="C552" s="2"/>
      <c r="D552" s="2"/>
      <c r="E552" s="4"/>
      <c r="F552" s="2"/>
      <c r="G552" s="4"/>
      <c r="H552" s="4"/>
      <c r="I552" s="4"/>
      <c r="J552" s="4"/>
      <c r="K552" s="4"/>
      <c r="L552" s="4"/>
      <c r="M552" s="4"/>
      <c r="N552" s="4"/>
      <c r="O552" s="4"/>
      <c r="P552" s="4"/>
      <c r="Q552" s="4"/>
      <c r="R552" s="4"/>
      <c r="S552" s="4"/>
      <c r="T552" s="4"/>
      <c r="U552" s="4"/>
      <c r="V552" s="4"/>
      <c r="W552" s="4"/>
      <c r="X552" s="4"/>
      <c r="Y552" s="4"/>
      <c r="Z552" s="4"/>
    </row>
    <row r="553" ht="14.25" customHeight="1">
      <c r="A553" s="2"/>
      <c r="B553" s="4"/>
      <c r="C553" s="2"/>
      <c r="D553" s="2"/>
      <c r="E553" s="4"/>
      <c r="F553" s="2"/>
      <c r="G553" s="4"/>
      <c r="H553" s="4"/>
      <c r="I553" s="4"/>
      <c r="J553" s="4"/>
      <c r="K553" s="4"/>
      <c r="L553" s="4"/>
      <c r="M553" s="4"/>
      <c r="N553" s="4"/>
      <c r="O553" s="4"/>
      <c r="P553" s="4"/>
      <c r="Q553" s="4"/>
      <c r="R553" s="4"/>
      <c r="S553" s="4"/>
      <c r="T553" s="4"/>
      <c r="U553" s="4"/>
      <c r="V553" s="4"/>
      <c r="W553" s="4"/>
      <c r="X553" s="4"/>
      <c r="Y553" s="4"/>
      <c r="Z553" s="4"/>
    </row>
    <row r="554" ht="14.25" customHeight="1">
      <c r="A554" s="2"/>
      <c r="B554" s="4"/>
      <c r="C554" s="2"/>
      <c r="D554" s="2"/>
      <c r="E554" s="4"/>
      <c r="F554" s="2"/>
      <c r="G554" s="4"/>
      <c r="H554" s="4"/>
      <c r="I554" s="4"/>
      <c r="J554" s="4"/>
      <c r="K554" s="4"/>
      <c r="L554" s="4"/>
      <c r="M554" s="4"/>
      <c r="N554" s="4"/>
      <c r="O554" s="4"/>
      <c r="P554" s="4"/>
      <c r="Q554" s="4"/>
      <c r="R554" s="4"/>
      <c r="S554" s="4"/>
      <c r="T554" s="4"/>
      <c r="U554" s="4"/>
      <c r="V554" s="4"/>
      <c r="W554" s="4"/>
      <c r="X554" s="4"/>
      <c r="Y554" s="4"/>
      <c r="Z554" s="4"/>
    </row>
    <row r="555" ht="14.25" customHeight="1">
      <c r="A555" s="2"/>
      <c r="B555" s="4"/>
      <c r="C555" s="2"/>
      <c r="D555" s="2"/>
      <c r="E555" s="4"/>
      <c r="F555" s="2"/>
      <c r="G555" s="4"/>
      <c r="H555" s="4"/>
      <c r="I555" s="4"/>
      <c r="J555" s="4"/>
      <c r="K555" s="4"/>
      <c r="L555" s="4"/>
      <c r="M555" s="4"/>
      <c r="N555" s="4"/>
      <c r="O555" s="4"/>
      <c r="P555" s="4"/>
      <c r="Q555" s="4"/>
      <c r="R555" s="4"/>
      <c r="S555" s="4"/>
      <c r="T555" s="4"/>
      <c r="U555" s="4"/>
      <c r="V555" s="4"/>
      <c r="W555" s="4"/>
      <c r="X555" s="4"/>
      <c r="Y555" s="4"/>
      <c r="Z555" s="4"/>
    </row>
    <row r="556" ht="14.25" customHeight="1">
      <c r="A556" s="2"/>
      <c r="B556" s="4"/>
      <c r="C556" s="2"/>
      <c r="D556" s="2"/>
      <c r="E556" s="4"/>
      <c r="F556" s="2"/>
      <c r="G556" s="4"/>
      <c r="H556" s="4"/>
      <c r="I556" s="4"/>
      <c r="J556" s="4"/>
      <c r="K556" s="4"/>
      <c r="L556" s="4"/>
      <c r="M556" s="4"/>
      <c r="N556" s="4"/>
      <c r="O556" s="4"/>
      <c r="P556" s="4"/>
      <c r="Q556" s="4"/>
      <c r="R556" s="4"/>
      <c r="S556" s="4"/>
      <c r="T556" s="4"/>
      <c r="U556" s="4"/>
      <c r="V556" s="4"/>
      <c r="W556" s="4"/>
      <c r="X556" s="4"/>
      <c r="Y556" s="4"/>
      <c r="Z556" s="4"/>
    </row>
    <row r="557" ht="14.25" customHeight="1">
      <c r="A557" s="2"/>
      <c r="B557" s="4"/>
      <c r="C557" s="2"/>
      <c r="D557" s="2"/>
      <c r="E557" s="4"/>
      <c r="F557" s="2"/>
      <c r="G557" s="4"/>
      <c r="H557" s="4"/>
      <c r="I557" s="4"/>
      <c r="J557" s="4"/>
      <c r="K557" s="4"/>
      <c r="L557" s="4"/>
      <c r="M557" s="4"/>
      <c r="N557" s="4"/>
      <c r="O557" s="4"/>
      <c r="P557" s="4"/>
      <c r="Q557" s="4"/>
      <c r="R557" s="4"/>
      <c r="S557" s="4"/>
      <c r="T557" s="4"/>
      <c r="U557" s="4"/>
      <c r="V557" s="4"/>
      <c r="W557" s="4"/>
      <c r="X557" s="4"/>
      <c r="Y557" s="4"/>
      <c r="Z557" s="4"/>
    </row>
    <row r="558" ht="14.25" customHeight="1">
      <c r="A558" s="2"/>
      <c r="B558" s="4"/>
      <c r="C558" s="2"/>
      <c r="D558" s="2"/>
      <c r="E558" s="4"/>
      <c r="F558" s="2"/>
      <c r="G558" s="4"/>
      <c r="H558" s="4"/>
      <c r="I558" s="4"/>
      <c r="J558" s="4"/>
      <c r="K558" s="4"/>
      <c r="L558" s="4"/>
      <c r="M558" s="4"/>
      <c r="N558" s="4"/>
      <c r="O558" s="4"/>
      <c r="P558" s="4"/>
      <c r="Q558" s="4"/>
      <c r="R558" s="4"/>
      <c r="S558" s="4"/>
      <c r="T558" s="4"/>
      <c r="U558" s="4"/>
      <c r="V558" s="4"/>
      <c r="W558" s="4"/>
      <c r="X558" s="4"/>
      <c r="Y558" s="4"/>
      <c r="Z558" s="4"/>
    </row>
    <row r="559" ht="14.25" customHeight="1">
      <c r="A559" s="2"/>
      <c r="B559" s="4"/>
      <c r="C559" s="2"/>
      <c r="D559" s="2"/>
      <c r="E559" s="4"/>
      <c r="F559" s="2"/>
      <c r="G559" s="4"/>
      <c r="H559" s="4"/>
      <c r="I559" s="4"/>
      <c r="J559" s="4"/>
      <c r="K559" s="4"/>
      <c r="L559" s="4"/>
      <c r="M559" s="4"/>
      <c r="N559" s="4"/>
      <c r="O559" s="4"/>
      <c r="P559" s="4"/>
      <c r="Q559" s="4"/>
      <c r="R559" s="4"/>
      <c r="S559" s="4"/>
      <c r="T559" s="4"/>
      <c r="U559" s="4"/>
      <c r="V559" s="4"/>
      <c r="W559" s="4"/>
      <c r="X559" s="4"/>
      <c r="Y559" s="4"/>
      <c r="Z559" s="4"/>
    </row>
    <row r="560" ht="14.25" customHeight="1">
      <c r="A560" s="2"/>
      <c r="B560" s="4"/>
      <c r="C560" s="2"/>
      <c r="D560" s="2"/>
      <c r="E560" s="4"/>
      <c r="F560" s="2"/>
      <c r="G560" s="4"/>
      <c r="H560" s="4"/>
      <c r="I560" s="4"/>
      <c r="J560" s="4"/>
      <c r="K560" s="4"/>
      <c r="L560" s="4"/>
      <c r="M560" s="4"/>
      <c r="N560" s="4"/>
      <c r="O560" s="4"/>
      <c r="P560" s="4"/>
      <c r="Q560" s="4"/>
      <c r="R560" s="4"/>
      <c r="S560" s="4"/>
      <c r="T560" s="4"/>
      <c r="U560" s="4"/>
      <c r="V560" s="4"/>
      <c r="W560" s="4"/>
      <c r="X560" s="4"/>
      <c r="Y560" s="4"/>
      <c r="Z560" s="4"/>
    </row>
    <row r="561" ht="14.25" customHeight="1">
      <c r="A561" s="2"/>
      <c r="B561" s="4"/>
      <c r="C561" s="2"/>
      <c r="D561" s="2"/>
      <c r="E561" s="4"/>
      <c r="F561" s="2"/>
      <c r="G561" s="4"/>
      <c r="H561" s="4"/>
      <c r="I561" s="4"/>
      <c r="J561" s="4"/>
      <c r="K561" s="4"/>
      <c r="L561" s="4"/>
      <c r="M561" s="4"/>
      <c r="N561" s="4"/>
      <c r="O561" s="4"/>
      <c r="P561" s="4"/>
      <c r="Q561" s="4"/>
      <c r="R561" s="4"/>
      <c r="S561" s="4"/>
      <c r="T561" s="4"/>
      <c r="U561" s="4"/>
      <c r="V561" s="4"/>
      <c r="W561" s="4"/>
      <c r="X561" s="4"/>
      <c r="Y561" s="4"/>
      <c r="Z561" s="4"/>
    </row>
    <row r="562" ht="14.25" customHeight="1">
      <c r="A562" s="2"/>
      <c r="B562" s="4"/>
      <c r="C562" s="2"/>
      <c r="D562" s="2"/>
      <c r="E562" s="4"/>
      <c r="F562" s="2"/>
      <c r="G562" s="4"/>
      <c r="H562" s="4"/>
      <c r="I562" s="4"/>
      <c r="J562" s="4"/>
      <c r="K562" s="4"/>
      <c r="L562" s="4"/>
      <c r="M562" s="4"/>
      <c r="N562" s="4"/>
      <c r="O562" s="4"/>
      <c r="P562" s="4"/>
      <c r="Q562" s="4"/>
      <c r="R562" s="4"/>
      <c r="S562" s="4"/>
      <c r="T562" s="4"/>
      <c r="U562" s="4"/>
      <c r="V562" s="4"/>
      <c r="W562" s="4"/>
      <c r="X562" s="4"/>
      <c r="Y562" s="4"/>
      <c r="Z562" s="4"/>
    </row>
    <row r="563" ht="14.25" customHeight="1">
      <c r="A563" s="2"/>
      <c r="B563" s="4"/>
      <c r="C563" s="2"/>
      <c r="D563" s="2"/>
      <c r="E563" s="4"/>
      <c r="F563" s="2"/>
      <c r="G563" s="4"/>
      <c r="H563" s="4"/>
      <c r="I563" s="4"/>
      <c r="J563" s="4"/>
      <c r="K563" s="4"/>
      <c r="L563" s="4"/>
      <c r="M563" s="4"/>
      <c r="N563" s="4"/>
      <c r="O563" s="4"/>
      <c r="P563" s="4"/>
      <c r="Q563" s="4"/>
      <c r="R563" s="4"/>
      <c r="S563" s="4"/>
      <c r="T563" s="4"/>
      <c r="U563" s="4"/>
      <c r="V563" s="4"/>
      <c r="W563" s="4"/>
      <c r="X563" s="4"/>
      <c r="Y563" s="4"/>
      <c r="Z563" s="4"/>
    </row>
    <row r="564" ht="14.25" customHeight="1">
      <c r="A564" s="2"/>
      <c r="B564" s="4"/>
      <c r="C564" s="2"/>
      <c r="D564" s="2"/>
      <c r="E564" s="4"/>
      <c r="F564" s="2"/>
      <c r="G564" s="4"/>
      <c r="H564" s="4"/>
      <c r="I564" s="4"/>
      <c r="J564" s="4"/>
      <c r="K564" s="4"/>
      <c r="L564" s="4"/>
      <c r="M564" s="4"/>
      <c r="N564" s="4"/>
      <c r="O564" s="4"/>
      <c r="P564" s="4"/>
      <c r="Q564" s="4"/>
      <c r="R564" s="4"/>
      <c r="S564" s="4"/>
      <c r="T564" s="4"/>
      <c r="U564" s="4"/>
      <c r="V564" s="4"/>
      <c r="W564" s="4"/>
      <c r="X564" s="4"/>
      <c r="Y564" s="4"/>
      <c r="Z564" s="4"/>
    </row>
    <row r="565" ht="14.25" customHeight="1">
      <c r="A565" s="2"/>
      <c r="B565" s="4"/>
      <c r="C565" s="2"/>
      <c r="D565" s="2"/>
      <c r="E565" s="4"/>
      <c r="F565" s="2"/>
      <c r="G565" s="4"/>
      <c r="H565" s="4"/>
      <c r="I565" s="4"/>
      <c r="J565" s="4"/>
      <c r="K565" s="4"/>
      <c r="L565" s="4"/>
      <c r="M565" s="4"/>
      <c r="N565" s="4"/>
      <c r="O565" s="4"/>
      <c r="P565" s="4"/>
      <c r="Q565" s="4"/>
      <c r="R565" s="4"/>
      <c r="S565" s="4"/>
      <c r="T565" s="4"/>
      <c r="U565" s="4"/>
      <c r="V565" s="4"/>
      <c r="W565" s="4"/>
      <c r="X565" s="4"/>
      <c r="Y565" s="4"/>
      <c r="Z565" s="4"/>
    </row>
    <row r="566" ht="14.25" customHeight="1">
      <c r="A566" s="2"/>
      <c r="B566" s="4"/>
      <c r="C566" s="2"/>
      <c r="D566" s="2"/>
      <c r="E566" s="4"/>
      <c r="F566" s="2"/>
      <c r="G566" s="4"/>
      <c r="H566" s="4"/>
      <c r="I566" s="4"/>
      <c r="J566" s="4"/>
      <c r="K566" s="4"/>
      <c r="L566" s="4"/>
      <c r="M566" s="4"/>
      <c r="N566" s="4"/>
      <c r="O566" s="4"/>
      <c r="P566" s="4"/>
      <c r="Q566" s="4"/>
      <c r="R566" s="4"/>
      <c r="S566" s="4"/>
      <c r="T566" s="4"/>
      <c r="U566" s="4"/>
      <c r="V566" s="4"/>
      <c r="W566" s="4"/>
      <c r="X566" s="4"/>
      <c r="Y566" s="4"/>
      <c r="Z566" s="4"/>
    </row>
    <row r="567" ht="14.25" customHeight="1">
      <c r="A567" s="2"/>
      <c r="B567" s="4"/>
      <c r="C567" s="2"/>
      <c r="D567" s="2"/>
      <c r="E567" s="4"/>
      <c r="F567" s="2"/>
      <c r="G567" s="4"/>
      <c r="H567" s="4"/>
      <c r="I567" s="4"/>
      <c r="J567" s="4"/>
      <c r="K567" s="4"/>
      <c r="L567" s="4"/>
      <c r="M567" s="4"/>
      <c r="N567" s="4"/>
      <c r="O567" s="4"/>
      <c r="P567" s="4"/>
      <c r="Q567" s="4"/>
      <c r="R567" s="4"/>
      <c r="S567" s="4"/>
      <c r="T567" s="4"/>
      <c r="U567" s="4"/>
      <c r="V567" s="4"/>
      <c r="W567" s="4"/>
      <c r="X567" s="4"/>
      <c r="Y567" s="4"/>
      <c r="Z567" s="4"/>
    </row>
    <row r="568" ht="14.25" customHeight="1">
      <c r="A568" s="2"/>
      <c r="B568" s="4"/>
      <c r="C568" s="2"/>
      <c r="D568" s="2"/>
      <c r="E568" s="4"/>
      <c r="F568" s="2"/>
      <c r="G568" s="4"/>
      <c r="H568" s="4"/>
      <c r="I568" s="4"/>
      <c r="J568" s="4"/>
      <c r="K568" s="4"/>
      <c r="L568" s="4"/>
      <c r="M568" s="4"/>
      <c r="N568" s="4"/>
      <c r="O568" s="4"/>
      <c r="P568" s="4"/>
      <c r="Q568" s="4"/>
      <c r="R568" s="4"/>
      <c r="S568" s="4"/>
      <c r="T568" s="4"/>
      <c r="U568" s="4"/>
      <c r="V568" s="4"/>
      <c r="W568" s="4"/>
      <c r="X568" s="4"/>
      <c r="Y568" s="4"/>
      <c r="Z568" s="4"/>
    </row>
    <row r="569" ht="14.25" customHeight="1">
      <c r="A569" s="2"/>
      <c r="B569" s="4"/>
      <c r="C569" s="2"/>
      <c r="D569" s="2"/>
      <c r="E569" s="4"/>
      <c r="F569" s="2"/>
      <c r="G569" s="4"/>
      <c r="H569" s="4"/>
      <c r="I569" s="4"/>
      <c r="J569" s="4"/>
      <c r="K569" s="4"/>
      <c r="L569" s="4"/>
      <c r="M569" s="4"/>
      <c r="N569" s="4"/>
      <c r="O569" s="4"/>
      <c r="P569" s="4"/>
      <c r="Q569" s="4"/>
      <c r="R569" s="4"/>
      <c r="S569" s="4"/>
      <c r="T569" s="4"/>
      <c r="U569" s="4"/>
      <c r="V569" s="4"/>
      <c r="W569" s="4"/>
      <c r="X569" s="4"/>
      <c r="Y569" s="4"/>
      <c r="Z569" s="4"/>
    </row>
    <row r="570" ht="14.25" customHeight="1">
      <c r="A570" s="2"/>
      <c r="B570" s="4"/>
      <c r="C570" s="2"/>
      <c r="D570" s="2"/>
      <c r="E570" s="4"/>
      <c r="F570" s="2"/>
      <c r="G570" s="4"/>
      <c r="H570" s="4"/>
      <c r="I570" s="4"/>
      <c r="J570" s="4"/>
      <c r="K570" s="4"/>
      <c r="L570" s="4"/>
      <c r="M570" s="4"/>
      <c r="N570" s="4"/>
      <c r="O570" s="4"/>
      <c r="P570" s="4"/>
      <c r="Q570" s="4"/>
      <c r="R570" s="4"/>
      <c r="S570" s="4"/>
      <c r="T570" s="4"/>
      <c r="U570" s="4"/>
      <c r="V570" s="4"/>
      <c r="W570" s="4"/>
      <c r="X570" s="4"/>
      <c r="Y570" s="4"/>
      <c r="Z570" s="4"/>
    </row>
    <row r="571" ht="14.25" customHeight="1">
      <c r="A571" s="2"/>
      <c r="B571" s="4"/>
      <c r="C571" s="2"/>
      <c r="D571" s="2"/>
      <c r="E571" s="4"/>
      <c r="F571" s="2"/>
      <c r="G571" s="4"/>
      <c r="H571" s="4"/>
      <c r="I571" s="4"/>
      <c r="J571" s="4"/>
      <c r="K571" s="4"/>
      <c r="L571" s="4"/>
      <c r="M571" s="4"/>
      <c r="N571" s="4"/>
      <c r="O571" s="4"/>
      <c r="P571" s="4"/>
      <c r="Q571" s="4"/>
      <c r="R571" s="4"/>
      <c r="S571" s="4"/>
      <c r="T571" s="4"/>
      <c r="U571" s="4"/>
      <c r="V571" s="4"/>
      <c r="W571" s="4"/>
      <c r="X571" s="4"/>
      <c r="Y571" s="4"/>
      <c r="Z571" s="4"/>
    </row>
    <row r="572" ht="14.25" customHeight="1">
      <c r="A572" s="2"/>
      <c r="B572" s="4"/>
      <c r="C572" s="2"/>
      <c r="D572" s="2"/>
      <c r="E572" s="4"/>
      <c r="F572" s="2"/>
      <c r="G572" s="4"/>
      <c r="H572" s="4"/>
      <c r="I572" s="4"/>
      <c r="J572" s="4"/>
      <c r="K572" s="4"/>
      <c r="L572" s="4"/>
      <c r="M572" s="4"/>
      <c r="N572" s="4"/>
      <c r="O572" s="4"/>
      <c r="P572" s="4"/>
      <c r="Q572" s="4"/>
      <c r="R572" s="4"/>
      <c r="S572" s="4"/>
      <c r="T572" s="4"/>
      <c r="U572" s="4"/>
      <c r="V572" s="4"/>
      <c r="W572" s="4"/>
      <c r="X572" s="4"/>
      <c r="Y572" s="4"/>
      <c r="Z572" s="4"/>
    </row>
    <row r="573" ht="14.25" customHeight="1">
      <c r="A573" s="2"/>
      <c r="B573" s="4"/>
      <c r="C573" s="2"/>
      <c r="D573" s="2"/>
      <c r="E573" s="4"/>
      <c r="F573" s="2"/>
      <c r="G573" s="4"/>
      <c r="H573" s="4"/>
      <c r="I573" s="4"/>
      <c r="J573" s="4"/>
      <c r="K573" s="4"/>
      <c r="L573" s="4"/>
      <c r="M573" s="4"/>
      <c r="N573" s="4"/>
      <c r="O573" s="4"/>
      <c r="P573" s="4"/>
      <c r="Q573" s="4"/>
      <c r="R573" s="4"/>
      <c r="S573" s="4"/>
      <c r="T573" s="4"/>
      <c r="U573" s="4"/>
      <c r="V573" s="4"/>
      <c r="W573" s="4"/>
      <c r="X573" s="4"/>
      <c r="Y573" s="4"/>
      <c r="Z573" s="4"/>
    </row>
    <row r="574" ht="14.25" customHeight="1">
      <c r="A574" s="2"/>
      <c r="B574" s="4"/>
      <c r="C574" s="2"/>
      <c r="D574" s="2"/>
      <c r="E574" s="4"/>
      <c r="F574" s="2"/>
      <c r="G574" s="4"/>
      <c r="H574" s="4"/>
      <c r="I574" s="4"/>
      <c r="J574" s="4"/>
      <c r="K574" s="4"/>
      <c r="L574" s="4"/>
      <c r="M574" s="4"/>
      <c r="N574" s="4"/>
      <c r="O574" s="4"/>
      <c r="P574" s="4"/>
      <c r="Q574" s="4"/>
      <c r="R574" s="4"/>
      <c r="S574" s="4"/>
      <c r="T574" s="4"/>
      <c r="U574" s="4"/>
      <c r="V574" s="4"/>
      <c r="W574" s="4"/>
      <c r="X574" s="4"/>
      <c r="Y574" s="4"/>
      <c r="Z574" s="4"/>
    </row>
    <row r="575" ht="14.25" customHeight="1">
      <c r="A575" s="2"/>
      <c r="B575" s="4"/>
      <c r="C575" s="2"/>
      <c r="D575" s="2"/>
      <c r="E575" s="4"/>
      <c r="F575" s="2"/>
      <c r="G575" s="4"/>
      <c r="H575" s="4"/>
      <c r="I575" s="4"/>
      <c r="J575" s="4"/>
      <c r="K575" s="4"/>
      <c r="L575" s="4"/>
      <c r="M575" s="4"/>
      <c r="N575" s="4"/>
      <c r="O575" s="4"/>
      <c r="P575" s="4"/>
      <c r="Q575" s="4"/>
      <c r="R575" s="4"/>
      <c r="S575" s="4"/>
      <c r="T575" s="4"/>
      <c r="U575" s="4"/>
      <c r="V575" s="4"/>
      <c r="W575" s="4"/>
      <c r="X575" s="4"/>
      <c r="Y575" s="4"/>
      <c r="Z575" s="4"/>
    </row>
    <row r="576" ht="14.25" customHeight="1">
      <c r="A576" s="2"/>
      <c r="B576" s="4"/>
      <c r="C576" s="2"/>
      <c r="D576" s="2"/>
      <c r="E576" s="4"/>
      <c r="F576" s="2"/>
      <c r="G576" s="4"/>
      <c r="H576" s="4"/>
      <c r="I576" s="4"/>
      <c r="J576" s="4"/>
      <c r="K576" s="4"/>
      <c r="L576" s="4"/>
      <c r="M576" s="4"/>
      <c r="N576" s="4"/>
      <c r="O576" s="4"/>
      <c r="P576" s="4"/>
      <c r="Q576" s="4"/>
      <c r="R576" s="4"/>
      <c r="S576" s="4"/>
      <c r="T576" s="4"/>
      <c r="U576" s="4"/>
      <c r="V576" s="4"/>
      <c r="W576" s="4"/>
      <c r="X576" s="4"/>
      <c r="Y576" s="4"/>
      <c r="Z576" s="4"/>
    </row>
    <row r="577" ht="14.25" customHeight="1">
      <c r="A577" s="2"/>
      <c r="B577" s="4"/>
      <c r="C577" s="2"/>
      <c r="D577" s="2"/>
      <c r="E577" s="4"/>
      <c r="F577" s="2"/>
      <c r="G577" s="4"/>
      <c r="H577" s="4"/>
      <c r="I577" s="4"/>
      <c r="J577" s="4"/>
      <c r="K577" s="4"/>
      <c r="L577" s="4"/>
      <c r="M577" s="4"/>
      <c r="N577" s="4"/>
      <c r="O577" s="4"/>
      <c r="P577" s="4"/>
      <c r="Q577" s="4"/>
      <c r="R577" s="4"/>
      <c r="S577" s="4"/>
      <c r="T577" s="4"/>
      <c r="U577" s="4"/>
      <c r="V577" s="4"/>
      <c r="W577" s="4"/>
      <c r="X577" s="4"/>
      <c r="Y577" s="4"/>
      <c r="Z577" s="4"/>
    </row>
    <row r="578" ht="14.25" customHeight="1">
      <c r="A578" s="2"/>
      <c r="B578" s="4"/>
      <c r="C578" s="2"/>
      <c r="D578" s="2"/>
      <c r="E578" s="4"/>
      <c r="F578" s="2"/>
      <c r="G578" s="4"/>
      <c r="H578" s="4"/>
      <c r="I578" s="4"/>
      <c r="J578" s="4"/>
      <c r="K578" s="4"/>
      <c r="L578" s="4"/>
      <c r="M578" s="4"/>
      <c r="N578" s="4"/>
      <c r="O578" s="4"/>
      <c r="P578" s="4"/>
      <c r="Q578" s="4"/>
      <c r="R578" s="4"/>
      <c r="S578" s="4"/>
      <c r="T578" s="4"/>
      <c r="U578" s="4"/>
      <c r="V578" s="4"/>
      <c r="W578" s="4"/>
      <c r="X578" s="4"/>
      <c r="Y578" s="4"/>
      <c r="Z578" s="4"/>
    </row>
    <row r="579" ht="14.25" customHeight="1">
      <c r="A579" s="2"/>
      <c r="B579" s="4"/>
      <c r="C579" s="2"/>
      <c r="D579" s="2"/>
      <c r="E579" s="4"/>
      <c r="F579" s="2"/>
      <c r="G579" s="4"/>
      <c r="H579" s="4"/>
      <c r="I579" s="4"/>
      <c r="J579" s="4"/>
      <c r="K579" s="4"/>
      <c r="L579" s="4"/>
      <c r="M579" s="4"/>
      <c r="N579" s="4"/>
      <c r="O579" s="4"/>
      <c r="P579" s="4"/>
      <c r="Q579" s="4"/>
      <c r="R579" s="4"/>
      <c r="S579" s="4"/>
      <c r="T579" s="4"/>
      <c r="U579" s="4"/>
      <c r="V579" s="4"/>
      <c r="W579" s="4"/>
      <c r="X579" s="4"/>
      <c r="Y579" s="4"/>
      <c r="Z579" s="4"/>
    </row>
    <row r="580" ht="14.25" customHeight="1">
      <c r="A580" s="2"/>
      <c r="B580" s="4"/>
      <c r="C580" s="2"/>
      <c r="D580" s="2"/>
      <c r="E580" s="4"/>
      <c r="F580" s="2"/>
      <c r="G580" s="4"/>
      <c r="H580" s="4"/>
      <c r="I580" s="4"/>
      <c r="J580" s="4"/>
      <c r="K580" s="4"/>
      <c r="L580" s="4"/>
      <c r="M580" s="4"/>
      <c r="N580" s="4"/>
      <c r="O580" s="4"/>
      <c r="P580" s="4"/>
      <c r="Q580" s="4"/>
      <c r="R580" s="4"/>
      <c r="S580" s="4"/>
      <c r="T580" s="4"/>
      <c r="U580" s="4"/>
      <c r="V580" s="4"/>
      <c r="W580" s="4"/>
      <c r="X580" s="4"/>
      <c r="Y580" s="4"/>
      <c r="Z580" s="4"/>
    </row>
    <row r="581" ht="14.25" customHeight="1">
      <c r="A581" s="2"/>
      <c r="B581" s="4"/>
      <c r="C581" s="2"/>
      <c r="D581" s="2"/>
      <c r="E581" s="4"/>
      <c r="F581" s="2"/>
      <c r="G581" s="4"/>
      <c r="H581" s="4"/>
      <c r="I581" s="4"/>
      <c r="J581" s="4"/>
      <c r="K581" s="4"/>
      <c r="L581" s="4"/>
      <c r="M581" s="4"/>
      <c r="N581" s="4"/>
      <c r="O581" s="4"/>
      <c r="P581" s="4"/>
      <c r="Q581" s="4"/>
      <c r="R581" s="4"/>
      <c r="S581" s="4"/>
      <c r="T581" s="4"/>
      <c r="U581" s="4"/>
      <c r="V581" s="4"/>
      <c r="W581" s="4"/>
      <c r="X581" s="4"/>
      <c r="Y581" s="4"/>
      <c r="Z581" s="4"/>
    </row>
    <row r="582" ht="14.25" customHeight="1">
      <c r="A582" s="2"/>
      <c r="B582" s="4"/>
      <c r="C582" s="2"/>
      <c r="D582" s="2"/>
      <c r="E582" s="4"/>
      <c r="F582" s="2"/>
      <c r="G582" s="4"/>
      <c r="H582" s="4"/>
      <c r="I582" s="4"/>
      <c r="J582" s="4"/>
      <c r="K582" s="4"/>
      <c r="L582" s="4"/>
      <c r="M582" s="4"/>
      <c r="N582" s="4"/>
      <c r="O582" s="4"/>
      <c r="P582" s="4"/>
      <c r="Q582" s="4"/>
      <c r="R582" s="4"/>
      <c r="S582" s="4"/>
      <c r="T582" s="4"/>
      <c r="U582" s="4"/>
      <c r="V582" s="4"/>
      <c r="W582" s="4"/>
      <c r="X582" s="4"/>
      <c r="Y582" s="4"/>
      <c r="Z582" s="4"/>
    </row>
    <row r="583" ht="14.25" customHeight="1">
      <c r="A583" s="2"/>
      <c r="B583" s="4"/>
      <c r="C583" s="2"/>
      <c r="D583" s="2"/>
      <c r="E583" s="4"/>
      <c r="F583" s="2"/>
      <c r="G583" s="4"/>
      <c r="H583" s="4"/>
      <c r="I583" s="4"/>
      <c r="J583" s="4"/>
      <c r="K583" s="4"/>
      <c r="L583" s="4"/>
      <c r="M583" s="4"/>
      <c r="N583" s="4"/>
      <c r="O583" s="4"/>
      <c r="P583" s="4"/>
      <c r="Q583" s="4"/>
      <c r="R583" s="4"/>
      <c r="S583" s="4"/>
      <c r="T583" s="4"/>
      <c r="U583" s="4"/>
      <c r="V583" s="4"/>
      <c r="W583" s="4"/>
      <c r="X583" s="4"/>
      <c r="Y583" s="4"/>
      <c r="Z583" s="4"/>
    </row>
    <row r="584" ht="14.25" customHeight="1">
      <c r="A584" s="2"/>
      <c r="B584" s="4"/>
      <c r="C584" s="2"/>
      <c r="D584" s="2"/>
      <c r="E584" s="4"/>
      <c r="F584" s="2"/>
      <c r="G584" s="4"/>
      <c r="H584" s="4"/>
      <c r="I584" s="4"/>
      <c r="J584" s="4"/>
      <c r="K584" s="4"/>
      <c r="L584" s="4"/>
      <c r="M584" s="4"/>
      <c r="N584" s="4"/>
      <c r="O584" s="4"/>
      <c r="P584" s="4"/>
      <c r="Q584" s="4"/>
      <c r="R584" s="4"/>
      <c r="S584" s="4"/>
      <c r="T584" s="4"/>
      <c r="U584" s="4"/>
      <c r="V584" s="4"/>
      <c r="W584" s="4"/>
      <c r="X584" s="4"/>
      <c r="Y584" s="4"/>
      <c r="Z584" s="4"/>
    </row>
    <row r="585" ht="14.25" customHeight="1">
      <c r="A585" s="2"/>
      <c r="B585" s="4"/>
      <c r="C585" s="2"/>
      <c r="D585" s="2"/>
      <c r="E585" s="4"/>
      <c r="F585" s="2"/>
      <c r="G585" s="4"/>
      <c r="H585" s="4"/>
      <c r="I585" s="4"/>
      <c r="J585" s="4"/>
      <c r="K585" s="4"/>
      <c r="L585" s="4"/>
      <c r="M585" s="4"/>
      <c r="N585" s="4"/>
      <c r="O585" s="4"/>
      <c r="P585" s="4"/>
      <c r="Q585" s="4"/>
      <c r="R585" s="4"/>
      <c r="S585" s="4"/>
      <c r="T585" s="4"/>
      <c r="U585" s="4"/>
      <c r="V585" s="4"/>
      <c r="W585" s="4"/>
      <c r="X585" s="4"/>
      <c r="Y585" s="4"/>
      <c r="Z585" s="4"/>
    </row>
    <row r="586" ht="14.25" customHeight="1">
      <c r="A586" s="2"/>
      <c r="B586" s="4"/>
      <c r="C586" s="2"/>
      <c r="D586" s="2"/>
      <c r="E586" s="4"/>
      <c r="F586" s="2"/>
      <c r="G586" s="4"/>
      <c r="H586" s="4"/>
      <c r="I586" s="4"/>
      <c r="J586" s="4"/>
      <c r="K586" s="4"/>
      <c r="L586" s="4"/>
      <c r="M586" s="4"/>
      <c r="N586" s="4"/>
      <c r="O586" s="4"/>
      <c r="P586" s="4"/>
      <c r="Q586" s="4"/>
      <c r="R586" s="4"/>
      <c r="S586" s="4"/>
      <c r="T586" s="4"/>
      <c r="U586" s="4"/>
      <c r="V586" s="4"/>
      <c r="W586" s="4"/>
      <c r="X586" s="4"/>
      <c r="Y586" s="4"/>
      <c r="Z586" s="4"/>
    </row>
    <row r="587" ht="14.25" customHeight="1">
      <c r="A587" s="2"/>
      <c r="B587" s="4"/>
      <c r="C587" s="2"/>
      <c r="D587" s="2"/>
      <c r="E587" s="4"/>
      <c r="F587" s="2"/>
      <c r="G587" s="4"/>
      <c r="H587" s="4"/>
      <c r="I587" s="4"/>
      <c r="J587" s="4"/>
      <c r="K587" s="4"/>
      <c r="L587" s="4"/>
      <c r="M587" s="4"/>
      <c r="N587" s="4"/>
      <c r="O587" s="4"/>
      <c r="P587" s="4"/>
      <c r="Q587" s="4"/>
      <c r="R587" s="4"/>
      <c r="S587" s="4"/>
      <c r="T587" s="4"/>
      <c r="U587" s="4"/>
      <c r="V587" s="4"/>
      <c r="W587" s="4"/>
      <c r="X587" s="4"/>
      <c r="Y587" s="4"/>
      <c r="Z587" s="4"/>
    </row>
    <row r="588" ht="14.25" customHeight="1">
      <c r="A588" s="2"/>
      <c r="B588" s="4"/>
      <c r="C588" s="2"/>
      <c r="D588" s="2"/>
      <c r="E588" s="4"/>
      <c r="F588" s="2"/>
      <c r="G588" s="4"/>
      <c r="H588" s="4"/>
      <c r="I588" s="4"/>
      <c r="J588" s="4"/>
      <c r="K588" s="4"/>
      <c r="L588" s="4"/>
      <c r="M588" s="4"/>
      <c r="N588" s="4"/>
      <c r="O588" s="4"/>
      <c r="P588" s="4"/>
      <c r="Q588" s="4"/>
      <c r="R588" s="4"/>
      <c r="S588" s="4"/>
      <c r="T588" s="4"/>
      <c r="U588" s="4"/>
      <c r="V588" s="4"/>
      <c r="W588" s="4"/>
      <c r="X588" s="4"/>
      <c r="Y588" s="4"/>
      <c r="Z588" s="4"/>
    </row>
    <row r="589" ht="14.25" customHeight="1">
      <c r="A589" s="2"/>
      <c r="B589" s="4"/>
      <c r="C589" s="2"/>
      <c r="D589" s="2"/>
      <c r="E589" s="4"/>
      <c r="F589" s="2"/>
      <c r="G589" s="4"/>
      <c r="H589" s="4"/>
      <c r="I589" s="4"/>
      <c r="J589" s="4"/>
      <c r="K589" s="4"/>
      <c r="L589" s="4"/>
      <c r="M589" s="4"/>
      <c r="N589" s="4"/>
      <c r="O589" s="4"/>
      <c r="P589" s="4"/>
      <c r="Q589" s="4"/>
      <c r="R589" s="4"/>
      <c r="S589" s="4"/>
      <c r="T589" s="4"/>
      <c r="U589" s="4"/>
      <c r="V589" s="4"/>
      <c r="W589" s="4"/>
      <c r="X589" s="4"/>
      <c r="Y589" s="4"/>
      <c r="Z589" s="4"/>
    </row>
    <row r="590" ht="14.25" customHeight="1">
      <c r="A590" s="2"/>
      <c r="B590" s="4"/>
      <c r="C590" s="2"/>
      <c r="D590" s="2"/>
      <c r="E590" s="4"/>
      <c r="F590" s="2"/>
      <c r="G590" s="4"/>
      <c r="H590" s="4"/>
      <c r="I590" s="4"/>
      <c r="J590" s="4"/>
      <c r="K590" s="4"/>
      <c r="L590" s="4"/>
      <c r="M590" s="4"/>
      <c r="N590" s="4"/>
      <c r="O590" s="4"/>
      <c r="P590" s="4"/>
      <c r="Q590" s="4"/>
      <c r="R590" s="4"/>
      <c r="S590" s="4"/>
      <c r="T590" s="4"/>
      <c r="U590" s="4"/>
      <c r="V590" s="4"/>
      <c r="W590" s="4"/>
      <c r="X590" s="4"/>
      <c r="Y590" s="4"/>
      <c r="Z590" s="4"/>
    </row>
    <row r="591" ht="14.25" customHeight="1">
      <c r="A591" s="2"/>
      <c r="B591" s="4"/>
      <c r="C591" s="2"/>
      <c r="D591" s="2"/>
      <c r="E591" s="4"/>
      <c r="F591" s="2"/>
      <c r="G591" s="4"/>
      <c r="H591" s="4"/>
      <c r="I591" s="4"/>
      <c r="J591" s="4"/>
      <c r="K591" s="4"/>
      <c r="L591" s="4"/>
      <c r="M591" s="4"/>
      <c r="N591" s="4"/>
      <c r="O591" s="4"/>
      <c r="P591" s="4"/>
      <c r="Q591" s="4"/>
      <c r="R591" s="4"/>
      <c r="S591" s="4"/>
      <c r="T591" s="4"/>
      <c r="U591" s="4"/>
      <c r="V591" s="4"/>
      <c r="W591" s="4"/>
      <c r="X591" s="4"/>
      <c r="Y591" s="4"/>
      <c r="Z591" s="4"/>
    </row>
    <row r="592" ht="14.25" customHeight="1">
      <c r="A592" s="2"/>
      <c r="B592" s="4"/>
      <c r="C592" s="2"/>
      <c r="D592" s="2"/>
      <c r="E592" s="4"/>
      <c r="F592" s="2"/>
      <c r="G592" s="4"/>
      <c r="H592" s="4"/>
      <c r="I592" s="4"/>
      <c r="J592" s="4"/>
      <c r="K592" s="4"/>
      <c r="L592" s="4"/>
      <c r="M592" s="4"/>
      <c r="N592" s="4"/>
      <c r="O592" s="4"/>
      <c r="P592" s="4"/>
      <c r="Q592" s="4"/>
      <c r="R592" s="4"/>
      <c r="S592" s="4"/>
      <c r="T592" s="4"/>
      <c r="U592" s="4"/>
      <c r="V592" s="4"/>
      <c r="W592" s="4"/>
      <c r="X592" s="4"/>
      <c r="Y592" s="4"/>
      <c r="Z592" s="4"/>
    </row>
    <row r="593" ht="14.25" customHeight="1">
      <c r="A593" s="2"/>
      <c r="B593" s="4"/>
      <c r="C593" s="2"/>
      <c r="D593" s="2"/>
      <c r="E593" s="4"/>
      <c r="F593" s="2"/>
      <c r="G593" s="4"/>
      <c r="H593" s="4"/>
      <c r="I593" s="4"/>
      <c r="J593" s="4"/>
      <c r="K593" s="4"/>
      <c r="L593" s="4"/>
      <c r="M593" s="4"/>
      <c r="N593" s="4"/>
      <c r="O593" s="4"/>
      <c r="P593" s="4"/>
      <c r="Q593" s="4"/>
      <c r="R593" s="4"/>
      <c r="S593" s="4"/>
      <c r="T593" s="4"/>
      <c r="U593" s="4"/>
      <c r="V593" s="4"/>
      <c r="W593" s="4"/>
      <c r="X593" s="4"/>
      <c r="Y593" s="4"/>
      <c r="Z593" s="4"/>
    </row>
    <row r="594" ht="14.25" customHeight="1">
      <c r="A594" s="2"/>
      <c r="B594" s="4"/>
      <c r="C594" s="2"/>
      <c r="D594" s="2"/>
      <c r="E594" s="4"/>
      <c r="F594" s="2"/>
      <c r="G594" s="4"/>
      <c r="H594" s="4"/>
      <c r="I594" s="4"/>
      <c r="J594" s="4"/>
      <c r="K594" s="4"/>
      <c r="L594" s="4"/>
      <c r="M594" s="4"/>
      <c r="N594" s="4"/>
      <c r="O594" s="4"/>
      <c r="P594" s="4"/>
      <c r="Q594" s="4"/>
      <c r="R594" s="4"/>
      <c r="S594" s="4"/>
      <c r="T594" s="4"/>
      <c r="U594" s="4"/>
      <c r="V594" s="4"/>
      <c r="W594" s="4"/>
      <c r="X594" s="4"/>
      <c r="Y594" s="4"/>
      <c r="Z594" s="4"/>
    </row>
    <row r="595" ht="14.25" customHeight="1">
      <c r="A595" s="2"/>
      <c r="B595" s="4"/>
      <c r="C595" s="2"/>
      <c r="D595" s="2"/>
      <c r="E595" s="4"/>
      <c r="F595" s="2"/>
      <c r="G595" s="4"/>
      <c r="H595" s="4"/>
      <c r="I595" s="4"/>
      <c r="J595" s="4"/>
      <c r="K595" s="4"/>
      <c r="L595" s="4"/>
      <c r="M595" s="4"/>
      <c r="N595" s="4"/>
      <c r="O595" s="4"/>
      <c r="P595" s="4"/>
      <c r="Q595" s="4"/>
      <c r="R595" s="4"/>
      <c r="S595" s="4"/>
      <c r="T595" s="4"/>
      <c r="U595" s="4"/>
      <c r="V595" s="4"/>
      <c r="W595" s="4"/>
      <c r="X595" s="4"/>
      <c r="Y595" s="4"/>
      <c r="Z595" s="4"/>
    </row>
    <row r="596" ht="14.25" customHeight="1">
      <c r="A596" s="2"/>
      <c r="B596" s="4"/>
      <c r="C596" s="2"/>
      <c r="D596" s="2"/>
      <c r="E596" s="4"/>
      <c r="F596" s="2"/>
      <c r="G596" s="4"/>
      <c r="H596" s="4"/>
      <c r="I596" s="4"/>
      <c r="J596" s="4"/>
      <c r="K596" s="4"/>
      <c r="L596" s="4"/>
      <c r="M596" s="4"/>
      <c r="N596" s="4"/>
      <c r="O596" s="4"/>
      <c r="P596" s="4"/>
      <c r="Q596" s="4"/>
      <c r="R596" s="4"/>
      <c r="S596" s="4"/>
      <c r="T596" s="4"/>
      <c r="U596" s="4"/>
      <c r="V596" s="4"/>
      <c r="W596" s="4"/>
      <c r="X596" s="4"/>
      <c r="Y596" s="4"/>
      <c r="Z596" s="4"/>
    </row>
    <row r="597" ht="14.25" customHeight="1">
      <c r="A597" s="2"/>
      <c r="B597" s="4"/>
      <c r="C597" s="2"/>
      <c r="D597" s="2"/>
      <c r="E597" s="4"/>
      <c r="F597" s="2"/>
      <c r="G597" s="4"/>
      <c r="H597" s="4"/>
      <c r="I597" s="4"/>
      <c r="J597" s="4"/>
      <c r="K597" s="4"/>
      <c r="L597" s="4"/>
      <c r="M597" s="4"/>
      <c r="N597" s="4"/>
      <c r="O597" s="4"/>
      <c r="P597" s="4"/>
      <c r="Q597" s="4"/>
      <c r="R597" s="4"/>
      <c r="S597" s="4"/>
      <c r="T597" s="4"/>
      <c r="U597" s="4"/>
      <c r="V597" s="4"/>
      <c r="W597" s="4"/>
      <c r="X597" s="4"/>
      <c r="Y597" s="4"/>
      <c r="Z597" s="4"/>
    </row>
    <row r="598" ht="14.25" customHeight="1">
      <c r="A598" s="2"/>
      <c r="B598" s="4"/>
      <c r="C598" s="2"/>
      <c r="D598" s="2"/>
      <c r="E598" s="4"/>
      <c r="F598" s="2"/>
      <c r="G598" s="4"/>
      <c r="H598" s="4"/>
      <c r="I598" s="4"/>
      <c r="J598" s="4"/>
      <c r="K598" s="4"/>
      <c r="L598" s="4"/>
      <c r="M598" s="4"/>
      <c r="N598" s="4"/>
      <c r="O598" s="4"/>
      <c r="P598" s="4"/>
      <c r="Q598" s="4"/>
      <c r="R598" s="4"/>
      <c r="S598" s="4"/>
      <c r="T598" s="4"/>
      <c r="U598" s="4"/>
      <c r="V598" s="4"/>
      <c r="W598" s="4"/>
      <c r="X598" s="4"/>
      <c r="Y598" s="4"/>
      <c r="Z598" s="4"/>
    </row>
    <row r="599" ht="14.25" customHeight="1">
      <c r="A599" s="2"/>
      <c r="B599" s="4"/>
      <c r="C599" s="2"/>
      <c r="D599" s="2"/>
      <c r="E599" s="4"/>
      <c r="F599" s="2"/>
      <c r="G599" s="4"/>
      <c r="H599" s="4"/>
      <c r="I599" s="4"/>
      <c r="J599" s="4"/>
      <c r="K599" s="4"/>
      <c r="L599" s="4"/>
      <c r="M599" s="4"/>
      <c r="N599" s="4"/>
      <c r="O599" s="4"/>
      <c r="P599" s="4"/>
      <c r="Q599" s="4"/>
      <c r="R599" s="4"/>
      <c r="S599" s="4"/>
      <c r="T599" s="4"/>
      <c r="U599" s="4"/>
      <c r="V599" s="4"/>
      <c r="W599" s="4"/>
      <c r="X599" s="4"/>
      <c r="Y599" s="4"/>
      <c r="Z599" s="4"/>
    </row>
    <row r="600" ht="14.25" customHeight="1">
      <c r="A600" s="2"/>
      <c r="B600" s="4"/>
      <c r="C600" s="2"/>
      <c r="D600" s="2"/>
      <c r="E600" s="4"/>
      <c r="F600" s="2"/>
      <c r="G600" s="4"/>
      <c r="H600" s="4"/>
      <c r="I600" s="4"/>
      <c r="J600" s="4"/>
      <c r="K600" s="4"/>
      <c r="L600" s="4"/>
      <c r="M600" s="4"/>
      <c r="N600" s="4"/>
      <c r="O600" s="4"/>
      <c r="P600" s="4"/>
      <c r="Q600" s="4"/>
      <c r="R600" s="4"/>
      <c r="S600" s="4"/>
      <c r="T600" s="4"/>
      <c r="U600" s="4"/>
      <c r="V600" s="4"/>
      <c r="W600" s="4"/>
      <c r="X600" s="4"/>
      <c r="Y600" s="4"/>
      <c r="Z600" s="4"/>
    </row>
    <row r="601" ht="14.25" customHeight="1">
      <c r="A601" s="2"/>
      <c r="B601" s="4"/>
      <c r="C601" s="2"/>
      <c r="D601" s="2"/>
      <c r="E601" s="4"/>
      <c r="F601" s="2"/>
      <c r="G601" s="4"/>
      <c r="H601" s="4"/>
      <c r="I601" s="4"/>
      <c r="J601" s="4"/>
      <c r="K601" s="4"/>
      <c r="L601" s="4"/>
      <c r="M601" s="4"/>
      <c r="N601" s="4"/>
      <c r="O601" s="4"/>
      <c r="P601" s="4"/>
      <c r="Q601" s="4"/>
      <c r="R601" s="4"/>
      <c r="S601" s="4"/>
      <c r="T601" s="4"/>
      <c r="U601" s="4"/>
      <c r="V601" s="4"/>
      <c r="W601" s="4"/>
      <c r="X601" s="4"/>
      <c r="Y601" s="4"/>
      <c r="Z601" s="4"/>
    </row>
    <row r="602" ht="14.25" customHeight="1">
      <c r="A602" s="2"/>
      <c r="B602" s="4"/>
      <c r="C602" s="2"/>
      <c r="D602" s="2"/>
      <c r="E602" s="4"/>
      <c r="F602" s="2"/>
      <c r="G602" s="4"/>
      <c r="H602" s="4"/>
      <c r="I602" s="4"/>
      <c r="J602" s="4"/>
      <c r="K602" s="4"/>
      <c r="L602" s="4"/>
      <c r="M602" s="4"/>
      <c r="N602" s="4"/>
      <c r="O602" s="4"/>
      <c r="P602" s="4"/>
      <c r="Q602" s="4"/>
      <c r="R602" s="4"/>
      <c r="S602" s="4"/>
      <c r="T602" s="4"/>
      <c r="U602" s="4"/>
      <c r="V602" s="4"/>
      <c r="W602" s="4"/>
      <c r="X602" s="4"/>
      <c r="Y602" s="4"/>
      <c r="Z602" s="4"/>
    </row>
    <row r="603" ht="14.25" customHeight="1">
      <c r="A603" s="2"/>
      <c r="B603" s="4"/>
      <c r="C603" s="2"/>
      <c r="D603" s="2"/>
      <c r="E603" s="4"/>
      <c r="F603" s="2"/>
      <c r="G603" s="4"/>
      <c r="H603" s="4"/>
      <c r="I603" s="4"/>
      <c r="J603" s="4"/>
      <c r="K603" s="4"/>
      <c r="L603" s="4"/>
      <c r="M603" s="4"/>
      <c r="N603" s="4"/>
      <c r="O603" s="4"/>
      <c r="P603" s="4"/>
      <c r="Q603" s="4"/>
      <c r="R603" s="4"/>
      <c r="S603" s="4"/>
      <c r="T603" s="4"/>
      <c r="U603" s="4"/>
      <c r="V603" s="4"/>
      <c r="W603" s="4"/>
      <c r="X603" s="4"/>
      <c r="Y603" s="4"/>
      <c r="Z603" s="4"/>
    </row>
    <row r="604" ht="14.25" customHeight="1">
      <c r="A604" s="2"/>
      <c r="B604" s="4"/>
      <c r="C604" s="2"/>
      <c r="D604" s="2"/>
      <c r="E604" s="4"/>
      <c r="F604" s="2"/>
      <c r="G604" s="4"/>
      <c r="H604" s="4"/>
      <c r="I604" s="4"/>
      <c r="J604" s="4"/>
      <c r="K604" s="4"/>
      <c r="L604" s="4"/>
      <c r="M604" s="4"/>
      <c r="N604" s="4"/>
      <c r="O604" s="4"/>
      <c r="P604" s="4"/>
      <c r="Q604" s="4"/>
      <c r="R604" s="4"/>
      <c r="S604" s="4"/>
      <c r="T604" s="4"/>
      <c r="U604" s="4"/>
      <c r="V604" s="4"/>
      <c r="W604" s="4"/>
      <c r="X604" s="4"/>
      <c r="Y604" s="4"/>
      <c r="Z604" s="4"/>
    </row>
    <row r="605" ht="14.25" customHeight="1">
      <c r="A605" s="2"/>
      <c r="B605" s="4"/>
      <c r="C605" s="2"/>
      <c r="D605" s="2"/>
      <c r="E605" s="4"/>
      <c r="F605" s="2"/>
      <c r="G605" s="4"/>
      <c r="H605" s="4"/>
      <c r="I605" s="4"/>
      <c r="J605" s="4"/>
      <c r="K605" s="4"/>
      <c r="L605" s="4"/>
      <c r="M605" s="4"/>
      <c r="N605" s="4"/>
      <c r="O605" s="4"/>
      <c r="P605" s="4"/>
      <c r="Q605" s="4"/>
      <c r="R605" s="4"/>
      <c r="S605" s="4"/>
      <c r="T605" s="4"/>
      <c r="U605" s="4"/>
      <c r="V605" s="4"/>
      <c r="W605" s="4"/>
      <c r="X605" s="4"/>
      <c r="Y605" s="4"/>
      <c r="Z605" s="4"/>
    </row>
    <row r="606" ht="14.25" customHeight="1">
      <c r="A606" s="2"/>
      <c r="B606" s="4"/>
      <c r="C606" s="2"/>
      <c r="D606" s="2"/>
      <c r="E606" s="4"/>
      <c r="F606" s="2"/>
      <c r="G606" s="4"/>
      <c r="H606" s="4"/>
      <c r="I606" s="4"/>
      <c r="J606" s="4"/>
      <c r="K606" s="4"/>
      <c r="L606" s="4"/>
      <c r="M606" s="4"/>
      <c r="N606" s="4"/>
      <c r="O606" s="4"/>
      <c r="P606" s="4"/>
      <c r="Q606" s="4"/>
      <c r="R606" s="4"/>
      <c r="S606" s="4"/>
      <c r="T606" s="4"/>
      <c r="U606" s="4"/>
      <c r="V606" s="4"/>
      <c r="W606" s="4"/>
      <c r="X606" s="4"/>
      <c r="Y606" s="4"/>
      <c r="Z606" s="4"/>
    </row>
    <row r="607" ht="14.25" customHeight="1">
      <c r="A607" s="2"/>
      <c r="B607" s="4"/>
      <c r="C607" s="2"/>
      <c r="D607" s="2"/>
      <c r="E607" s="4"/>
      <c r="F607" s="2"/>
      <c r="G607" s="4"/>
      <c r="H607" s="4"/>
      <c r="I607" s="4"/>
      <c r="J607" s="4"/>
      <c r="K607" s="4"/>
      <c r="L607" s="4"/>
      <c r="M607" s="4"/>
      <c r="N607" s="4"/>
      <c r="O607" s="4"/>
      <c r="P607" s="4"/>
      <c r="Q607" s="4"/>
      <c r="R607" s="4"/>
      <c r="S607" s="4"/>
      <c r="T607" s="4"/>
      <c r="U607" s="4"/>
      <c r="V607" s="4"/>
      <c r="W607" s="4"/>
      <c r="X607" s="4"/>
      <c r="Y607" s="4"/>
      <c r="Z607" s="4"/>
    </row>
    <row r="608" ht="14.25" customHeight="1">
      <c r="A608" s="2"/>
      <c r="B608" s="4"/>
      <c r="C608" s="2"/>
      <c r="D608" s="2"/>
      <c r="E608" s="4"/>
      <c r="F608" s="2"/>
      <c r="G608" s="4"/>
      <c r="H608" s="4"/>
      <c r="I608" s="4"/>
      <c r="J608" s="4"/>
      <c r="K608" s="4"/>
      <c r="L608" s="4"/>
      <c r="M608" s="4"/>
      <c r="N608" s="4"/>
      <c r="O608" s="4"/>
      <c r="P608" s="4"/>
      <c r="Q608" s="4"/>
      <c r="R608" s="4"/>
      <c r="S608" s="4"/>
      <c r="T608" s="4"/>
      <c r="U608" s="4"/>
      <c r="V608" s="4"/>
      <c r="W608" s="4"/>
      <c r="X608" s="4"/>
      <c r="Y608" s="4"/>
      <c r="Z608" s="4"/>
    </row>
    <row r="609" ht="14.25" customHeight="1">
      <c r="A609" s="2"/>
      <c r="B609" s="4"/>
      <c r="C609" s="2"/>
      <c r="D609" s="2"/>
      <c r="E609" s="4"/>
      <c r="F609" s="2"/>
      <c r="G609" s="4"/>
      <c r="H609" s="4"/>
      <c r="I609" s="4"/>
      <c r="J609" s="4"/>
      <c r="K609" s="4"/>
      <c r="L609" s="4"/>
      <c r="M609" s="4"/>
      <c r="N609" s="4"/>
      <c r="O609" s="4"/>
      <c r="P609" s="4"/>
      <c r="Q609" s="4"/>
      <c r="R609" s="4"/>
      <c r="S609" s="4"/>
      <c r="T609" s="4"/>
      <c r="U609" s="4"/>
      <c r="V609" s="4"/>
      <c r="W609" s="4"/>
      <c r="X609" s="4"/>
      <c r="Y609" s="4"/>
      <c r="Z609" s="4"/>
    </row>
    <row r="610" ht="14.25" customHeight="1">
      <c r="A610" s="2"/>
      <c r="B610" s="4"/>
      <c r="C610" s="2"/>
      <c r="D610" s="2"/>
      <c r="E610" s="4"/>
      <c r="F610" s="2"/>
      <c r="G610" s="4"/>
      <c r="H610" s="4"/>
      <c r="I610" s="4"/>
      <c r="J610" s="4"/>
      <c r="K610" s="4"/>
      <c r="L610" s="4"/>
      <c r="M610" s="4"/>
      <c r="N610" s="4"/>
      <c r="O610" s="4"/>
      <c r="P610" s="4"/>
      <c r="Q610" s="4"/>
      <c r="R610" s="4"/>
      <c r="S610" s="4"/>
      <c r="T610" s="4"/>
      <c r="U610" s="4"/>
      <c r="V610" s="4"/>
      <c r="W610" s="4"/>
      <c r="X610" s="4"/>
      <c r="Y610" s="4"/>
      <c r="Z610" s="4"/>
    </row>
    <row r="611" ht="14.25" customHeight="1">
      <c r="A611" s="2"/>
      <c r="B611" s="4"/>
      <c r="C611" s="2"/>
      <c r="D611" s="2"/>
      <c r="E611" s="4"/>
      <c r="F611" s="2"/>
      <c r="G611" s="4"/>
      <c r="H611" s="4"/>
      <c r="I611" s="4"/>
      <c r="J611" s="4"/>
      <c r="K611" s="4"/>
      <c r="L611" s="4"/>
      <c r="M611" s="4"/>
      <c r="N611" s="4"/>
      <c r="O611" s="4"/>
      <c r="P611" s="4"/>
      <c r="Q611" s="4"/>
      <c r="R611" s="4"/>
      <c r="S611" s="4"/>
      <c r="T611" s="4"/>
      <c r="U611" s="4"/>
      <c r="V611" s="4"/>
      <c r="W611" s="4"/>
      <c r="X611" s="4"/>
      <c r="Y611" s="4"/>
      <c r="Z611" s="4"/>
    </row>
    <row r="612" ht="14.25" customHeight="1">
      <c r="A612" s="2"/>
      <c r="B612" s="4"/>
      <c r="C612" s="2"/>
      <c r="D612" s="2"/>
      <c r="E612" s="4"/>
      <c r="F612" s="2"/>
      <c r="G612" s="4"/>
      <c r="H612" s="4"/>
      <c r="I612" s="4"/>
      <c r="J612" s="4"/>
      <c r="K612" s="4"/>
      <c r="L612" s="4"/>
      <c r="M612" s="4"/>
      <c r="N612" s="4"/>
      <c r="O612" s="4"/>
      <c r="P612" s="4"/>
      <c r="Q612" s="4"/>
      <c r="R612" s="4"/>
      <c r="S612" s="4"/>
      <c r="T612" s="4"/>
      <c r="U612" s="4"/>
      <c r="V612" s="4"/>
      <c r="W612" s="4"/>
      <c r="X612" s="4"/>
      <c r="Y612" s="4"/>
      <c r="Z612" s="4"/>
    </row>
    <row r="613" ht="14.25" customHeight="1">
      <c r="A613" s="2"/>
      <c r="B613" s="4"/>
      <c r="C613" s="2"/>
      <c r="D613" s="2"/>
      <c r="E613" s="4"/>
      <c r="F613" s="2"/>
      <c r="G613" s="4"/>
      <c r="H613" s="4"/>
      <c r="I613" s="4"/>
      <c r="J613" s="4"/>
      <c r="K613" s="4"/>
      <c r="L613" s="4"/>
      <c r="M613" s="4"/>
      <c r="N613" s="4"/>
      <c r="O613" s="4"/>
      <c r="P613" s="4"/>
      <c r="Q613" s="4"/>
      <c r="R613" s="4"/>
      <c r="S613" s="4"/>
      <c r="T613" s="4"/>
      <c r="U613" s="4"/>
      <c r="V613" s="4"/>
      <c r="W613" s="4"/>
      <c r="X613" s="4"/>
      <c r="Y613" s="4"/>
      <c r="Z613" s="4"/>
    </row>
    <row r="614" ht="14.25" customHeight="1">
      <c r="A614" s="2"/>
      <c r="B614" s="4"/>
      <c r="C614" s="2"/>
      <c r="D614" s="2"/>
      <c r="E614" s="4"/>
      <c r="F614" s="2"/>
      <c r="G614" s="4"/>
      <c r="H614" s="4"/>
      <c r="I614" s="4"/>
      <c r="J614" s="4"/>
      <c r="K614" s="4"/>
      <c r="L614" s="4"/>
      <c r="M614" s="4"/>
      <c r="N614" s="4"/>
      <c r="O614" s="4"/>
      <c r="P614" s="4"/>
      <c r="Q614" s="4"/>
      <c r="R614" s="4"/>
      <c r="S614" s="4"/>
      <c r="T614" s="4"/>
      <c r="U614" s="4"/>
      <c r="V614" s="4"/>
      <c r="W614" s="4"/>
      <c r="X614" s="4"/>
      <c r="Y614" s="4"/>
      <c r="Z614" s="4"/>
    </row>
    <row r="615" ht="14.25" customHeight="1">
      <c r="A615" s="2"/>
      <c r="B615" s="4"/>
      <c r="C615" s="2"/>
      <c r="D615" s="2"/>
      <c r="E615" s="4"/>
      <c r="F615" s="2"/>
      <c r="G615" s="4"/>
      <c r="H615" s="4"/>
      <c r="I615" s="4"/>
      <c r="J615" s="4"/>
      <c r="K615" s="4"/>
      <c r="L615" s="4"/>
      <c r="M615" s="4"/>
      <c r="N615" s="4"/>
      <c r="O615" s="4"/>
      <c r="P615" s="4"/>
      <c r="Q615" s="4"/>
      <c r="R615" s="4"/>
      <c r="S615" s="4"/>
      <c r="T615" s="4"/>
      <c r="U615" s="4"/>
      <c r="V615" s="4"/>
      <c r="W615" s="4"/>
      <c r="X615" s="4"/>
      <c r="Y615" s="4"/>
      <c r="Z615" s="4"/>
    </row>
    <row r="616" ht="14.25" customHeight="1">
      <c r="A616" s="2"/>
      <c r="B616" s="4"/>
      <c r="C616" s="2"/>
      <c r="D616" s="2"/>
      <c r="E616" s="4"/>
      <c r="F616" s="2"/>
      <c r="G616" s="4"/>
      <c r="H616" s="4"/>
      <c r="I616" s="4"/>
      <c r="J616" s="4"/>
      <c r="K616" s="4"/>
      <c r="L616" s="4"/>
      <c r="M616" s="4"/>
      <c r="N616" s="4"/>
      <c r="O616" s="4"/>
      <c r="P616" s="4"/>
      <c r="Q616" s="4"/>
      <c r="R616" s="4"/>
      <c r="S616" s="4"/>
      <c r="T616" s="4"/>
      <c r="U616" s="4"/>
      <c r="V616" s="4"/>
      <c r="W616" s="4"/>
      <c r="X616" s="4"/>
      <c r="Y616" s="4"/>
      <c r="Z616" s="4"/>
    </row>
    <row r="617" ht="14.25" customHeight="1">
      <c r="A617" s="2"/>
      <c r="B617" s="4"/>
      <c r="C617" s="2"/>
      <c r="D617" s="2"/>
      <c r="E617" s="4"/>
      <c r="F617" s="2"/>
      <c r="G617" s="4"/>
      <c r="H617" s="4"/>
      <c r="I617" s="4"/>
      <c r="J617" s="4"/>
      <c r="K617" s="4"/>
      <c r="L617" s="4"/>
      <c r="M617" s="4"/>
      <c r="N617" s="4"/>
      <c r="O617" s="4"/>
      <c r="P617" s="4"/>
      <c r="Q617" s="4"/>
      <c r="R617" s="4"/>
      <c r="S617" s="4"/>
      <c r="T617" s="4"/>
      <c r="U617" s="4"/>
      <c r="V617" s="4"/>
      <c r="W617" s="4"/>
      <c r="X617" s="4"/>
      <c r="Y617" s="4"/>
      <c r="Z617" s="4"/>
    </row>
    <row r="618" ht="14.25" customHeight="1">
      <c r="A618" s="2"/>
      <c r="B618" s="4"/>
      <c r="C618" s="2"/>
      <c r="D618" s="2"/>
      <c r="E618" s="4"/>
      <c r="F618" s="2"/>
      <c r="G618" s="4"/>
      <c r="H618" s="4"/>
      <c r="I618" s="4"/>
      <c r="J618" s="4"/>
      <c r="K618" s="4"/>
      <c r="L618" s="4"/>
      <c r="M618" s="4"/>
      <c r="N618" s="4"/>
      <c r="O618" s="4"/>
      <c r="P618" s="4"/>
      <c r="Q618" s="4"/>
      <c r="R618" s="4"/>
      <c r="S618" s="4"/>
      <c r="T618" s="4"/>
      <c r="U618" s="4"/>
      <c r="V618" s="4"/>
      <c r="W618" s="4"/>
      <c r="X618" s="4"/>
      <c r="Y618" s="4"/>
      <c r="Z618" s="4"/>
    </row>
    <row r="619" ht="14.25" customHeight="1">
      <c r="A619" s="2"/>
      <c r="B619" s="4"/>
      <c r="C619" s="2"/>
      <c r="D619" s="2"/>
      <c r="E619" s="4"/>
      <c r="F619" s="2"/>
      <c r="G619" s="4"/>
      <c r="H619" s="4"/>
      <c r="I619" s="4"/>
      <c r="J619" s="4"/>
      <c r="K619" s="4"/>
      <c r="L619" s="4"/>
      <c r="M619" s="4"/>
      <c r="N619" s="4"/>
      <c r="O619" s="4"/>
      <c r="P619" s="4"/>
      <c r="Q619" s="4"/>
      <c r="R619" s="4"/>
      <c r="S619" s="4"/>
      <c r="T619" s="4"/>
      <c r="U619" s="4"/>
      <c r="V619" s="4"/>
      <c r="W619" s="4"/>
      <c r="X619" s="4"/>
      <c r="Y619" s="4"/>
      <c r="Z619" s="4"/>
    </row>
    <row r="620" ht="14.25" customHeight="1">
      <c r="A620" s="2"/>
      <c r="B620" s="4"/>
      <c r="C620" s="2"/>
      <c r="D620" s="2"/>
      <c r="E620" s="4"/>
      <c r="F620" s="2"/>
      <c r="G620" s="4"/>
      <c r="H620" s="4"/>
      <c r="I620" s="4"/>
      <c r="J620" s="4"/>
      <c r="K620" s="4"/>
      <c r="L620" s="4"/>
      <c r="M620" s="4"/>
      <c r="N620" s="4"/>
      <c r="O620" s="4"/>
      <c r="P620" s="4"/>
      <c r="Q620" s="4"/>
      <c r="R620" s="4"/>
      <c r="S620" s="4"/>
      <c r="T620" s="4"/>
      <c r="U620" s="4"/>
      <c r="V620" s="4"/>
      <c r="W620" s="4"/>
      <c r="X620" s="4"/>
      <c r="Y620" s="4"/>
      <c r="Z620" s="4"/>
    </row>
    <row r="621" ht="14.25" customHeight="1">
      <c r="A621" s="2"/>
      <c r="B621" s="4"/>
      <c r="C621" s="2"/>
      <c r="D621" s="2"/>
      <c r="E621" s="4"/>
      <c r="F621" s="2"/>
      <c r="G621" s="4"/>
      <c r="H621" s="4"/>
      <c r="I621" s="4"/>
      <c r="J621" s="4"/>
      <c r="K621" s="4"/>
      <c r="L621" s="4"/>
      <c r="M621" s="4"/>
      <c r="N621" s="4"/>
      <c r="O621" s="4"/>
      <c r="P621" s="4"/>
      <c r="Q621" s="4"/>
      <c r="R621" s="4"/>
      <c r="S621" s="4"/>
      <c r="T621" s="4"/>
      <c r="U621" s="4"/>
      <c r="V621" s="4"/>
      <c r="W621" s="4"/>
      <c r="X621" s="4"/>
      <c r="Y621" s="4"/>
      <c r="Z621" s="4"/>
    </row>
    <row r="622" ht="14.25" customHeight="1">
      <c r="A622" s="2"/>
      <c r="B622" s="4"/>
      <c r="C622" s="2"/>
      <c r="D622" s="2"/>
      <c r="E622" s="4"/>
      <c r="F622" s="2"/>
      <c r="G622" s="4"/>
      <c r="H622" s="4"/>
      <c r="I622" s="4"/>
      <c r="J622" s="4"/>
      <c r="K622" s="4"/>
      <c r="L622" s="4"/>
      <c r="M622" s="4"/>
      <c r="N622" s="4"/>
      <c r="O622" s="4"/>
      <c r="P622" s="4"/>
      <c r="Q622" s="4"/>
      <c r="R622" s="4"/>
      <c r="S622" s="4"/>
      <c r="T622" s="4"/>
      <c r="U622" s="4"/>
      <c r="V622" s="4"/>
      <c r="W622" s="4"/>
      <c r="X622" s="4"/>
      <c r="Y622" s="4"/>
      <c r="Z622" s="4"/>
    </row>
    <row r="623" ht="14.25" customHeight="1">
      <c r="A623" s="2"/>
      <c r="B623" s="4"/>
      <c r="C623" s="2"/>
      <c r="D623" s="2"/>
      <c r="E623" s="4"/>
      <c r="F623" s="2"/>
      <c r="G623" s="4"/>
      <c r="H623" s="4"/>
      <c r="I623" s="4"/>
      <c r="J623" s="4"/>
      <c r="K623" s="4"/>
      <c r="L623" s="4"/>
      <c r="M623" s="4"/>
      <c r="N623" s="4"/>
      <c r="O623" s="4"/>
      <c r="P623" s="4"/>
      <c r="Q623" s="4"/>
      <c r="R623" s="4"/>
      <c r="S623" s="4"/>
      <c r="T623" s="4"/>
      <c r="U623" s="4"/>
      <c r="V623" s="4"/>
      <c r="W623" s="4"/>
      <c r="X623" s="4"/>
      <c r="Y623" s="4"/>
      <c r="Z623" s="4"/>
    </row>
    <row r="624" ht="14.25" customHeight="1">
      <c r="A624" s="2"/>
      <c r="B624" s="4"/>
      <c r="C624" s="2"/>
      <c r="D624" s="2"/>
      <c r="E624" s="4"/>
      <c r="F624" s="2"/>
      <c r="G624" s="4"/>
      <c r="H624" s="4"/>
      <c r="I624" s="4"/>
      <c r="J624" s="4"/>
      <c r="K624" s="4"/>
      <c r="L624" s="4"/>
      <c r="M624" s="4"/>
      <c r="N624" s="4"/>
      <c r="O624" s="4"/>
      <c r="P624" s="4"/>
      <c r="Q624" s="4"/>
      <c r="R624" s="4"/>
      <c r="S624" s="4"/>
      <c r="T624" s="4"/>
      <c r="U624" s="4"/>
      <c r="V624" s="4"/>
      <c r="W624" s="4"/>
      <c r="X624" s="4"/>
      <c r="Y624" s="4"/>
      <c r="Z624" s="4"/>
    </row>
    <row r="625" ht="14.25" customHeight="1">
      <c r="A625" s="2"/>
      <c r="B625" s="4"/>
      <c r="C625" s="2"/>
      <c r="D625" s="2"/>
      <c r="E625" s="4"/>
      <c r="F625" s="2"/>
      <c r="G625" s="4"/>
      <c r="H625" s="4"/>
      <c r="I625" s="4"/>
      <c r="J625" s="4"/>
      <c r="K625" s="4"/>
      <c r="L625" s="4"/>
      <c r="M625" s="4"/>
      <c r="N625" s="4"/>
      <c r="O625" s="4"/>
      <c r="P625" s="4"/>
      <c r="Q625" s="4"/>
      <c r="R625" s="4"/>
      <c r="S625" s="4"/>
      <c r="T625" s="4"/>
      <c r="U625" s="4"/>
      <c r="V625" s="4"/>
      <c r="W625" s="4"/>
      <c r="X625" s="4"/>
      <c r="Y625" s="4"/>
      <c r="Z625" s="4"/>
    </row>
    <row r="626" ht="14.25" customHeight="1">
      <c r="A626" s="2"/>
      <c r="B626" s="4"/>
      <c r="C626" s="2"/>
      <c r="D626" s="2"/>
      <c r="E626" s="4"/>
      <c r="F626" s="2"/>
      <c r="G626" s="4"/>
      <c r="H626" s="4"/>
      <c r="I626" s="4"/>
      <c r="J626" s="4"/>
      <c r="K626" s="4"/>
      <c r="L626" s="4"/>
      <c r="M626" s="4"/>
      <c r="N626" s="4"/>
      <c r="O626" s="4"/>
      <c r="P626" s="4"/>
      <c r="Q626" s="4"/>
      <c r="R626" s="4"/>
      <c r="S626" s="4"/>
      <c r="T626" s="4"/>
      <c r="U626" s="4"/>
      <c r="V626" s="4"/>
      <c r="W626" s="4"/>
      <c r="X626" s="4"/>
      <c r="Y626" s="4"/>
      <c r="Z626" s="4"/>
    </row>
    <row r="627" ht="14.25" customHeight="1">
      <c r="A627" s="2"/>
      <c r="B627" s="4"/>
      <c r="C627" s="2"/>
      <c r="D627" s="2"/>
      <c r="E627" s="4"/>
      <c r="F627" s="2"/>
      <c r="G627" s="4"/>
      <c r="H627" s="4"/>
      <c r="I627" s="4"/>
      <c r="J627" s="4"/>
      <c r="K627" s="4"/>
      <c r="L627" s="4"/>
      <c r="M627" s="4"/>
      <c r="N627" s="4"/>
      <c r="O627" s="4"/>
      <c r="P627" s="4"/>
      <c r="Q627" s="4"/>
      <c r="R627" s="4"/>
      <c r="S627" s="4"/>
      <c r="T627" s="4"/>
      <c r="U627" s="4"/>
      <c r="V627" s="4"/>
      <c r="W627" s="4"/>
      <c r="X627" s="4"/>
      <c r="Y627" s="4"/>
      <c r="Z627" s="4"/>
    </row>
    <row r="628" ht="14.25" customHeight="1">
      <c r="A628" s="2"/>
      <c r="B628" s="4"/>
      <c r="C628" s="2"/>
      <c r="D628" s="2"/>
      <c r="E628" s="4"/>
      <c r="F628" s="2"/>
      <c r="G628" s="4"/>
      <c r="H628" s="4"/>
      <c r="I628" s="4"/>
      <c r="J628" s="4"/>
      <c r="K628" s="4"/>
      <c r="L628" s="4"/>
      <c r="M628" s="4"/>
      <c r="N628" s="4"/>
      <c r="O628" s="4"/>
      <c r="P628" s="4"/>
      <c r="Q628" s="4"/>
      <c r="R628" s="4"/>
      <c r="S628" s="4"/>
      <c r="T628" s="4"/>
      <c r="U628" s="4"/>
      <c r="V628" s="4"/>
      <c r="W628" s="4"/>
      <c r="X628" s="4"/>
      <c r="Y628" s="4"/>
      <c r="Z628" s="4"/>
    </row>
    <row r="629" ht="14.25" customHeight="1">
      <c r="A629" s="2"/>
      <c r="B629" s="4"/>
      <c r="C629" s="2"/>
      <c r="D629" s="2"/>
      <c r="E629" s="4"/>
      <c r="F629" s="2"/>
      <c r="G629" s="4"/>
      <c r="H629" s="4"/>
      <c r="I629" s="4"/>
      <c r="J629" s="4"/>
      <c r="K629" s="4"/>
      <c r="L629" s="4"/>
      <c r="M629" s="4"/>
      <c r="N629" s="4"/>
      <c r="O629" s="4"/>
      <c r="P629" s="4"/>
      <c r="Q629" s="4"/>
      <c r="R629" s="4"/>
      <c r="S629" s="4"/>
      <c r="T629" s="4"/>
      <c r="U629" s="4"/>
      <c r="V629" s="4"/>
      <c r="W629" s="4"/>
      <c r="X629" s="4"/>
      <c r="Y629" s="4"/>
      <c r="Z629" s="4"/>
    </row>
    <row r="630" ht="14.25" customHeight="1">
      <c r="A630" s="2"/>
      <c r="B630" s="4"/>
      <c r="C630" s="2"/>
      <c r="D630" s="2"/>
      <c r="E630" s="4"/>
      <c r="F630" s="2"/>
      <c r="G630" s="4"/>
      <c r="H630" s="4"/>
      <c r="I630" s="4"/>
      <c r="J630" s="4"/>
      <c r="K630" s="4"/>
      <c r="L630" s="4"/>
      <c r="M630" s="4"/>
      <c r="N630" s="4"/>
      <c r="O630" s="4"/>
      <c r="P630" s="4"/>
      <c r="Q630" s="4"/>
      <c r="R630" s="4"/>
      <c r="S630" s="4"/>
      <c r="T630" s="4"/>
      <c r="U630" s="4"/>
      <c r="V630" s="4"/>
      <c r="W630" s="4"/>
      <c r="X630" s="4"/>
      <c r="Y630" s="4"/>
      <c r="Z630" s="4"/>
    </row>
    <row r="631" ht="14.25" customHeight="1">
      <c r="A631" s="2"/>
      <c r="B631" s="4"/>
      <c r="C631" s="2"/>
      <c r="D631" s="2"/>
      <c r="E631" s="4"/>
      <c r="F631" s="2"/>
      <c r="G631" s="4"/>
      <c r="H631" s="4"/>
      <c r="I631" s="4"/>
      <c r="J631" s="4"/>
      <c r="K631" s="4"/>
      <c r="L631" s="4"/>
      <c r="M631" s="4"/>
      <c r="N631" s="4"/>
      <c r="O631" s="4"/>
      <c r="P631" s="4"/>
      <c r="Q631" s="4"/>
      <c r="R631" s="4"/>
      <c r="S631" s="4"/>
      <c r="T631" s="4"/>
      <c r="U631" s="4"/>
      <c r="V631" s="4"/>
      <c r="W631" s="4"/>
      <c r="X631" s="4"/>
      <c r="Y631" s="4"/>
      <c r="Z631" s="4"/>
    </row>
    <row r="632" ht="14.25" customHeight="1">
      <c r="A632" s="2"/>
      <c r="B632" s="4"/>
      <c r="C632" s="2"/>
      <c r="D632" s="2"/>
      <c r="E632" s="4"/>
      <c r="F632" s="2"/>
      <c r="G632" s="4"/>
      <c r="H632" s="4"/>
      <c r="I632" s="4"/>
      <c r="J632" s="4"/>
      <c r="K632" s="4"/>
      <c r="L632" s="4"/>
      <c r="M632" s="4"/>
      <c r="N632" s="4"/>
      <c r="O632" s="4"/>
      <c r="P632" s="4"/>
      <c r="Q632" s="4"/>
      <c r="R632" s="4"/>
      <c r="S632" s="4"/>
      <c r="T632" s="4"/>
      <c r="U632" s="4"/>
      <c r="V632" s="4"/>
      <c r="W632" s="4"/>
      <c r="X632" s="4"/>
      <c r="Y632" s="4"/>
      <c r="Z632" s="4"/>
    </row>
    <row r="633" ht="14.25" customHeight="1">
      <c r="A633" s="2"/>
      <c r="B633" s="4"/>
      <c r="C633" s="2"/>
      <c r="D633" s="2"/>
      <c r="E633" s="4"/>
      <c r="F633" s="2"/>
      <c r="G633" s="4"/>
      <c r="H633" s="4"/>
      <c r="I633" s="4"/>
      <c r="J633" s="4"/>
      <c r="K633" s="4"/>
      <c r="L633" s="4"/>
      <c r="M633" s="4"/>
      <c r="N633" s="4"/>
      <c r="O633" s="4"/>
      <c r="P633" s="4"/>
      <c r="Q633" s="4"/>
      <c r="R633" s="4"/>
      <c r="S633" s="4"/>
      <c r="T633" s="4"/>
      <c r="U633" s="4"/>
      <c r="V633" s="4"/>
      <c r="W633" s="4"/>
      <c r="X633" s="4"/>
      <c r="Y633" s="4"/>
      <c r="Z633" s="4"/>
    </row>
    <row r="634" ht="14.25" customHeight="1">
      <c r="A634" s="2"/>
      <c r="B634" s="4"/>
      <c r="C634" s="2"/>
      <c r="D634" s="2"/>
      <c r="E634" s="4"/>
      <c r="F634" s="2"/>
      <c r="G634" s="4"/>
      <c r="H634" s="4"/>
      <c r="I634" s="4"/>
      <c r="J634" s="4"/>
      <c r="K634" s="4"/>
      <c r="L634" s="4"/>
      <c r="M634" s="4"/>
      <c r="N634" s="4"/>
      <c r="O634" s="4"/>
      <c r="P634" s="4"/>
      <c r="Q634" s="4"/>
      <c r="R634" s="4"/>
      <c r="S634" s="4"/>
      <c r="T634" s="4"/>
      <c r="U634" s="4"/>
      <c r="V634" s="4"/>
      <c r="W634" s="4"/>
      <c r="X634" s="4"/>
      <c r="Y634" s="4"/>
      <c r="Z634" s="4"/>
    </row>
    <row r="635" ht="14.25" customHeight="1">
      <c r="A635" s="2"/>
      <c r="B635" s="4"/>
      <c r="C635" s="2"/>
      <c r="D635" s="2"/>
      <c r="E635" s="4"/>
      <c r="F635" s="2"/>
      <c r="G635" s="4"/>
      <c r="H635" s="4"/>
      <c r="I635" s="4"/>
      <c r="J635" s="4"/>
      <c r="K635" s="4"/>
      <c r="L635" s="4"/>
      <c r="M635" s="4"/>
      <c r="N635" s="4"/>
      <c r="O635" s="4"/>
      <c r="P635" s="4"/>
      <c r="Q635" s="4"/>
      <c r="R635" s="4"/>
      <c r="S635" s="4"/>
      <c r="T635" s="4"/>
      <c r="U635" s="4"/>
      <c r="V635" s="4"/>
      <c r="W635" s="4"/>
      <c r="X635" s="4"/>
      <c r="Y635" s="4"/>
      <c r="Z635" s="4"/>
    </row>
    <row r="636" ht="14.25" customHeight="1">
      <c r="A636" s="2"/>
      <c r="B636" s="4"/>
      <c r="C636" s="2"/>
      <c r="D636" s="2"/>
      <c r="E636" s="4"/>
      <c r="F636" s="2"/>
      <c r="G636" s="4"/>
      <c r="H636" s="4"/>
      <c r="I636" s="4"/>
      <c r="J636" s="4"/>
      <c r="K636" s="4"/>
      <c r="L636" s="4"/>
      <c r="M636" s="4"/>
      <c r="N636" s="4"/>
      <c r="O636" s="4"/>
      <c r="P636" s="4"/>
      <c r="Q636" s="4"/>
      <c r="R636" s="4"/>
      <c r="S636" s="4"/>
      <c r="T636" s="4"/>
      <c r="U636" s="4"/>
      <c r="V636" s="4"/>
      <c r="W636" s="4"/>
      <c r="X636" s="4"/>
      <c r="Y636" s="4"/>
      <c r="Z636" s="4"/>
    </row>
    <row r="637" ht="14.25" customHeight="1">
      <c r="A637" s="2"/>
      <c r="B637" s="4"/>
      <c r="C637" s="2"/>
      <c r="D637" s="2"/>
      <c r="E637" s="4"/>
      <c r="F637" s="2"/>
      <c r="G637" s="4"/>
      <c r="H637" s="4"/>
      <c r="I637" s="4"/>
      <c r="J637" s="4"/>
      <c r="K637" s="4"/>
      <c r="L637" s="4"/>
      <c r="M637" s="4"/>
      <c r="N637" s="4"/>
      <c r="O637" s="4"/>
      <c r="P637" s="4"/>
      <c r="Q637" s="4"/>
      <c r="R637" s="4"/>
      <c r="S637" s="4"/>
      <c r="T637" s="4"/>
      <c r="U637" s="4"/>
      <c r="V637" s="4"/>
      <c r="W637" s="4"/>
      <c r="X637" s="4"/>
      <c r="Y637" s="4"/>
      <c r="Z637" s="4"/>
    </row>
    <row r="638" ht="14.25" customHeight="1">
      <c r="A638" s="2"/>
      <c r="B638" s="4"/>
      <c r="C638" s="2"/>
      <c r="D638" s="2"/>
      <c r="E638" s="4"/>
      <c r="F638" s="2"/>
      <c r="G638" s="4"/>
      <c r="H638" s="4"/>
      <c r="I638" s="4"/>
      <c r="J638" s="4"/>
      <c r="K638" s="4"/>
      <c r="L638" s="4"/>
      <c r="M638" s="4"/>
      <c r="N638" s="4"/>
      <c r="O638" s="4"/>
      <c r="P638" s="4"/>
      <c r="Q638" s="4"/>
      <c r="R638" s="4"/>
      <c r="S638" s="4"/>
      <c r="T638" s="4"/>
      <c r="U638" s="4"/>
      <c r="V638" s="4"/>
      <c r="W638" s="4"/>
      <c r="X638" s="4"/>
      <c r="Y638" s="4"/>
      <c r="Z638" s="4"/>
    </row>
    <row r="639" ht="14.25" customHeight="1">
      <c r="A639" s="2"/>
      <c r="B639" s="4"/>
      <c r="C639" s="2"/>
      <c r="D639" s="2"/>
      <c r="E639" s="4"/>
      <c r="F639" s="2"/>
      <c r="G639" s="4"/>
      <c r="H639" s="4"/>
      <c r="I639" s="4"/>
      <c r="J639" s="4"/>
      <c r="K639" s="4"/>
      <c r="L639" s="4"/>
      <c r="M639" s="4"/>
      <c r="N639" s="4"/>
      <c r="O639" s="4"/>
      <c r="P639" s="4"/>
      <c r="Q639" s="4"/>
      <c r="R639" s="4"/>
      <c r="S639" s="4"/>
      <c r="T639" s="4"/>
      <c r="U639" s="4"/>
      <c r="V639" s="4"/>
      <c r="W639" s="4"/>
      <c r="X639" s="4"/>
      <c r="Y639" s="4"/>
      <c r="Z639" s="4"/>
    </row>
    <row r="640" ht="14.25" customHeight="1">
      <c r="A640" s="2"/>
      <c r="B640" s="4"/>
      <c r="C640" s="2"/>
      <c r="D640" s="2"/>
      <c r="E640" s="4"/>
      <c r="F640" s="2"/>
      <c r="G640" s="4"/>
      <c r="H640" s="4"/>
      <c r="I640" s="4"/>
      <c r="J640" s="4"/>
      <c r="K640" s="4"/>
      <c r="L640" s="4"/>
      <c r="M640" s="4"/>
      <c r="N640" s="4"/>
      <c r="O640" s="4"/>
      <c r="P640" s="4"/>
      <c r="Q640" s="4"/>
      <c r="R640" s="4"/>
      <c r="S640" s="4"/>
      <c r="T640" s="4"/>
      <c r="U640" s="4"/>
      <c r="V640" s="4"/>
      <c r="W640" s="4"/>
      <c r="X640" s="4"/>
      <c r="Y640" s="4"/>
      <c r="Z640" s="4"/>
    </row>
    <row r="641" ht="14.25" customHeight="1">
      <c r="A641" s="2"/>
      <c r="B641" s="4"/>
      <c r="C641" s="2"/>
      <c r="D641" s="2"/>
      <c r="E641" s="4"/>
      <c r="F641" s="2"/>
      <c r="G641" s="4"/>
      <c r="H641" s="4"/>
      <c r="I641" s="4"/>
      <c r="J641" s="4"/>
      <c r="K641" s="4"/>
      <c r="L641" s="4"/>
      <c r="M641" s="4"/>
      <c r="N641" s="4"/>
      <c r="O641" s="4"/>
      <c r="P641" s="4"/>
      <c r="Q641" s="4"/>
      <c r="R641" s="4"/>
      <c r="S641" s="4"/>
      <c r="T641" s="4"/>
      <c r="U641" s="4"/>
      <c r="V641" s="4"/>
      <c r="W641" s="4"/>
      <c r="X641" s="4"/>
      <c r="Y641" s="4"/>
      <c r="Z641" s="4"/>
    </row>
    <row r="642" ht="14.25" customHeight="1">
      <c r="A642" s="2"/>
      <c r="B642" s="4"/>
      <c r="C642" s="2"/>
      <c r="D642" s="2"/>
      <c r="E642" s="4"/>
      <c r="F642" s="2"/>
      <c r="G642" s="4"/>
      <c r="H642" s="4"/>
      <c r="I642" s="4"/>
      <c r="J642" s="4"/>
      <c r="K642" s="4"/>
      <c r="L642" s="4"/>
      <c r="M642" s="4"/>
      <c r="N642" s="4"/>
      <c r="O642" s="4"/>
      <c r="P642" s="4"/>
      <c r="Q642" s="4"/>
      <c r="R642" s="4"/>
      <c r="S642" s="4"/>
      <c r="T642" s="4"/>
      <c r="U642" s="4"/>
      <c r="V642" s="4"/>
      <c r="W642" s="4"/>
      <c r="X642" s="4"/>
      <c r="Y642" s="4"/>
      <c r="Z642" s="4"/>
    </row>
    <row r="643" ht="14.25" customHeight="1">
      <c r="A643" s="2"/>
      <c r="B643" s="4"/>
      <c r="C643" s="2"/>
      <c r="D643" s="2"/>
      <c r="E643" s="4"/>
      <c r="F643" s="2"/>
      <c r="G643" s="4"/>
      <c r="H643" s="4"/>
      <c r="I643" s="4"/>
      <c r="J643" s="4"/>
      <c r="K643" s="4"/>
      <c r="L643" s="4"/>
      <c r="M643" s="4"/>
      <c r="N643" s="4"/>
      <c r="O643" s="4"/>
      <c r="P643" s="4"/>
      <c r="Q643" s="4"/>
      <c r="R643" s="4"/>
      <c r="S643" s="4"/>
      <c r="T643" s="4"/>
      <c r="U643" s="4"/>
      <c r="V643" s="4"/>
      <c r="W643" s="4"/>
      <c r="X643" s="4"/>
      <c r="Y643" s="4"/>
      <c r="Z643" s="4"/>
    </row>
    <row r="644" ht="14.25" customHeight="1">
      <c r="A644" s="2"/>
      <c r="B644" s="4"/>
      <c r="C644" s="2"/>
      <c r="D644" s="2"/>
      <c r="E644" s="4"/>
      <c r="F644" s="2"/>
      <c r="G644" s="4"/>
      <c r="H644" s="4"/>
      <c r="I644" s="4"/>
      <c r="J644" s="4"/>
      <c r="K644" s="4"/>
      <c r="L644" s="4"/>
      <c r="M644" s="4"/>
      <c r="N644" s="4"/>
      <c r="O644" s="4"/>
      <c r="P644" s="4"/>
      <c r="Q644" s="4"/>
      <c r="R644" s="4"/>
      <c r="S644" s="4"/>
      <c r="T644" s="4"/>
      <c r="U644" s="4"/>
      <c r="V644" s="4"/>
      <c r="W644" s="4"/>
      <c r="X644" s="4"/>
      <c r="Y644" s="4"/>
      <c r="Z644" s="4"/>
    </row>
    <row r="645" ht="14.25" customHeight="1">
      <c r="A645" s="2"/>
      <c r="B645" s="4"/>
      <c r="C645" s="2"/>
      <c r="D645" s="2"/>
      <c r="E645" s="4"/>
      <c r="F645" s="2"/>
      <c r="G645" s="4"/>
      <c r="H645" s="4"/>
      <c r="I645" s="4"/>
      <c r="J645" s="4"/>
      <c r="K645" s="4"/>
      <c r="L645" s="4"/>
      <c r="M645" s="4"/>
      <c r="N645" s="4"/>
      <c r="O645" s="4"/>
      <c r="P645" s="4"/>
      <c r="Q645" s="4"/>
      <c r="R645" s="4"/>
      <c r="S645" s="4"/>
      <c r="T645" s="4"/>
      <c r="U645" s="4"/>
      <c r="V645" s="4"/>
      <c r="W645" s="4"/>
      <c r="X645" s="4"/>
      <c r="Y645" s="4"/>
      <c r="Z645" s="4"/>
    </row>
    <row r="646" ht="14.25" customHeight="1">
      <c r="A646" s="2"/>
      <c r="B646" s="4"/>
      <c r="C646" s="2"/>
      <c r="D646" s="2"/>
      <c r="E646" s="4"/>
      <c r="F646" s="2"/>
      <c r="G646" s="4"/>
      <c r="H646" s="4"/>
      <c r="I646" s="4"/>
      <c r="J646" s="4"/>
      <c r="K646" s="4"/>
      <c r="L646" s="4"/>
      <c r="M646" s="4"/>
      <c r="N646" s="4"/>
      <c r="O646" s="4"/>
      <c r="P646" s="4"/>
      <c r="Q646" s="4"/>
      <c r="R646" s="4"/>
      <c r="S646" s="4"/>
      <c r="T646" s="4"/>
      <c r="U646" s="4"/>
      <c r="V646" s="4"/>
      <c r="W646" s="4"/>
      <c r="X646" s="4"/>
      <c r="Y646" s="4"/>
      <c r="Z646" s="4"/>
    </row>
    <row r="647" ht="14.25" customHeight="1">
      <c r="A647" s="2"/>
      <c r="B647" s="4"/>
      <c r="C647" s="2"/>
      <c r="D647" s="2"/>
      <c r="E647" s="4"/>
      <c r="F647" s="2"/>
      <c r="G647" s="4"/>
      <c r="H647" s="4"/>
      <c r="I647" s="4"/>
      <c r="J647" s="4"/>
      <c r="K647" s="4"/>
      <c r="L647" s="4"/>
      <c r="M647" s="4"/>
      <c r="N647" s="4"/>
      <c r="O647" s="4"/>
      <c r="P647" s="4"/>
      <c r="Q647" s="4"/>
      <c r="R647" s="4"/>
      <c r="S647" s="4"/>
      <c r="T647" s="4"/>
      <c r="U647" s="4"/>
      <c r="V647" s="4"/>
      <c r="W647" s="4"/>
      <c r="X647" s="4"/>
      <c r="Y647" s="4"/>
      <c r="Z647" s="4"/>
    </row>
    <row r="648" ht="14.25" customHeight="1">
      <c r="A648" s="2"/>
      <c r="B648" s="4"/>
      <c r="C648" s="2"/>
      <c r="D648" s="2"/>
      <c r="E648" s="4"/>
      <c r="F648" s="2"/>
      <c r="G648" s="4"/>
      <c r="H648" s="4"/>
      <c r="I648" s="4"/>
      <c r="J648" s="4"/>
      <c r="K648" s="4"/>
      <c r="L648" s="4"/>
      <c r="M648" s="4"/>
      <c r="N648" s="4"/>
      <c r="O648" s="4"/>
      <c r="P648" s="4"/>
      <c r="Q648" s="4"/>
      <c r="R648" s="4"/>
      <c r="S648" s="4"/>
      <c r="T648" s="4"/>
      <c r="U648" s="4"/>
      <c r="V648" s="4"/>
      <c r="W648" s="4"/>
      <c r="X648" s="4"/>
      <c r="Y648" s="4"/>
      <c r="Z648" s="4"/>
    </row>
    <row r="649" ht="14.25" customHeight="1">
      <c r="A649" s="2"/>
      <c r="B649" s="4"/>
      <c r="C649" s="2"/>
      <c r="D649" s="2"/>
      <c r="E649" s="4"/>
      <c r="F649" s="2"/>
      <c r="G649" s="4"/>
      <c r="H649" s="4"/>
      <c r="I649" s="4"/>
      <c r="J649" s="4"/>
      <c r="K649" s="4"/>
      <c r="L649" s="4"/>
      <c r="M649" s="4"/>
      <c r="N649" s="4"/>
      <c r="O649" s="4"/>
      <c r="P649" s="4"/>
      <c r="Q649" s="4"/>
      <c r="R649" s="4"/>
      <c r="S649" s="4"/>
      <c r="T649" s="4"/>
      <c r="U649" s="4"/>
      <c r="V649" s="4"/>
      <c r="W649" s="4"/>
      <c r="X649" s="4"/>
      <c r="Y649" s="4"/>
      <c r="Z649" s="4"/>
    </row>
    <row r="650" ht="14.25" customHeight="1">
      <c r="A650" s="2"/>
      <c r="B650" s="4"/>
      <c r="C650" s="2"/>
      <c r="D650" s="2"/>
      <c r="E650" s="4"/>
      <c r="F650" s="2"/>
      <c r="G650" s="4"/>
      <c r="H650" s="4"/>
      <c r="I650" s="4"/>
      <c r="J650" s="4"/>
      <c r="K650" s="4"/>
      <c r="L650" s="4"/>
      <c r="M650" s="4"/>
      <c r="N650" s="4"/>
      <c r="O650" s="4"/>
      <c r="P650" s="4"/>
      <c r="Q650" s="4"/>
      <c r="R650" s="4"/>
      <c r="S650" s="4"/>
      <c r="T650" s="4"/>
      <c r="U650" s="4"/>
      <c r="V650" s="4"/>
      <c r="W650" s="4"/>
      <c r="X650" s="4"/>
      <c r="Y650" s="4"/>
      <c r="Z650" s="4"/>
    </row>
    <row r="651" ht="14.25" customHeight="1">
      <c r="A651" s="2"/>
      <c r="B651" s="4"/>
      <c r="C651" s="2"/>
      <c r="D651" s="2"/>
      <c r="E651" s="4"/>
      <c r="F651" s="2"/>
      <c r="G651" s="4"/>
      <c r="H651" s="4"/>
      <c r="I651" s="4"/>
      <c r="J651" s="4"/>
      <c r="K651" s="4"/>
      <c r="L651" s="4"/>
      <c r="M651" s="4"/>
      <c r="N651" s="4"/>
      <c r="O651" s="4"/>
      <c r="P651" s="4"/>
      <c r="Q651" s="4"/>
      <c r="R651" s="4"/>
      <c r="S651" s="4"/>
      <c r="T651" s="4"/>
      <c r="U651" s="4"/>
      <c r="V651" s="4"/>
      <c r="W651" s="4"/>
      <c r="X651" s="4"/>
      <c r="Y651" s="4"/>
      <c r="Z651" s="4"/>
    </row>
    <row r="652" ht="14.25" customHeight="1">
      <c r="A652" s="2"/>
      <c r="B652" s="4"/>
      <c r="C652" s="2"/>
      <c r="D652" s="2"/>
      <c r="E652" s="4"/>
      <c r="F652" s="2"/>
      <c r="G652" s="4"/>
      <c r="H652" s="4"/>
      <c r="I652" s="4"/>
      <c r="J652" s="4"/>
      <c r="K652" s="4"/>
      <c r="L652" s="4"/>
      <c r="M652" s="4"/>
      <c r="N652" s="4"/>
      <c r="O652" s="4"/>
      <c r="P652" s="4"/>
      <c r="Q652" s="4"/>
      <c r="R652" s="4"/>
      <c r="S652" s="4"/>
      <c r="T652" s="4"/>
      <c r="U652" s="4"/>
      <c r="V652" s="4"/>
      <c r="W652" s="4"/>
      <c r="X652" s="4"/>
      <c r="Y652" s="4"/>
      <c r="Z652" s="4"/>
    </row>
    <row r="653" ht="14.25" customHeight="1">
      <c r="A653" s="2"/>
      <c r="B653" s="4"/>
      <c r="C653" s="2"/>
      <c r="D653" s="2"/>
      <c r="E653" s="4"/>
      <c r="F653" s="2"/>
      <c r="G653" s="4"/>
      <c r="H653" s="4"/>
      <c r="I653" s="4"/>
      <c r="J653" s="4"/>
      <c r="K653" s="4"/>
      <c r="L653" s="4"/>
      <c r="M653" s="4"/>
      <c r="N653" s="4"/>
      <c r="O653" s="4"/>
      <c r="P653" s="4"/>
      <c r="Q653" s="4"/>
      <c r="R653" s="4"/>
      <c r="S653" s="4"/>
      <c r="T653" s="4"/>
      <c r="U653" s="4"/>
      <c r="V653" s="4"/>
      <c r="W653" s="4"/>
      <c r="X653" s="4"/>
      <c r="Y653" s="4"/>
      <c r="Z653" s="4"/>
    </row>
    <row r="654" ht="14.25" customHeight="1">
      <c r="A654" s="2"/>
      <c r="B654" s="4"/>
      <c r="C654" s="2"/>
      <c r="D654" s="2"/>
      <c r="E654" s="4"/>
      <c r="F654" s="2"/>
      <c r="G654" s="4"/>
      <c r="H654" s="4"/>
      <c r="I654" s="4"/>
      <c r="J654" s="4"/>
      <c r="K654" s="4"/>
      <c r="L654" s="4"/>
      <c r="M654" s="4"/>
      <c r="N654" s="4"/>
      <c r="O654" s="4"/>
      <c r="P654" s="4"/>
      <c r="Q654" s="4"/>
      <c r="R654" s="4"/>
      <c r="S654" s="4"/>
      <c r="T654" s="4"/>
      <c r="U654" s="4"/>
      <c r="V654" s="4"/>
      <c r="W654" s="4"/>
      <c r="X654" s="4"/>
      <c r="Y654" s="4"/>
      <c r="Z654" s="4"/>
    </row>
    <row r="655" ht="14.25" customHeight="1">
      <c r="A655" s="2"/>
      <c r="B655" s="4"/>
      <c r="C655" s="2"/>
      <c r="D655" s="2"/>
      <c r="E655" s="4"/>
      <c r="F655" s="2"/>
      <c r="G655" s="4"/>
      <c r="H655" s="4"/>
      <c r="I655" s="4"/>
      <c r="J655" s="4"/>
      <c r="K655" s="4"/>
      <c r="L655" s="4"/>
      <c r="M655" s="4"/>
      <c r="N655" s="4"/>
      <c r="O655" s="4"/>
      <c r="P655" s="4"/>
      <c r="Q655" s="4"/>
      <c r="R655" s="4"/>
      <c r="S655" s="4"/>
      <c r="T655" s="4"/>
      <c r="U655" s="4"/>
      <c r="V655" s="4"/>
      <c r="W655" s="4"/>
      <c r="X655" s="4"/>
      <c r="Y655" s="4"/>
      <c r="Z655" s="4"/>
    </row>
    <row r="656" ht="14.25" customHeight="1">
      <c r="A656" s="2"/>
      <c r="B656" s="4"/>
      <c r="C656" s="2"/>
      <c r="D656" s="2"/>
      <c r="E656" s="4"/>
      <c r="F656" s="2"/>
      <c r="G656" s="4"/>
      <c r="H656" s="4"/>
      <c r="I656" s="4"/>
      <c r="J656" s="4"/>
      <c r="K656" s="4"/>
      <c r="L656" s="4"/>
      <c r="M656" s="4"/>
      <c r="N656" s="4"/>
      <c r="O656" s="4"/>
      <c r="P656" s="4"/>
      <c r="Q656" s="4"/>
      <c r="R656" s="4"/>
      <c r="S656" s="4"/>
      <c r="T656" s="4"/>
      <c r="U656" s="4"/>
      <c r="V656" s="4"/>
      <c r="W656" s="4"/>
      <c r="X656" s="4"/>
      <c r="Y656" s="4"/>
      <c r="Z656" s="4"/>
    </row>
    <row r="657" ht="14.25" customHeight="1">
      <c r="A657" s="2"/>
      <c r="B657" s="4"/>
      <c r="C657" s="2"/>
      <c r="D657" s="2"/>
      <c r="E657" s="4"/>
      <c r="F657" s="2"/>
      <c r="G657" s="4"/>
      <c r="H657" s="4"/>
      <c r="I657" s="4"/>
      <c r="J657" s="4"/>
      <c r="K657" s="4"/>
      <c r="L657" s="4"/>
      <c r="M657" s="4"/>
      <c r="N657" s="4"/>
      <c r="O657" s="4"/>
      <c r="P657" s="4"/>
      <c r="Q657" s="4"/>
      <c r="R657" s="4"/>
      <c r="S657" s="4"/>
      <c r="T657" s="4"/>
      <c r="U657" s="4"/>
      <c r="V657" s="4"/>
      <c r="W657" s="4"/>
      <c r="X657" s="4"/>
      <c r="Y657" s="4"/>
      <c r="Z657" s="4"/>
    </row>
    <row r="658" ht="14.25" customHeight="1">
      <c r="A658" s="2"/>
      <c r="B658" s="4"/>
      <c r="C658" s="2"/>
      <c r="D658" s="2"/>
      <c r="E658" s="4"/>
      <c r="F658" s="2"/>
      <c r="G658" s="4"/>
      <c r="H658" s="4"/>
      <c r="I658" s="4"/>
      <c r="J658" s="4"/>
      <c r="K658" s="4"/>
      <c r="L658" s="4"/>
      <c r="M658" s="4"/>
      <c r="N658" s="4"/>
      <c r="O658" s="4"/>
      <c r="P658" s="4"/>
      <c r="Q658" s="4"/>
      <c r="R658" s="4"/>
      <c r="S658" s="4"/>
      <c r="T658" s="4"/>
      <c r="U658" s="4"/>
      <c r="V658" s="4"/>
      <c r="W658" s="4"/>
      <c r="X658" s="4"/>
      <c r="Y658" s="4"/>
      <c r="Z658" s="4"/>
    </row>
    <row r="659" ht="14.25" customHeight="1">
      <c r="A659" s="2"/>
      <c r="B659" s="4"/>
      <c r="C659" s="2"/>
      <c r="D659" s="2"/>
      <c r="E659" s="4"/>
      <c r="F659" s="2"/>
      <c r="G659" s="4"/>
      <c r="H659" s="4"/>
      <c r="I659" s="4"/>
      <c r="J659" s="4"/>
      <c r="K659" s="4"/>
      <c r="L659" s="4"/>
      <c r="M659" s="4"/>
      <c r="N659" s="4"/>
      <c r="O659" s="4"/>
      <c r="P659" s="4"/>
      <c r="Q659" s="4"/>
      <c r="R659" s="4"/>
      <c r="S659" s="4"/>
      <c r="T659" s="4"/>
      <c r="U659" s="4"/>
      <c r="V659" s="4"/>
      <c r="W659" s="4"/>
      <c r="X659" s="4"/>
      <c r="Y659" s="4"/>
      <c r="Z659" s="4"/>
    </row>
    <row r="660" ht="14.25" customHeight="1">
      <c r="A660" s="2"/>
      <c r="B660" s="4"/>
      <c r="C660" s="2"/>
      <c r="D660" s="2"/>
      <c r="E660" s="4"/>
      <c r="F660" s="2"/>
      <c r="G660" s="4"/>
      <c r="H660" s="4"/>
      <c r="I660" s="4"/>
      <c r="J660" s="4"/>
      <c r="K660" s="4"/>
      <c r="L660" s="4"/>
      <c r="M660" s="4"/>
      <c r="N660" s="4"/>
      <c r="O660" s="4"/>
      <c r="P660" s="4"/>
      <c r="Q660" s="4"/>
      <c r="R660" s="4"/>
      <c r="S660" s="4"/>
      <c r="T660" s="4"/>
      <c r="U660" s="4"/>
      <c r="V660" s="4"/>
      <c r="W660" s="4"/>
      <c r="X660" s="4"/>
      <c r="Y660" s="4"/>
      <c r="Z660" s="4"/>
    </row>
    <row r="661" ht="14.25" customHeight="1">
      <c r="A661" s="2"/>
      <c r="B661" s="4"/>
      <c r="C661" s="2"/>
      <c r="D661" s="2"/>
      <c r="E661" s="4"/>
      <c r="F661" s="2"/>
      <c r="G661" s="4"/>
      <c r="H661" s="4"/>
      <c r="I661" s="4"/>
      <c r="J661" s="4"/>
      <c r="K661" s="4"/>
      <c r="L661" s="4"/>
      <c r="M661" s="4"/>
      <c r="N661" s="4"/>
      <c r="O661" s="4"/>
      <c r="P661" s="4"/>
      <c r="Q661" s="4"/>
      <c r="R661" s="4"/>
      <c r="S661" s="4"/>
      <c r="T661" s="4"/>
      <c r="U661" s="4"/>
      <c r="V661" s="4"/>
      <c r="W661" s="4"/>
      <c r="X661" s="4"/>
      <c r="Y661" s="4"/>
      <c r="Z661" s="4"/>
    </row>
    <row r="662" ht="14.25" customHeight="1">
      <c r="A662" s="2"/>
      <c r="B662" s="4"/>
      <c r="C662" s="2"/>
      <c r="D662" s="2"/>
      <c r="E662" s="4"/>
      <c r="F662" s="2"/>
      <c r="G662" s="4"/>
      <c r="H662" s="4"/>
      <c r="I662" s="4"/>
      <c r="J662" s="4"/>
      <c r="K662" s="4"/>
      <c r="L662" s="4"/>
      <c r="M662" s="4"/>
      <c r="N662" s="4"/>
      <c r="O662" s="4"/>
      <c r="P662" s="4"/>
      <c r="Q662" s="4"/>
      <c r="R662" s="4"/>
      <c r="S662" s="4"/>
      <c r="T662" s="4"/>
      <c r="U662" s="4"/>
      <c r="V662" s="4"/>
      <c r="W662" s="4"/>
      <c r="X662" s="4"/>
      <c r="Y662" s="4"/>
      <c r="Z662" s="4"/>
    </row>
    <row r="663" ht="14.25" customHeight="1">
      <c r="A663" s="2"/>
      <c r="B663" s="4"/>
      <c r="C663" s="2"/>
      <c r="D663" s="2"/>
      <c r="E663" s="4"/>
      <c r="F663" s="2"/>
      <c r="G663" s="4"/>
      <c r="H663" s="4"/>
      <c r="I663" s="4"/>
      <c r="J663" s="4"/>
      <c r="K663" s="4"/>
      <c r="L663" s="4"/>
      <c r="M663" s="4"/>
      <c r="N663" s="4"/>
      <c r="O663" s="4"/>
      <c r="P663" s="4"/>
      <c r="Q663" s="4"/>
      <c r="R663" s="4"/>
      <c r="S663" s="4"/>
      <c r="T663" s="4"/>
      <c r="U663" s="4"/>
      <c r="V663" s="4"/>
      <c r="W663" s="4"/>
      <c r="X663" s="4"/>
      <c r="Y663" s="4"/>
      <c r="Z663" s="4"/>
    </row>
    <row r="664" ht="14.25" customHeight="1">
      <c r="A664" s="2"/>
      <c r="B664" s="4"/>
      <c r="C664" s="2"/>
      <c r="D664" s="2"/>
      <c r="E664" s="4"/>
      <c r="F664" s="2"/>
      <c r="G664" s="4"/>
      <c r="H664" s="4"/>
      <c r="I664" s="4"/>
      <c r="J664" s="4"/>
      <c r="K664" s="4"/>
      <c r="L664" s="4"/>
      <c r="M664" s="4"/>
      <c r="N664" s="4"/>
      <c r="O664" s="4"/>
      <c r="P664" s="4"/>
      <c r="Q664" s="4"/>
      <c r="R664" s="4"/>
      <c r="S664" s="4"/>
      <c r="T664" s="4"/>
      <c r="U664" s="4"/>
      <c r="V664" s="4"/>
      <c r="W664" s="4"/>
      <c r="X664" s="4"/>
      <c r="Y664" s="4"/>
      <c r="Z664" s="4"/>
    </row>
    <row r="665" ht="14.25" customHeight="1">
      <c r="A665" s="2"/>
      <c r="B665" s="4"/>
      <c r="C665" s="2"/>
      <c r="D665" s="2"/>
      <c r="E665" s="4"/>
      <c r="F665" s="2"/>
      <c r="G665" s="4"/>
      <c r="H665" s="4"/>
      <c r="I665" s="4"/>
      <c r="J665" s="4"/>
      <c r="K665" s="4"/>
      <c r="L665" s="4"/>
      <c r="M665" s="4"/>
      <c r="N665" s="4"/>
      <c r="O665" s="4"/>
      <c r="P665" s="4"/>
      <c r="Q665" s="4"/>
      <c r="R665" s="4"/>
      <c r="S665" s="4"/>
      <c r="T665" s="4"/>
      <c r="U665" s="4"/>
      <c r="V665" s="4"/>
      <c r="W665" s="4"/>
      <c r="X665" s="4"/>
      <c r="Y665" s="4"/>
      <c r="Z665" s="4"/>
    </row>
    <row r="666" ht="14.25" customHeight="1">
      <c r="A666" s="2"/>
      <c r="B666" s="4"/>
      <c r="C666" s="2"/>
      <c r="D666" s="2"/>
      <c r="E666" s="4"/>
      <c r="F666" s="2"/>
      <c r="G666" s="4"/>
      <c r="H666" s="4"/>
      <c r="I666" s="4"/>
      <c r="J666" s="4"/>
      <c r="K666" s="4"/>
      <c r="L666" s="4"/>
      <c r="M666" s="4"/>
      <c r="N666" s="4"/>
      <c r="O666" s="4"/>
      <c r="P666" s="4"/>
      <c r="Q666" s="4"/>
      <c r="R666" s="4"/>
      <c r="S666" s="4"/>
      <c r="T666" s="4"/>
      <c r="U666" s="4"/>
      <c r="V666" s="4"/>
      <c r="W666" s="4"/>
      <c r="X666" s="4"/>
      <c r="Y666" s="4"/>
      <c r="Z666" s="4"/>
    </row>
    <row r="667" ht="14.25" customHeight="1">
      <c r="A667" s="2"/>
      <c r="B667" s="4"/>
      <c r="C667" s="2"/>
      <c r="D667" s="2"/>
      <c r="E667" s="4"/>
      <c r="F667" s="2"/>
      <c r="G667" s="4"/>
      <c r="H667" s="4"/>
      <c r="I667" s="4"/>
      <c r="J667" s="4"/>
      <c r="K667" s="4"/>
      <c r="L667" s="4"/>
      <c r="M667" s="4"/>
      <c r="N667" s="4"/>
      <c r="O667" s="4"/>
      <c r="P667" s="4"/>
      <c r="Q667" s="4"/>
      <c r="R667" s="4"/>
      <c r="S667" s="4"/>
      <c r="T667" s="4"/>
      <c r="U667" s="4"/>
      <c r="V667" s="4"/>
      <c r="W667" s="4"/>
      <c r="X667" s="4"/>
      <c r="Y667" s="4"/>
      <c r="Z667" s="4"/>
    </row>
    <row r="668" ht="14.25" customHeight="1">
      <c r="A668" s="2"/>
      <c r="B668" s="4"/>
      <c r="C668" s="2"/>
      <c r="D668" s="2"/>
      <c r="E668" s="4"/>
      <c r="F668" s="2"/>
      <c r="G668" s="4"/>
      <c r="H668" s="4"/>
      <c r="I668" s="4"/>
      <c r="J668" s="4"/>
      <c r="K668" s="4"/>
      <c r="L668" s="4"/>
      <c r="M668" s="4"/>
      <c r="N668" s="4"/>
      <c r="O668" s="4"/>
      <c r="P668" s="4"/>
      <c r="Q668" s="4"/>
      <c r="R668" s="4"/>
      <c r="S668" s="4"/>
      <c r="T668" s="4"/>
      <c r="U668" s="4"/>
      <c r="V668" s="4"/>
      <c r="W668" s="4"/>
      <c r="X668" s="4"/>
      <c r="Y668" s="4"/>
      <c r="Z668" s="4"/>
    </row>
    <row r="669" ht="14.25" customHeight="1">
      <c r="A669" s="2"/>
      <c r="B669" s="4"/>
      <c r="C669" s="2"/>
      <c r="D669" s="2"/>
      <c r="E669" s="4"/>
      <c r="F669" s="2"/>
      <c r="G669" s="4"/>
      <c r="H669" s="4"/>
      <c r="I669" s="4"/>
      <c r="J669" s="4"/>
      <c r="K669" s="4"/>
      <c r="L669" s="4"/>
      <c r="M669" s="4"/>
      <c r="N669" s="4"/>
      <c r="O669" s="4"/>
      <c r="P669" s="4"/>
      <c r="Q669" s="4"/>
      <c r="R669" s="4"/>
      <c r="S669" s="4"/>
      <c r="T669" s="4"/>
      <c r="U669" s="4"/>
      <c r="V669" s="4"/>
      <c r="W669" s="4"/>
      <c r="X669" s="4"/>
      <c r="Y669" s="4"/>
      <c r="Z669" s="4"/>
    </row>
    <row r="670" ht="14.25" customHeight="1">
      <c r="A670" s="2"/>
      <c r="B670" s="4"/>
      <c r="C670" s="2"/>
      <c r="D670" s="2"/>
      <c r="E670" s="4"/>
      <c r="F670" s="2"/>
      <c r="G670" s="4"/>
      <c r="H670" s="4"/>
      <c r="I670" s="4"/>
      <c r="J670" s="4"/>
      <c r="K670" s="4"/>
      <c r="L670" s="4"/>
      <c r="M670" s="4"/>
      <c r="N670" s="4"/>
      <c r="O670" s="4"/>
      <c r="P670" s="4"/>
      <c r="Q670" s="4"/>
      <c r="R670" s="4"/>
      <c r="S670" s="4"/>
      <c r="T670" s="4"/>
      <c r="U670" s="4"/>
      <c r="V670" s="4"/>
      <c r="W670" s="4"/>
      <c r="X670" s="4"/>
      <c r="Y670" s="4"/>
      <c r="Z670" s="4"/>
    </row>
    <row r="671" ht="14.25" customHeight="1">
      <c r="A671" s="2"/>
      <c r="B671" s="4"/>
      <c r="C671" s="2"/>
      <c r="D671" s="2"/>
      <c r="E671" s="4"/>
      <c r="F671" s="2"/>
      <c r="G671" s="4"/>
      <c r="H671" s="4"/>
      <c r="I671" s="4"/>
      <c r="J671" s="4"/>
      <c r="K671" s="4"/>
      <c r="L671" s="4"/>
      <c r="M671" s="4"/>
      <c r="N671" s="4"/>
      <c r="O671" s="4"/>
      <c r="P671" s="4"/>
      <c r="Q671" s="4"/>
      <c r="R671" s="4"/>
      <c r="S671" s="4"/>
      <c r="T671" s="4"/>
      <c r="U671" s="4"/>
      <c r="V671" s="4"/>
      <c r="W671" s="4"/>
      <c r="X671" s="4"/>
      <c r="Y671" s="4"/>
      <c r="Z671" s="4"/>
    </row>
    <row r="672" ht="14.25" customHeight="1">
      <c r="A672" s="2"/>
      <c r="B672" s="4"/>
      <c r="C672" s="2"/>
      <c r="D672" s="2"/>
      <c r="E672" s="4"/>
      <c r="F672" s="2"/>
      <c r="G672" s="4"/>
      <c r="H672" s="4"/>
      <c r="I672" s="4"/>
      <c r="J672" s="4"/>
      <c r="K672" s="4"/>
      <c r="L672" s="4"/>
      <c r="M672" s="4"/>
      <c r="N672" s="4"/>
      <c r="O672" s="4"/>
      <c r="P672" s="4"/>
      <c r="Q672" s="4"/>
      <c r="R672" s="4"/>
      <c r="S672" s="4"/>
      <c r="T672" s="4"/>
      <c r="U672" s="4"/>
      <c r="V672" s="4"/>
      <c r="W672" s="4"/>
      <c r="X672" s="4"/>
      <c r="Y672" s="4"/>
      <c r="Z672" s="4"/>
    </row>
    <row r="673" ht="14.25" customHeight="1">
      <c r="A673" s="2"/>
      <c r="B673" s="4"/>
      <c r="C673" s="2"/>
      <c r="D673" s="2"/>
      <c r="E673" s="4"/>
      <c r="F673" s="2"/>
      <c r="G673" s="4"/>
      <c r="H673" s="4"/>
      <c r="I673" s="4"/>
      <c r="J673" s="4"/>
      <c r="K673" s="4"/>
      <c r="L673" s="4"/>
      <c r="M673" s="4"/>
      <c r="N673" s="4"/>
      <c r="O673" s="4"/>
      <c r="P673" s="4"/>
      <c r="Q673" s="4"/>
      <c r="R673" s="4"/>
      <c r="S673" s="4"/>
      <c r="T673" s="4"/>
      <c r="U673" s="4"/>
      <c r="V673" s="4"/>
      <c r="W673" s="4"/>
      <c r="X673" s="4"/>
      <c r="Y673" s="4"/>
      <c r="Z673" s="4"/>
    </row>
    <row r="674" ht="14.25" customHeight="1">
      <c r="A674" s="2"/>
      <c r="B674" s="4"/>
      <c r="C674" s="2"/>
      <c r="D674" s="2"/>
      <c r="E674" s="4"/>
      <c r="F674" s="2"/>
      <c r="G674" s="4"/>
      <c r="H674" s="4"/>
      <c r="I674" s="4"/>
      <c r="J674" s="4"/>
      <c r="K674" s="4"/>
      <c r="L674" s="4"/>
      <c r="M674" s="4"/>
      <c r="N674" s="4"/>
      <c r="O674" s="4"/>
      <c r="P674" s="4"/>
      <c r="Q674" s="4"/>
      <c r="R674" s="4"/>
      <c r="S674" s="4"/>
      <c r="T674" s="4"/>
      <c r="U674" s="4"/>
      <c r="V674" s="4"/>
      <c r="W674" s="4"/>
      <c r="X674" s="4"/>
      <c r="Y674" s="4"/>
      <c r="Z674" s="4"/>
    </row>
    <row r="675" ht="14.25" customHeight="1">
      <c r="A675" s="2"/>
      <c r="B675" s="4"/>
      <c r="C675" s="2"/>
      <c r="D675" s="2"/>
      <c r="E675" s="4"/>
      <c r="F675" s="2"/>
      <c r="G675" s="4"/>
      <c r="H675" s="4"/>
      <c r="I675" s="4"/>
      <c r="J675" s="4"/>
      <c r="K675" s="4"/>
      <c r="L675" s="4"/>
      <c r="M675" s="4"/>
      <c r="N675" s="4"/>
      <c r="O675" s="4"/>
      <c r="P675" s="4"/>
      <c r="Q675" s="4"/>
      <c r="R675" s="4"/>
      <c r="S675" s="4"/>
      <c r="T675" s="4"/>
      <c r="U675" s="4"/>
      <c r="V675" s="4"/>
      <c r="W675" s="4"/>
      <c r="X675" s="4"/>
      <c r="Y675" s="4"/>
      <c r="Z675" s="4"/>
    </row>
    <row r="676" ht="14.25" customHeight="1">
      <c r="A676" s="2"/>
      <c r="B676" s="4"/>
      <c r="C676" s="2"/>
      <c r="D676" s="2"/>
      <c r="E676" s="4"/>
      <c r="F676" s="2"/>
      <c r="G676" s="4"/>
      <c r="H676" s="4"/>
      <c r="I676" s="4"/>
      <c r="J676" s="4"/>
      <c r="K676" s="4"/>
      <c r="L676" s="4"/>
      <c r="M676" s="4"/>
      <c r="N676" s="4"/>
      <c r="O676" s="4"/>
      <c r="P676" s="4"/>
      <c r="Q676" s="4"/>
      <c r="R676" s="4"/>
      <c r="S676" s="4"/>
      <c r="T676" s="4"/>
      <c r="U676" s="4"/>
      <c r="V676" s="4"/>
      <c r="W676" s="4"/>
      <c r="X676" s="4"/>
      <c r="Y676" s="4"/>
      <c r="Z676" s="4"/>
    </row>
    <row r="677" ht="14.25" customHeight="1">
      <c r="A677" s="2"/>
      <c r="B677" s="4"/>
      <c r="C677" s="2"/>
      <c r="D677" s="2"/>
      <c r="E677" s="4"/>
      <c r="F677" s="2"/>
      <c r="G677" s="4"/>
      <c r="H677" s="4"/>
      <c r="I677" s="4"/>
      <c r="J677" s="4"/>
      <c r="K677" s="4"/>
      <c r="L677" s="4"/>
      <c r="M677" s="4"/>
      <c r="N677" s="4"/>
      <c r="O677" s="4"/>
      <c r="P677" s="4"/>
      <c r="Q677" s="4"/>
      <c r="R677" s="4"/>
      <c r="S677" s="4"/>
      <c r="T677" s="4"/>
      <c r="U677" s="4"/>
      <c r="V677" s="4"/>
      <c r="W677" s="4"/>
      <c r="X677" s="4"/>
      <c r="Y677" s="4"/>
      <c r="Z677" s="4"/>
    </row>
    <row r="678" ht="14.25" customHeight="1">
      <c r="A678" s="2"/>
      <c r="B678" s="4"/>
      <c r="C678" s="2"/>
      <c r="D678" s="2"/>
      <c r="E678" s="4"/>
      <c r="F678" s="2"/>
      <c r="G678" s="4"/>
      <c r="H678" s="4"/>
      <c r="I678" s="4"/>
      <c r="J678" s="4"/>
      <c r="K678" s="4"/>
      <c r="L678" s="4"/>
      <c r="M678" s="4"/>
      <c r="N678" s="4"/>
      <c r="O678" s="4"/>
      <c r="P678" s="4"/>
      <c r="Q678" s="4"/>
      <c r="R678" s="4"/>
      <c r="S678" s="4"/>
      <c r="T678" s="4"/>
      <c r="U678" s="4"/>
      <c r="V678" s="4"/>
      <c r="W678" s="4"/>
      <c r="X678" s="4"/>
      <c r="Y678" s="4"/>
      <c r="Z678" s="4"/>
    </row>
    <row r="679" ht="14.25" customHeight="1">
      <c r="A679" s="2"/>
      <c r="B679" s="4"/>
      <c r="C679" s="2"/>
      <c r="D679" s="2"/>
      <c r="E679" s="4"/>
      <c r="F679" s="2"/>
      <c r="G679" s="4"/>
      <c r="H679" s="4"/>
      <c r="I679" s="4"/>
      <c r="J679" s="4"/>
      <c r="K679" s="4"/>
      <c r="L679" s="4"/>
      <c r="M679" s="4"/>
      <c r="N679" s="4"/>
      <c r="O679" s="4"/>
      <c r="P679" s="4"/>
      <c r="Q679" s="4"/>
      <c r="R679" s="4"/>
      <c r="S679" s="4"/>
      <c r="T679" s="4"/>
      <c r="U679" s="4"/>
      <c r="V679" s="4"/>
      <c r="W679" s="4"/>
      <c r="X679" s="4"/>
      <c r="Y679" s="4"/>
      <c r="Z679" s="4"/>
    </row>
    <row r="680" ht="14.25" customHeight="1">
      <c r="A680" s="2"/>
      <c r="B680" s="4"/>
      <c r="C680" s="2"/>
      <c r="D680" s="2"/>
      <c r="E680" s="4"/>
      <c r="F680" s="2"/>
      <c r="G680" s="4"/>
      <c r="H680" s="4"/>
      <c r="I680" s="4"/>
      <c r="J680" s="4"/>
      <c r="K680" s="4"/>
      <c r="L680" s="4"/>
      <c r="M680" s="4"/>
      <c r="N680" s="4"/>
      <c r="O680" s="4"/>
      <c r="P680" s="4"/>
      <c r="Q680" s="4"/>
      <c r="R680" s="4"/>
      <c r="S680" s="4"/>
      <c r="T680" s="4"/>
      <c r="U680" s="4"/>
      <c r="V680" s="4"/>
      <c r="W680" s="4"/>
      <c r="X680" s="4"/>
      <c r="Y680" s="4"/>
      <c r="Z680" s="4"/>
    </row>
    <row r="681" ht="14.25" customHeight="1">
      <c r="A681" s="2"/>
      <c r="B681" s="4"/>
      <c r="C681" s="2"/>
      <c r="D681" s="2"/>
      <c r="E681" s="4"/>
      <c r="F681" s="2"/>
      <c r="G681" s="4"/>
      <c r="H681" s="4"/>
      <c r="I681" s="4"/>
      <c r="J681" s="4"/>
      <c r="K681" s="4"/>
      <c r="L681" s="4"/>
      <c r="M681" s="4"/>
      <c r="N681" s="4"/>
      <c r="O681" s="4"/>
      <c r="P681" s="4"/>
      <c r="Q681" s="4"/>
      <c r="R681" s="4"/>
      <c r="S681" s="4"/>
      <c r="T681" s="4"/>
      <c r="U681" s="4"/>
      <c r="V681" s="4"/>
      <c r="W681" s="4"/>
      <c r="X681" s="4"/>
      <c r="Y681" s="4"/>
      <c r="Z681" s="4"/>
    </row>
    <row r="682" ht="14.25" customHeight="1">
      <c r="A682" s="2"/>
      <c r="B682" s="4"/>
      <c r="C682" s="2"/>
      <c r="D682" s="2"/>
      <c r="E682" s="4"/>
      <c r="F682" s="2"/>
      <c r="G682" s="4"/>
      <c r="H682" s="4"/>
      <c r="I682" s="4"/>
      <c r="J682" s="4"/>
      <c r="K682" s="4"/>
      <c r="L682" s="4"/>
      <c r="M682" s="4"/>
      <c r="N682" s="4"/>
      <c r="O682" s="4"/>
      <c r="P682" s="4"/>
      <c r="Q682" s="4"/>
      <c r="R682" s="4"/>
      <c r="S682" s="4"/>
      <c r="T682" s="4"/>
      <c r="U682" s="4"/>
      <c r="V682" s="4"/>
      <c r="W682" s="4"/>
      <c r="X682" s="4"/>
      <c r="Y682" s="4"/>
      <c r="Z682" s="4"/>
    </row>
    <row r="683" ht="14.25" customHeight="1">
      <c r="A683" s="2"/>
      <c r="B683" s="4"/>
      <c r="C683" s="2"/>
      <c r="D683" s="2"/>
      <c r="E683" s="4"/>
      <c r="F683" s="2"/>
      <c r="G683" s="4"/>
      <c r="H683" s="4"/>
      <c r="I683" s="4"/>
      <c r="J683" s="4"/>
      <c r="K683" s="4"/>
      <c r="L683" s="4"/>
      <c r="M683" s="4"/>
      <c r="N683" s="4"/>
      <c r="O683" s="4"/>
      <c r="P683" s="4"/>
      <c r="Q683" s="4"/>
      <c r="R683" s="4"/>
      <c r="S683" s="4"/>
      <c r="T683" s="4"/>
      <c r="U683" s="4"/>
      <c r="V683" s="4"/>
      <c r="W683" s="4"/>
      <c r="X683" s="4"/>
      <c r="Y683" s="4"/>
      <c r="Z683" s="4"/>
    </row>
    <row r="684" ht="14.25" customHeight="1">
      <c r="A684" s="2"/>
      <c r="B684" s="4"/>
      <c r="C684" s="2"/>
      <c r="D684" s="2"/>
      <c r="E684" s="4"/>
      <c r="F684" s="2"/>
      <c r="G684" s="4"/>
      <c r="H684" s="4"/>
      <c r="I684" s="4"/>
      <c r="J684" s="4"/>
      <c r="K684" s="4"/>
      <c r="L684" s="4"/>
      <c r="M684" s="4"/>
      <c r="N684" s="4"/>
      <c r="O684" s="4"/>
      <c r="P684" s="4"/>
      <c r="Q684" s="4"/>
      <c r="R684" s="4"/>
      <c r="S684" s="4"/>
      <c r="T684" s="4"/>
      <c r="U684" s="4"/>
      <c r="V684" s="4"/>
      <c r="W684" s="4"/>
      <c r="X684" s="4"/>
      <c r="Y684" s="4"/>
      <c r="Z684" s="4"/>
    </row>
    <row r="685" ht="14.25" customHeight="1">
      <c r="A685" s="2"/>
      <c r="B685" s="4"/>
      <c r="C685" s="2"/>
      <c r="D685" s="2"/>
      <c r="E685" s="4"/>
      <c r="F685" s="2"/>
      <c r="G685" s="4"/>
      <c r="H685" s="4"/>
      <c r="I685" s="4"/>
      <c r="J685" s="4"/>
      <c r="K685" s="4"/>
      <c r="L685" s="4"/>
      <c r="M685" s="4"/>
      <c r="N685" s="4"/>
      <c r="O685" s="4"/>
      <c r="P685" s="4"/>
      <c r="Q685" s="4"/>
      <c r="R685" s="4"/>
      <c r="S685" s="4"/>
      <c r="T685" s="4"/>
      <c r="U685" s="4"/>
      <c r="V685" s="4"/>
      <c r="W685" s="4"/>
      <c r="X685" s="4"/>
      <c r="Y685" s="4"/>
      <c r="Z685" s="4"/>
    </row>
    <row r="686" ht="14.25" customHeight="1">
      <c r="A686" s="2"/>
      <c r="B686" s="4"/>
      <c r="C686" s="2"/>
      <c r="D686" s="2"/>
      <c r="E686" s="4"/>
      <c r="F686" s="2"/>
      <c r="G686" s="4"/>
      <c r="H686" s="4"/>
      <c r="I686" s="4"/>
      <c r="J686" s="4"/>
      <c r="K686" s="4"/>
      <c r="L686" s="4"/>
      <c r="M686" s="4"/>
      <c r="N686" s="4"/>
      <c r="O686" s="4"/>
      <c r="P686" s="4"/>
      <c r="Q686" s="4"/>
      <c r="R686" s="4"/>
      <c r="S686" s="4"/>
      <c r="T686" s="4"/>
      <c r="U686" s="4"/>
      <c r="V686" s="4"/>
      <c r="W686" s="4"/>
      <c r="X686" s="4"/>
      <c r="Y686" s="4"/>
      <c r="Z686" s="4"/>
    </row>
    <row r="687" ht="14.25" customHeight="1">
      <c r="A687" s="2"/>
      <c r="B687" s="4"/>
      <c r="C687" s="2"/>
      <c r="D687" s="2"/>
      <c r="E687" s="4"/>
      <c r="F687" s="2"/>
      <c r="G687" s="4"/>
      <c r="H687" s="4"/>
      <c r="I687" s="4"/>
      <c r="J687" s="4"/>
      <c r="K687" s="4"/>
      <c r="L687" s="4"/>
      <c r="M687" s="4"/>
      <c r="N687" s="4"/>
      <c r="O687" s="4"/>
      <c r="P687" s="4"/>
      <c r="Q687" s="4"/>
      <c r="R687" s="4"/>
      <c r="S687" s="4"/>
      <c r="T687" s="4"/>
      <c r="U687" s="4"/>
      <c r="V687" s="4"/>
      <c r="W687" s="4"/>
      <c r="X687" s="4"/>
      <c r="Y687" s="4"/>
      <c r="Z687" s="4"/>
    </row>
    <row r="688" ht="14.25" customHeight="1">
      <c r="A688" s="2"/>
      <c r="B688" s="4"/>
      <c r="C688" s="2"/>
      <c r="D688" s="2"/>
      <c r="E688" s="4"/>
      <c r="F688" s="2"/>
      <c r="G688" s="4"/>
      <c r="H688" s="4"/>
      <c r="I688" s="4"/>
      <c r="J688" s="4"/>
      <c r="K688" s="4"/>
      <c r="L688" s="4"/>
      <c r="M688" s="4"/>
      <c r="N688" s="4"/>
      <c r="O688" s="4"/>
      <c r="P688" s="4"/>
      <c r="Q688" s="4"/>
      <c r="R688" s="4"/>
      <c r="S688" s="4"/>
      <c r="T688" s="4"/>
      <c r="U688" s="4"/>
      <c r="V688" s="4"/>
      <c r="W688" s="4"/>
      <c r="X688" s="4"/>
      <c r="Y688" s="4"/>
      <c r="Z688" s="4"/>
    </row>
    <row r="689" ht="14.25" customHeight="1">
      <c r="A689" s="2"/>
      <c r="B689" s="4"/>
      <c r="C689" s="2"/>
      <c r="D689" s="2"/>
      <c r="E689" s="4"/>
      <c r="F689" s="2"/>
      <c r="G689" s="4"/>
      <c r="H689" s="4"/>
      <c r="I689" s="4"/>
      <c r="J689" s="4"/>
      <c r="K689" s="4"/>
      <c r="L689" s="4"/>
      <c r="M689" s="4"/>
      <c r="N689" s="4"/>
      <c r="O689" s="4"/>
      <c r="P689" s="4"/>
      <c r="Q689" s="4"/>
      <c r="R689" s="4"/>
      <c r="S689" s="4"/>
      <c r="T689" s="4"/>
      <c r="U689" s="4"/>
      <c r="V689" s="4"/>
      <c r="W689" s="4"/>
      <c r="X689" s="4"/>
      <c r="Y689" s="4"/>
      <c r="Z689" s="4"/>
    </row>
    <row r="690" ht="14.25" customHeight="1">
      <c r="A690" s="2"/>
      <c r="B690" s="4"/>
      <c r="C690" s="2"/>
      <c r="D690" s="2"/>
      <c r="E690" s="4"/>
      <c r="F690" s="2"/>
      <c r="G690" s="4"/>
      <c r="H690" s="4"/>
      <c r="I690" s="4"/>
      <c r="J690" s="4"/>
      <c r="K690" s="4"/>
      <c r="L690" s="4"/>
      <c r="M690" s="4"/>
      <c r="N690" s="4"/>
      <c r="O690" s="4"/>
      <c r="P690" s="4"/>
      <c r="Q690" s="4"/>
      <c r="R690" s="4"/>
      <c r="S690" s="4"/>
      <c r="T690" s="4"/>
      <c r="U690" s="4"/>
      <c r="V690" s="4"/>
      <c r="W690" s="4"/>
      <c r="X690" s="4"/>
      <c r="Y690" s="4"/>
      <c r="Z690" s="4"/>
    </row>
    <row r="691" ht="14.25" customHeight="1">
      <c r="A691" s="2"/>
      <c r="B691" s="4"/>
      <c r="C691" s="2"/>
      <c r="D691" s="2"/>
      <c r="E691" s="4"/>
      <c r="F691" s="2"/>
      <c r="G691" s="4"/>
      <c r="H691" s="4"/>
      <c r="I691" s="4"/>
      <c r="J691" s="4"/>
      <c r="K691" s="4"/>
      <c r="L691" s="4"/>
      <c r="M691" s="4"/>
      <c r="N691" s="4"/>
      <c r="O691" s="4"/>
      <c r="P691" s="4"/>
      <c r="Q691" s="4"/>
      <c r="R691" s="4"/>
      <c r="S691" s="4"/>
      <c r="T691" s="4"/>
      <c r="U691" s="4"/>
      <c r="V691" s="4"/>
      <c r="W691" s="4"/>
      <c r="X691" s="4"/>
      <c r="Y691" s="4"/>
      <c r="Z691" s="4"/>
    </row>
    <row r="692" ht="14.25" customHeight="1">
      <c r="A692" s="2"/>
      <c r="B692" s="4"/>
      <c r="C692" s="2"/>
      <c r="D692" s="2"/>
      <c r="E692" s="4"/>
      <c r="F692" s="2"/>
      <c r="G692" s="4"/>
      <c r="H692" s="4"/>
      <c r="I692" s="4"/>
      <c r="J692" s="4"/>
      <c r="K692" s="4"/>
      <c r="L692" s="4"/>
      <c r="M692" s="4"/>
      <c r="N692" s="4"/>
      <c r="O692" s="4"/>
      <c r="P692" s="4"/>
      <c r="Q692" s="4"/>
      <c r="R692" s="4"/>
      <c r="S692" s="4"/>
      <c r="T692" s="4"/>
      <c r="U692" s="4"/>
      <c r="V692" s="4"/>
      <c r="W692" s="4"/>
      <c r="X692" s="4"/>
      <c r="Y692" s="4"/>
      <c r="Z692" s="4"/>
    </row>
    <row r="693" ht="14.25" customHeight="1">
      <c r="A693" s="2"/>
      <c r="B693" s="4"/>
      <c r="C693" s="2"/>
      <c r="D693" s="2"/>
      <c r="E693" s="4"/>
      <c r="F693" s="2"/>
      <c r="G693" s="4"/>
      <c r="H693" s="4"/>
      <c r="I693" s="4"/>
      <c r="J693" s="4"/>
      <c r="K693" s="4"/>
      <c r="L693" s="4"/>
      <c r="M693" s="4"/>
      <c r="N693" s="4"/>
      <c r="O693" s="4"/>
      <c r="P693" s="4"/>
      <c r="Q693" s="4"/>
      <c r="R693" s="4"/>
      <c r="S693" s="4"/>
      <c r="T693" s="4"/>
      <c r="U693" s="4"/>
      <c r="V693" s="4"/>
      <c r="W693" s="4"/>
      <c r="X693" s="4"/>
      <c r="Y693" s="4"/>
      <c r="Z693" s="4"/>
    </row>
    <row r="694" ht="14.25" customHeight="1">
      <c r="A694" s="2"/>
      <c r="B694" s="4"/>
      <c r="C694" s="2"/>
      <c r="D694" s="2"/>
      <c r="E694" s="4"/>
      <c r="F694" s="2"/>
      <c r="G694" s="4"/>
      <c r="H694" s="4"/>
      <c r="I694" s="4"/>
      <c r="J694" s="4"/>
      <c r="K694" s="4"/>
      <c r="L694" s="4"/>
      <c r="M694" s="4"/>
      <c r="N694" s="4"/>
      <c r="O694" s="4"/>
      <c r="P694" s="4"/>
      <c r="Q694" s="4"/>
      <c r="R694" s="4"/>
      <c r="S694" s="4"/>
      <c r="T694" s="4"/>
      <c r="U694" s="4"/>
      <c r="V694" s="4"/>
      <c r="W694" s="4"/>
      <c r="X694" s="4"/>
      <c r="Y694" s="4"/>
      <c r="Z694" s="4"/>
    </row>
    <row r="695" ht="14.25" customHeight="1">
      <c r="A695" s="2"/>
      <c r="B695" s="4"/>
      <c r="C695" s="2"/>
      <c r="D695" s="2"/>
      <c r="E695" s="4"/>
      <c r="F695" s="2"/>
      <c r="G695" s="4"/>
      <c r="H695" s="4"/>
      <c r="I695" s="4"/>
      <c r="J695" s="4"/>
      <c r="K695" s="4"/>
      <c r="L695" s="4"/>
      <c r="M695" s="4"/>
      <c r="N695" s="4"/>
      <c r="O695" s="4"/>
      <c r="P695" s="4"/>
      <c r="Q695" s="4"/>
      <c r="R695" s="4"/>
      <c r="S695" s="4"/>
      <c r="T695" s="4"/>
      <c r="U695" s="4"/>
      <c r="V695" s="4"/>
      <c r="W695" s="4"/>
      <c r="X695" s="4"/>
      <c r="Y695" s="4"/>
      <c r="Z695" s="4"/>
    </row>
    <row r="696" ht="14.25" customHeight="1">
      <c r="A696" s="2"/>
      <c r="B696" s="4"/>
      <c r="C696" s="2"/>
      <c r="D696" s="2"/>
      <c r="E696" s="4"/>
      <c r="F696" s="2"/>
      <c r="G696" s="4"/>
      <c r="H696" s="4"/>
      <c r="I696" s="4"/>
      <c r="J696" s="4"/>
      <c r="K696" s="4"/>
      <c r="L696" s="4"/>
      <c r="M696" s="4"/>
      <c r="N696" s="4"/>
      <c r="O696" s="4"/>
      <c r="P696" s="4"/>
      <c r="Q696" s="4"/>
      <c r="R696" s="4"/>
      <c r="S696" s="4"/>
      <c r="T696" s="4"/>
      <c r="U696" s="4"/>
      <c r="V696" s="4"/>
      <c r="W696" s="4"/>
      <c r="X696" s="4"/>
      <c r="Y696" s="4"/>
      <c r="Z696" s="4"/>
    </row>
    <row r="697" ht="14.25" customHeight="1">
      <c r="A697" s="2"/>
      <c r="B697" s="4"/>
      <c r="C697" s="2"/>
      <c r="D697" s="2"/>
      <c r="E697" s="4"/>
      <c r="F697" s="2"/>
      <c r="G697" s="4"/>
      <c r="H697" s="4"/>
      <c r="I697" s="4"/>
      <c r="J697" s="4"/>
      <c r="K697" s="4"/>
      <c r="L697" s="4"/>
      <c r="M697" s="4"/>
      <c r="N697" s="4"/>
      <c r="O697" s="4"/>
      <c r="P697" s="4"/>
      <c r="Q697" s="4"/>
      <c r="R697" s="4"/>
      <c r="S697" s="4"/>
      <c r="T697" s="4"/>
      <c r="U697" s="4"/>
      <c r="V697" s="4"/>
      <c r="W697" s="4"/>
      <c r="X697" s="4"/>
      <c r="Y697" s="4"/>
      <c r="Z697" s="4"/>
    </row>
    <row r="698" ht="14.25" customHeight="1">
      <c r="A698" s="2"/>
      <c r="B698" s="4"/>
      <c r="C698" s="2"/>
      <c r="D698" s="2"/>
      <c r="E698" s="4"/>
      <c r="F698" s="2"/>
      <c r="G698" s="4"/>
      <c r="H698" s="4"/>
      <c r="I698" s="4"/>
      <c r="J698" s="4"/>
      <c r="K698" s="4"/>
      <c r="L698" s="4"/>
      <c r="M698" s="4"/>
      <c r="N698" s="4"/>
      <c r="O698" s="4"/>
      <c r="P698" s="4"/>
      <c r="Q698" s="4"/>
      <c r="R698" s="4"/>
      <c r="S698" s="4"/>
      <c r="T698" s="4"/>
      <c r="U698" s="4"/>
      <c r="V698" s="4"/>
      <c r="W698" s="4"/>
      <c r="X698" s="4"/>
      <c r="Y698" s="4"/>
      <c r="Z698" s="4"/>
    </row>
    <row r="699" ht="14.25" customHeight="1">
      <c r="A699" s="2"/>
      <c r="B699" s="4"/>
      <c r="C699" s="2"/>
      <c r="D699" s="2"/>
      <c r="E699" s="4"/>
      <c r="F699" s="2"/>
      <c r="G699" s="4"/>
      <c r="H699" s="4"/>
      <c r="I699" s="4"/>
      <c r="J699" s="4"/>
      <c r="K699" s="4"/>
      <c r="L699" s="4"/>
      <c r="M699" s="4"/>
      <c r="N699" s="4"/>
      <c r="O699" s="4"/>
      <c r="P699" s="4"/>
      <c r="Q699" s="4"/>
      <c r="R699" s="4"/>
      <c r="S699" s="4"/>
      <c r="T699" s="4"/>
      <c r="U699" s="4"/>
      <c r="V699" s="4"/>
      <c r="W699" s="4"/>
      <c r="X699" s="4"/>
      <c r="Y699" s="4"/>
      <c r="Z699" s="4"/>
    </row>
    <row r="700" ht="14.25" customHeight="1">
      <c r="A700" s="2"/>
      <c r="B700" s="4"/>
      <c r="C700" s="2"/>
      <c r="D700" s="2"/>
      <c r="E700" s="4"/>
      <c r="F700" s="2"/>
      <c r="G700" s="4"/>
      <c r="H700" s="4"/>
      <c r="I700" s="4"/>
      <c r="J700" s="4"/>
      <c r="K700" s="4"/>
      <c r="L700" s="4"/>
      <c r="M700" s="4"/>
      <c r="N700" s="4"/>
      <c r="O700" s="4"/>
      <c r="P700" s="4"/>
      <c r="Q700" s="4"/>
      <c r="R700" s="4"/>
      <c r="S700" s="4"/>
      <c r="T700" s="4"/>
      <c r="U700" s="4"/>
      <c r="V700" s="4"/>
      <c r="W700" s="4"/>
      <c r="X700" s="4"/>
      <c r="Y700" s="4"/>
      <c r="Z700" s="4"/>
    </row>
    <row r="701" ht="14.25" customHeight="1">
      <c r="A701" s="2"/>
      <c r="B701" s="4"/>
      <c r="C701" s="2"/>
      <c r="D701" s="2"/>
      <c r="E701" s="4"/>
      <c r="F701" s="2"/>
      <c r="G701" s="4"/>
      <c r="H701" s="4"/>
      <c r="I701" s="4"/>
      <c r="J701" s="4"/>
      <c r="K701" s="4"/>
      <c r="L701" s="4"/>
      <c r="M701" s="4"/>
      <c r="N701" s="4"/>
      <c r="O701" s="4"/>
      <c r="P701" s="4"/>
      <c r="Q701" s="4"/>
      <c r="R701" s="4"/>
      <c r="S701" s="4"/>
      <c r="T701" s="4"/>
      <c r="U701" s="4"/>
      <c r="V701" s="4"/>
      <c r="W701" s="4"/>
      <c r="X701" s="4"/>
      <c r="Y701" s="4"/>
      <c r="Z701" s="4"/>
    </row>
    <row r="702" ht="14.25" customHeight="1">
      <c r="A702" s="2"/>
      <c r="B702" s="4"/>
      <c r="C702" s="2"/>
      <c r="D702" s="2"/>
      <c r="E702" s="4"/>
      <c r="F702" s="2"/>
      <c r="G702" s="4"/>
      <c r="H702" s="4"/>
      <c r="I702" s="4"/>
      <c r="J702" s="4"/>
      <c r="K702" s="4"/>
      <c r="L702" s="4"/>
      <c r="M702" s="4"/>
      <c r="N702" s="4"/>
      <c r="O702" s="4"/>
      <c r="P702" s="4"/>
      <c r="Q702" s="4"/>
      <c r="R702" s="4"/>
      <c r="S702" s="4"/>
      <c r="T702" s="4"/>
      <c r="U702" s="4"/>
      <c r="V702" s="4"/>
      <c r="W702" s="4"/>
      <c r="X702" s="4"/>
      <c r="Y702" s="4"/>
      <c r="Z702" s="4"/>
    </row>
    <row r="703" ht="14.25" customHeight="1">
      <c r="A703" s="2"/>
      <c r="B703" s="4"/>
      <c r="C703" s="2"/>
      <c r="D703" s="2"/>
      <c r="E703" s="4"/>
      <c r="F703" s="2"/>
      <c r="G703" s="4"/>
      <c r="H703" s="4"/>
      <c r="I703" s="4"/>
      <c r="J703" s="4"/>
      <c r="K703" s="4"/>
      <c r="L703" s="4"/>
      <c r="M703" s="4"/>
      <c r="N703" s="4"/>
      <c r="O703" s="4"/>
      <c r="P703" s="4"/>
      <c r="Q703" s="4"/>
      <c r="R703" s="4"/>
      <c r="S703" s="4"/>
      <c r="T703" s="4"/>
      <c r="U703" s="4"/>
      <c r="V703" s="4"/>
      <c r="W703" s="4"/>
      <c r="X703" s="4"/>
      <c r="Y703" s="4"/>
      <c r="Z703" s="4"/>
    </row>
    <row r="704" ht="14.25" customHeight="1">
      <c r="A704" s="2"/>
      <c r="B704" s="4"/>
      <c r="C704" s="2"/>
      <c r="D704" s="2"/>
      <c r="E704" s="4"/>
      <c r="F704" s="2"/>
      <c r="G704" s="4"/>
      <c r="H704" s="4"/>
      <c r="I704" s="4"/>
      <c r="J704" s="4"/>
      <c r="K704" s="4"/>
      <c r="L704" s="4"/>
      <c r="M704" s="4"/>
      <c r="N704" s="4"/>
      <c r="O704" s="4"/>
      <c r="P704" s="4"/>
      <c r="Q704" s="4"/>
      <c r="R704" s="4"/>
      <c r="S704" s="4"/>
      <c r="T704" s="4"/>
      <c r="U704" s="4"/>
      <c r="V704" s="4"/>
      <c r="W704" s="4"/>
      <c r="X704" s="4"/>
      <c r="Y704" s="4"/>
      <c r="Z704" s="4"/>
    </row>
    <row r="705" ht="14.25" customHeight="1">
      <c r="A705" s="2"/>
      <c r="B705" s="4"/>
      <c r="C705" s="2"/>
      <c r="D705" s="2"/>
      <c r="E705" s="4"/>
      <c r="F705" s="2"/>
      <c r="G705" s="4"/>
      <c r="H705" s="4"/>
      <c r="I705" s="4"/>
      <c r="J705" s="4"/>
      <c r="K705" s="4"/>
      <c r="L705" s="4"/>
      <c r="M705" s="4"/>
      <c r="N705" s="4"/>
      <c r="O705" s="4"/>
      <c r="P705" s="4"/>
      <c r="Q705" s="4"/>
      <c r="R705" s="4"/>
      <c r="S705" s="4"/>
      <c r="T705" s="4"/>
      <c r="U705" s="4"/>
      <c r="V705" s="4"/>
      <c r="W705" s="4"/>
      <c r="X705" s="4"/>
      <c r="Y705" s="4"/>
      <c r="Z705" s="4"/>
    </row>
    <row r="706" ht="14.25" customHeight="1">
      <c r="A706" s="2"/>
      <c r="B706" s="4"/>
      <c r="C706" s="2"/>
      <c r="D706" s="2"/>
      <c r="E706" s="4"/>
      <c r="F706" s="2"/>
      <c r="G706" s="4"/>
      <c r="H706" s="4"/>
      <c r="I706" s="4"/>
      <c r="J706" s="4"/>
      <c r="K706" s="4"/>
      <c r="L706" s="4"/>
      <c r="M706" s="4"/>
      <c r="N706" s="4"/>
      <c r="O706" s="4"/>
      <c r="P706" s="4"/>
      <c r="Q706" s="4"/>
      <c r="R706" s="4"/>
      <c r="S706" s="4"/>
      <c r="T706" s="4"/>
      <c r="U706" s="4"/>
      <c r="V706" s="4"/>
      <c r="W706" s="4"/>
      <c r="X706" s="4"/>
      <c r="Y706" s="4"/>
      <c r="Z706" s="4"/>
    </row>
    <row r="707" ht="14.25" customHeight="1">
      <c r="A707" s="2"/>
      <c r="B707" s="4"/>
      <c r="C707" s="2"/>
      <c r="D707" s="2"/>
      <c r="E707" s="4"/>
      <c r="F707" s="2"/>
      <c r="G707" s="4"/>
      <c r="H707" s="4"/>
      <c r="I707" s="4"/>
      <c r="J707" s="4"/>
      <c r="K707" s="4"/>
      <c r="L707" s="4"/>
      <c r="M707" s="4"/>
      <c r="N707" s="4"/>
      <c r="O707" s="4"/>
      <c r="P707" s="4"/>
      <c r="Q707" s="4"/>
      <c r="R707" s="4"/>
      <c r="S707" s="4"/>
      <c r="T707" s="4"/>
      <c r="U707" s="4"/>
      <c r="V707" s="4"/>
      <c r="W707" s="4"/>
      <c r="X707" s="4"/>
      <c r="Y707" s="4"/>
      <c r="Z707" s="4"/>
    </row>
    <row r="708" ht="14.25" customHeight="1">
      <c r="A708" s="2"/>
      <c r="B708" s="4"/>
      <c r="C708" s="2"/>
      <c r="D708" s="2"/>
      <c r="E708" s="4"/>
      <c r="F708" s="2"/>
      <c r="G708" s="4"/>
      <c r="H708" s="4"/>
      <c r="I708" s="4"/>
      <c r="J708" s="4"/>
      <c r="K708" s="4"/>
      <c r="L708" s="4"/>
      <c r="M708" s="4"/>
      <c r="N708" s="4"/>
      <c r="O708" s="4"/>
      <c r="P708" s="4"/>
      <c r="Q708" s="4"/>
      <c r="R708" s="4"/>
      <c r="S708" s="4"/>
      <c r="T708" s="4"/>
      <c r="U708" s="4"/>
      <c r="V708" s="4"/>
      <c r="W708" s="4"/>
      <c r="X708" s="4"/>
      <c r="Y708" s="4"/>
      <c r="Z708" s="4"/>
    </row>
    <row r="709" ht="14.25" customHeight="1">
      <c r="A709" s="2"/>
      <c r="B709" s="4"/>
      <c r="C709" s="2"/>
      <c r="D709" s="2"/>
      <c r="E709" s="4"/>
      <c r="F709" s="2"/>
      <c r="G709" s="4"/>
      <c r="H709" s="4"/>
      <c r="I709" s="4"/>
      <c r="J709" s="4"/>
      <c r="K709" s="4"/>
      <c r="L709" s="4"/>
      <c r="M709" s="4"/>
      <c r="N709" s="4"/>
      <c r="O709" s="4"/>
      <c r="P709" s="4"/>
      <c r="Q709" s="4"/>
      <c r="R709" s="4"/>
      <c r="S709" s="4"/>
      <c r="T709" s="4"/>
      <c r="U709" s="4"/>
      <c r="V709" s="4"/>
      <c r="W709" s="4"/>
      <c r="X709" s="4"/>
      <c r="Y709" s="4"/>
      <c r="Z709" s="4"/>
    </row>
    <row r="710" ht="14.25" customHeight="1">
      <c r="A710" s="2"/>
      <c r="B710" s="4"/>
      <c r="C710" s="2"/>
      <c r="D710" s="2"/>
      <c r="E710" s="4"/>
      <c r="F710" s="2"/>
      <c r="G710" s="4"/>
      <c r="H710" s="4"/>
      <c r="I710" s="4"/>
      <c r="J710" s="4"/>
      <c r="K710" s="4"/>
      <c r="L710" s="4"/>
      <c r="M710" s="4"/>
      <c r="N710" s="4"/>
      <c r="O710" s="4"/>
      <c r="P710" s="4"/>
      <c r="Q710" s="4"/>
      <c r="R710" s="4"/>
      <c r="S710" s="4"/>
      <c r="T710" s="4"/>
      <c r="U710" s="4"/>
      <c r="V710" s="4"/>
      <c r="W710" s="4"/>
      <c r="X710" s="4"/>
      <c r="Y710" s="4"/>
      <c r="Z710" s="4"/>
    </row>
    <row r="711" ht="14.25" customHeight="1">
      <c r="A711" s="2"/>
      <c r="B711" s="4"/>
      <c r="C711" s="2"/>
      <c r="D711" s="2"/>
      <c r="E711" s="4"/>
      <c r="F711" s="2"/>
      <c r="G711" s="4"/>
      <c r="H711" s="4"/>
      <c r="I711" s="4"/>
      <c r="J711" s="4"/>
      <c r="K711" s="4"/>
      <c r="L711" s="4"/>
      <c r="M711" s="4"/>
      <c r="N711" s="4"/>
      <c r="O711" s="4"/>
      <c r="P711" s="4"/>
      <c r="Q711" s="4"/>
      <c r="R711" s="4"/>
      <c r="S711" s="4"/>
      <c r="T711" s="4"/>
      <c r="U711" s="4"/>
      <c r="V711" s="4"/>
      <c r="W711" s="4"/>
      <c r="X711" s="4"/>
      <c r="Y711" s="4"/>
      <c r="Z711" s="4"/>
    </row>
    <row r="712" ht="14.25" customHeight="1">
      <c r="A712" s="2"/>
      <c r="B712" s="4"/>
      <c r="C712" s="2"/>
      <c r="D712" s="2"/>
      <c r="E712" s="4"/>
      <c r="F712" s="2"/>
      <c r="G712" s="4"/>
      <c r="H712" s="4"/>
      <c r="I712" s="4"/>
      <c r="J712" s="4"/>
      <c r="K712" s="4"/>
      <c r="L712" s="4"/>
      <c r="M712" s="4"/>
      <c r="N712" s="4"/>
      <c r="O712" s="4"/>
      <c r="P712" s="4"/>
      <c r="Q712" s="4"/>
      <c r="R712" s="4"/>
      <c r="S712" s="4"/>
      <c r="T712" s="4"/>
      <c r="U712" s="4"/>
      <c r="V712" s="4"/>
      <c r="W712" s="4"/>
      <c r="X712" s="4"/>
      <c r="Y712" s="4"/>
      <c r="Z712" s="4"/>
    </row>
    <row r="713" ht="14.25" customHeight="1">
      <c r="A713" s="2"/>
      <c r="B713" s="4"/>
      <c r="C713" s="2"/>
      <c r="D713" s="2"/>
      <c r="E713" s="4"/>
      <c r="F713" s="2"/>
      <c r="G713" s="4"/>
      <c r="H713" s="4"/>
      <c r="I713" s="4"/>
      <c r="J713" s="4"/>
      <c r="K713" s="4"/>
      <c r="L713" s="4"/>
      <c r="M713" s="4"/>
      <c r="N713" s="4"/>
      <c r="O713" s="4"/>
      <c r="P713" s="4"/>
      <c r="Q713" s="4"/>
      <c r="R713" s="4"/>
      <c r="S713" s="4"/>
      <c r="T713" s="4"/>
      <c r="U713" s="4"/>
      <c r="V713" s="4"/>
      <c r="W713" s="4"/>
      <c r="X713" s="4"/>
      <c r="Y713" s="4"/>
      <c r="Z713" s="4"/>
    </row>
    <row r="714" ht="14.25" customHeight="1">
      <c r="A714" s="2"/>
      <c r="B714" s="4"/>
      <c r="C714" s="2"/>
      <c r="D714" s="2"/>
      <c r="E714" s="4"/>
      <c r="F714" s="2"/>
      <c r="G714" s="4"/>
      <c r="H714" s="4"/>
      <c r="I714" s="4"/>
      <c r="J714" s="4"/>
      <c r="K714" s="4"/>
      <c r="L714" s="4"/>
      <c r="M714" s="4"/>
      <c r="N714" s="4"/>
      <c r="O714" s="4"/>
      <c r="P714" s="4"/>
      <c r="Q714" s="4"/>
      <c r="R714" s="4"/>
      <c r="S714" s="4"/>
      <c r="T714" s="4"/>
      <c r="U714" s="4"/>
      <c r="V714" s="4"/>
      <c r="W714" s="4"/>
      <c r="X714" s="4"/>
      <c r="Y714" s="4"/>
      <c r="Z714" s="4"/>
    </row>
    <row r="715" ht="14.25" customHeight="1">
      <c r="A715" s="2"/>
      <c r="B715" s="4"/>
      <c r="C715" s="2"/>
      <c r="D715" s="2"/>
      <c r="E715" s="4"/>
      <c r="F715" s="2"/>
      <c r="G715" s="4"/>
      <c r="H715" s="4"/>
      <c r="I715" s="4"/>
      <c r="J715" s="4"/>
      <c r="K715" s="4"/>
      <c r="L715" s="4"/>
      <c r="M715" s="4"/>
      <c r="N715" s="4"/>
      <c r="O715" s="4"/>
      <c r="P715" s="4"/>
      <c r="Q715" s="4"/>
      <c r="R715" s="4"/>
      <c r="S715" s="4"/>
      <c r="T715" s="4"/>
      <c r="U715" s="4"/>
      <c r="V715" s="4"/>
      <c r="W715" s="4"/>
      <c r="X715" s="4"/>
      <c r="Y715" s="4"/>
      <c r="Z715" s="4"/>
    </row>
    <row r="716" ht="14.25" customHeight="1">
      <c r="A716" s="2"/>
      <c r="B716" s="4"/>
      <c r="C716" s="2"/>
      <c r="D716" s="2"/>
      <c r="E716" s="4"/>
      <c r="F716" s="2"/>
      <c r="G716" s="4"/>
      <c r="H716" s="4"/>
      <c r="I716" s="4"/>
      <c r="J716" s="4"/>
      <c r="K716" s="4"/>
      <c r="L716" s="4"/>
      <c r="M716" s="4"/>
      <c r="N716" s="4"/>
      <c r="O716" s="4"/>
      <c r="P716" s="4"/>
      <c r="Q716" s="4"/>
      <c r="R716" s="4"/>
      <c r="S716" s="4"/>
      <c r="T716" s="4"/>
      <c r="U716" s="4"/>
      <c r="V716" s="4"/>
      <c r="W716" s="4"/>
      <c r="X716" s="4"/>
      <c r="Y716" s="4"/>
      <c r="Z716" s="4"/>
    </row>
    <row r="717" ht="14.25" customHeight="1">
      <c r="A717" s="2"/>
      <c r="B717" s="4"/>
      <c r="C717" s="2"/>
      <c r="D717" s="2"/>
      <c r="E717" s="4"/>
      <c r="F717" s="2"/>
      <c r="G717" s="4"/>
      <c r="H717" s="4"/>
      <c r="I717" s="4"/>
      <c r="J717" s="4"/>
      <c r="K717" s="4"/>
      <c r="L717" s="4"/>
      <c r="M717" s="4"/>
      <c r="N717" s="4"/>
      <c r="O717" s="4"/>
      <c r="P717" s="4"/>
      <c r="Q717" s="4"/>
      <c r="R717" s="4"/>
      <c r="S717" s="4"/>
      <c r="T717" s="4"/>
      <c r="U717" s="4"/>
      <c r="V717" s="4"/>
      <c r="W717" s="4"/>
      <c r="X717" s="4"/>
      <c r="Y717" s="4"/>
      <c r="Z717" s="4"/>
    </row>
    <row r="718" ht="14.25" customHeight="1">
      <c r="A718" s="2"/>
      <c r="B718" s="4"/>
      <c r="C718" s="2"/>
      <c r="D718" s="2"/>
      <c r="E718" s="4"/>
      <c r="F718" s="2"/>
      <c r="G718" s="4"/>
      <c r="H718" s="4"/>
      <c r="I718" s="4"/>
      <c r="J718" s="4"/>
      <c r="K718" s="4"/>
      <c r="L718" s="4"/>
      <c r="M718" s="4"/>
      <c r="N718" s="4"/>
      <c r="O718" s="4"/>
      <c r="P718" s="4"/>
      <c r="Q718" s="4"/>
      <c r="R718" s="4"/>
      <c r="S718" s="4"/>
      <c r="T718" s="4"/>
      <c r="U718" s="4"/>
      <c r="V718" s="4"/>
      <c r="W718" s="4"/>
      <c r="X718" s="4"/>
      <c r="Y718" s="4"/>
      <c r="Z718" s="4"/>
    </row>
    <row r="719" ht="14.25" customHeight="1">
      <c r="A719" s="2"/>
      <c r="B719" s="4"/>
      <c r="C719" s="2"/>
      <c r="D719" s="2"/>
      <c r="E719" s="4"/>
      <c r="F719" s="2"/>
      <c r="G719" s="4"/>
      <c r="H719" s="4"/>
      <c r="I719" s="4"/>
      <c r="J719" s="4"/>
      <c r="K719" s="4"/>
      <c r="L719" s="4"/>
      <c r="M719" s="4"/>
      <c r="N719" s="4"/>
      <c r="O719" s="4"/>
      <c r="P719" s="4"/>
      <c r="Q719" s="4"/>
      <c r="R719" s="4"/>
      <c r="S719" s="4"/>
      <c r="T719" s="4"/>
      <c r="U719" s="4"/>
      <c r="V719" s="4"/>
      <c r="W719" s="4"/>
      <c r="X719" s="4"/>
      <c r="Y719" s="4"/>
      <c r="Z719" s="4"/>
    </row>
    <row r="720" ht="14.25" customHeight="1">
      <c r="A720" s="2"/>
      <c r="B720" s="4"/>
      <c r="C720" s="2"/>
      <c r="D720" s="2"/>
      <c r="E720" s="4"/>
      <c r="F720" s="2"/>
      <c r="G720" s="4"/>
      <c r="H720" s="4"/>
      <c r="I720" s="4"/>
      <c r="J720" s="4"/>
      <c r="K720" s="4"/>
      <c r="L720" s="4"/>
      <c r="M720" s="4"/>
      <c r="N720" s="4"/>
      <c r="O720" s="4"/>
      <c r="P720" s="4"/>
      <c r="Q720" s="4"/>
      <c r="R720" s="4"/>
      <c r="S720" s="4"/>
      <c r="T720" s="4"/>
      <c r="U720" s="4"/>
      <c r="V720" s="4"/>
      <c r="W720" s="4"/>
      <c r="X720" s="4"/>
      <c r="Y720" s="4"/>
      <c r="Z720" s="4"/>
    </row>
    <row r="721" ht="14.25" customHeight="1">
      <c r="A721" s="2"/>
      <c r="B721" s="4"/>
      <c r="C721" s="2"/>
      <c r="D721" s="2"/>
      <c r="E721" s="4"/>
      <c r="F721" s="2"/>
      <c r="G721" s="4"/>
      <c r="H721" s="4"/>
      <c r="I721" s="4"/>
      <c r="J721" s="4"/>
      <c r="K721" s="4"/>
      <c r="L721" s="4"/>
      <c r="M721" s="4"/>
      <c r="N721" s="4"/>
      <c r="O721" s="4"/>
      <c r="P721" s="4"/>
      <c r="Q721" s="4"/>
      <c r="R721" s="4"/>
      <c r="S721" s="4"/>
      <c r="T721" s="4"/>
      <c r="U721" s="4"/>
      <c r="V721" s="4"/>
      <c r="W721" s="4"/>
      <c r="X721" s="4"/>
      <c r="Y721" s="4"/>
      <c r="Z721" s="4"/>
    </row>
    <row r="722" ht="14.25" customHeight="1">
      <c r="A722" s="2"/>
      <c r="B722" s="4"/>
      <c r="C722" s="2"/>
      <c r="D722" s="2"/>
      <c r="E722" s="4"/>
      <c r="F722" s="2"/>
      <c r="G722" s="4"/>
      <c r="H722" s="4"/>
      <c r="I722" s="4"/>
      <c r="J722" s="4"/>
      <c r="K722" s="4"/>
      <c r="L722" s="4"/>
      <c r="M722" s="4"/>
      <c r="N722" s="4"/>
      <c r="O722" s="4"/>
      <c r="P722" s="4"/>
      <c r="Q722" s="4"/>
      <c r="R722" s="4"/>
      <c r="S722" s="4"/>
      <c r="T722" s="4"/>
      <c r="U722" s="4"/>
      <c r="V722" s="4"/>
      <c r="W722" s="4"/>
      <c r="X722" s="4"/>
      <c r="Y722" s="4"/>
      <c r="Z722" s="4"/>
    </row>
    <row r="723" ht="14.25" customHeight="1">
      <c r="A723" s="2"/>
      <c r="B723" s="4"/>
      <c r="C723" s="2"/>
      <c r="D723" s="2"/>
      <c r="E723" s="4"/>
      <c r="F723" s="2"/>
      <c r="G723" s="4"/>
      <c r="H723" s="4"/>
      <c r="I723" s="4"/>
      <c r="J723" s="4"/>
      <c r="K723" s="4"/>
      <c r="L723" s="4"/>
      <c r="M723" s="4"/>
      <c r="N723" s="4"/>
      <c r="O723" s="4"/>
      <c r="P723" s="4"/>
      <c r="Q723" s="4"/>
      <c r="R723" s="4"/>
      <c r="S723" s="4"/>
      <c r="T723" s="4"/>
      <c r="U723" s="4"/>
      <c r="V723" s="4"/>
      <c r="W723" s="4"/>
      <c r="X723" s="4"/>
      <c r="Y723" s="4"/>
      <c r="Z723" s="4"/>
    </row>
    <row r="724" ht="14.25" customHeight="1">
      <c r="A724" s="2"/>
      <c r="B724" s="4"/>
      <c r="C724" s="2"/>
      <c r="D724" s="2"/>
      <c r="E724" s="4"/>
      <c r="F724" s="2"/>
      <c r="G724" s="4"/>
      <c r="H724" s="4"/>
      <c r="I724" s="4"/>
      <c r="J724" s="4"/>
      <c r="K724" s="4"/>
      <c r="L724" s="4"/>
      <c r="M724" s="4"/>
      <c r="N724" s="4"/>
      <c r="O724" s="4"/>
      <c r="P724" s="4"/>
      <c r="Q724" s="4"/>
      <c r="R724" s="4"/>
      <c r="S724" s="4"/>
      <c r="T724" s="4"/>
      <c r="U724" s="4"/>
      <c r="V724" s="4"/>
      <c r="W724" s="4"/>
      <c r="X724" s="4"/>
      <c r="Y724" s="4"/>
      <c r="Z724" s="4"/>
    </row>
    <row r="725" ht="14.25" customHeight="1">
      <c r="A725" s="2"/>
      <c r="B725" s="4"/>
      <c r="C725" s="2"/>
      <c r="D725" s="2"/>
      <c r="E725" s="4"/>
      <c r="F725" s="2"/>
      <c r="G725" s="4"/>
      <c r="H725" s="4"/>
      <c r="I725" s="4"/>
      <c r="J725" s="4"/>
      <c r="K725" s="4"/>
      <c r="L725" s="4"/>
      <c r="M725" s="4"/>
      <c r="N725" s="4"/>
      <c r="O725" s="4"/>
      <c r="P725" s="4"/>
      <c r="Q725" s="4"/>
      <c r="R725" s="4"/>
      <c r="S725" s="4"/>
      <c r="T725" s="4"/>
      <c r="U725" s="4"/>
      <c r="V725" s="4"/>
      <c r="W725" s="4"/>
      <c r="X725" s="4"/>
      <c r="Y725" s="4"/>
      <c r="Z725" s="4"/>
    </row>
    <row r="726" ht="14.25" customHeight="1">
      <c r="A726" s="2"/>
      <c r="B726" s="4"/>
      <c r="C726" s="2"/>
      <c r="D726" s="2"/>
      <c r="E726" s="4"/>
      <c r="F726" s="2"/>
      <c r="G726" s="4"/>
      <c r="H726" s="4"/>
      <c r="I726" s="4"/>
      <c r="J726" s="4"/>
      <c r="K726" s="4"/>
      <c r="L726" s="4"/>
      <c r="M726" s="4"/>
      <c r="N726" s="4"/>
      <c r="O726" s="4"/>
      <c r="P726" s="4"/>
      <c r="Q726" s="4"/>
      <c r="R726" s="4"/>
      <c r="S726" s="4"/>
      <c r="T726" s="4"/>
      <c r="U726" s="4"/>
      <c r="V726" s="4"/>
      <c r="W726" s="4"/>
      <c r="X726" s="4"/>
      <c r="Y726" s="4"/>
      <c r="Z726" s="4"/>
    </row>
    <row r="727" ht="14.25" customHeight="1">
      <c r="A727" s="2"/>
      <c r="B727" s="4"/>
      <c r="C727" s="2"/>
      <c r="D727" s="2"/>
      <c r="E727" s="4"/>
      <c r="F727" s="2"/>
      <c r="G727" s="4"/>
      <c r="H727" s="4"/>
      <c r="I727" s="4"/>
      <c r="J727" s="4"/>
      <c r="K727" s="4"/>
      <c r="L727" s="4"/>
      <c r="M727" s="4"/>
      <c r="N727" s="4"/>
      <c r="O727" s="4"/>
      <c r="P727" s="4"/>
      <c r="Q727" s="4"/>
      <c r="R727" s="4"/>
      <c r="S727" s="4"/>
      <c r="T727" s="4"/>
      <c r="U727" s="4"/>
      <c r="V727" s="4"/>
      <c r="W727" s="4"/>
      <c r="X727" s="4"/>
      <c r="Y727" s="4"/>
      <c r="Z727" s="4"/>
    </row>
    <row r="728" ht="14.25" customHeight="1">
      <c r="A728" s="2"/>
      <c r="B728" s="4"/>
      <c r="C728" s="2"/>
      <c r="D728" s="2"/>
      <c r="E728" s="4"/>
      <c r="F728" s="2"/>
      <c r="G728" s="4"/>
      <c r="H728" s="4"/>
      <c r="I728" s="4"/>
      <c r="J728" s="4"/>
      <c r="K728" s="4"/>
      <c r="L728" s="4"/>
      <c r="M728" s="4"/>
      <c r="N728" s="4"/>
      <c r="O728" s="4"/>
      <c r="P728" s="4"/>
      <c r="Q728" s="4"/>
      <c r="R728" s="4"/>
      <c r="S728" s="4"/>
      <c r="T728" s="4"/>
      <c r="U728" s="4"/>
      <c r="V728" s="4"/>
      <c r="W728" s="4"/>
      <c r="X728" s="4"/>
      <c r="Y728" s="4"/>
      <c r="Z728" s="4"/>
    </row>
    <row r="729" ht="14.25" customHeight="1">
      <c r="A729" s="2"/>
      <c r="B729" s="4"/>
      <c r="C729" s="2"/>
      <c r="D729" s="2"/>
      <c r="E729" s="4"/>
      <c r="F729" s="2"/>
      <c r="G729" s="4"/>
      <c r="H729" s="4"/>
      <c r="I729" s="4"/>
      <c r="J729" s="4"/>
      <c r="K729" s="4"/>
      <c r="L729" s="4"/>
      <c r="M729" s="4"/>
      <c r="N729" s="4"/>
      <c r="O729" s="4"/>
      <c r="P729" s="4"/>
      <c r="Q729" s="4"/>
      <c r="R729" s="4"/>
      <c r="S729" s="4"/>
      <c r="T729" s="4"/>
      <c r="U729" s="4"/>
      <c r="V729" s="4"/>
      <c r="W729" s="4"/>
      <c r="X729" s="4"/>
      <c r="Y729" s="4"/>
      <c r="Z729" s="4"/>
    </row>
    <row r="730" ht="14.25" customHeight="1">
      <c r="A730" s="2"/>
      <c r="B730" s="4"/>
      <c r="C730" s="2"/>
      <c r="D730" s="2"/>
      <c r="E730" s="4"/>
      <c r="F730" s="2"/>
      <c r="G730" s="4"/>
      <c r="H730" s="4"/>
      <c r="I730" s="4"/>
      <c r="J730" s="4"/>
      <c r="K730" s="4"/>
      <c r="L730" s="4"/>
      <c r="M730" s="4"/>
      <c r="N730" s="4"/>
      <c r="O730" s="4"/>
      <c r="P730" s="4"/>
      <c r="Q730" s="4"/>
      <c r="R730" s="4"/>
      <c r="S730" s="4"/>
      <c r="T730" s="4"/>
      <c r="U730" s="4"/>
      <c r="V730" s="4"/>
      <c r="W730" s="4"/>
      <c r="X730" s="4"/>
      <c r="Y730" s="4"/>
      <c r="Z730" s="4"/>
    </row>
    <row r="731" ht="14.25" customHeight="1">
      <c r="A731" s="2"/>
      <c r="B731" s="4"/>
      <c r="C731" s="2"/>
      <c r="D731" s="2"/>
      <c r="E731" s="4"/>
      <c r="F731" s="2"/>
      <c r="G731" s="4"/>
      <c r="H731" s="4"/>
      <c r="I731" s="4"/>
      <c r="J731" s="4"/>
      <c r="K731" s="4"/>
      <c r="L731" s="4"/>
      <c r="M731" s="4"/>
      <c r="N731" s="4"/>
      <c r="O731" s="4"/>
      <c r="P731" s="4"/>
      <c r="Q731" s="4"/>
      <c r="R731" s="4"/>
      <c r="S731" s="4"/>
      <c r="T731" s="4"/>
      <c r="U731" s="4"/>
      <c r="V731" s="4"/>
      <c r="W731" s="4"/>
      <c r="X731" s="4"/>
      <c r="Y731" s="4"/>
      <c r="Z731" s="4"/>
    </row>
    <row r="732" ht="14.25" customHeight="1">
      <c r="A732" s="2"/>
      <c r="B732" s="4"/>
      <c r="C732" s="2"/>
      <c r="D732" s="2"/>
      <c r="E732" s="4"/>
      <c r="F732" s="2"/>
      <c r="G732" s="4"/>
      <c r="H732" s="4"/>
      <c r="I732" s="4"/>
      <c r="J732" s="4"/>
      <c r="K732" s="4"/>
      <c r="L732" s="4"/>
      <c r="M732" s="4"/>
      <c r="N732" s="4"/>
      <c r="O732" s="4"/>
      <c r="P732" s="4"/>
      <c r="Q732" s="4"/>
      <c r="R732" s="4"/>
      <c r="S732" s="4"/>
      <c r="T732" s="4"/>
      <c r="U732" s="4"/>
      <c r="V732" s="4"/>
      <c r="W732" s="4"/>
      <c r="X732" s="4"/>
      <c r="Y732" s="4"/>
      <c r="Z732" s="4"/>
    </row>
    <row r="733" ht="14.25" customHeight="1">
      <c r="A733" s="2"/>
      <c r="B733" s="4"/>
      <c r="C733" s="2"/>
      <c r="D733" s="2"/>
      <c r="E733" s="4"/>
      <c r="F733" s="2"/>
      <c r="G733" s="4"/>
      <c r="H733" s="4"/>
      <c r="I733" s="4"/>
      <c r="J733" s="4"/>
      <c r="K733" s="4"/>
      <c r="L733" s="4"/>
      <c r="M733" s="4"/>
      <c r="N733" s="4"/>
      <c r="O733" s="4"/>
      <c r="P733" s="4"/>
      <c r="Q733" s="4"/>
      <c r="R733" s="4"/>
      <c r="S733" s="4"/>
      <c r="T733" s="4"/>
      <c r="U733" s="4"/>
      <c r="V733" s="4"/>
      <c r="W733" s="4"/>
      <c r="X733" s="4"/>
      <c r="Y733" s="4"/>
      <c r="Z733" s="4"/>
    </row>
    <row r="734" ht="14.25" customHeight="1">
      <c r="A734" s="2"/>
      <c r="B734" s="4"/>
      <c r="C734" s="2"/>
      <c r="D734" s="2"/>
      <c r="E734" s="4"/>
      <c r="F734" s="2"/>
      <c r="G734" s="4"/>
      <c r="H734" s="4"/>
      <c r="I734" s="4"/>
      <c r="J734" s="4"/>
      <c r="K734" s="4"/>
      <c r="L734" s="4"/>
      <c r="M734" s="4"/>
      <c r="N734" s="4"/>
      <c r="O734" s="4"/>
      <c r="P734" s="4"/>
      <c r="Q734" s="4"/>
      <c r="R734" s="4"/>
      <c r="S734" s="4"/>
      <c r="T734" s="4"/>
      <c r="U734" s="4"/>
      <c r="V734" s="4"/>
      <c r="W734" s="4"/>
      <c r="X734" s="4"/>
      <c r="Y734" s="4"/>
      <c r="Z734" s="4"/>
    </row>
    <row r="735" ht="14.25" customHeight="1">
      <c r="A735" s="2"/>
      <c r="B735" s="4"/>
      <c r="C735" s="2"/>
      <c r="D735" s="2"/>
      <c r="E735" s="4"/>
      <c r="F735" s="2"/>
      <c r="G735" s="4"/>
      <c r="H735" s="4"/>
      <c r="I735" s="4"/>
      <c r="J735" s="4"/>
      <c r="K735" s="4"/>
      <c r="L735" s="4"/>
      <c r="M735" s="4"/>
      <c r="N735" s="4"/>
      <c r="O735" s="4"/>
      <c r="P735" s="4"/>
      <c r="Q735" s="4"/>
      <c r="R735" s="4"/>
      <c r="S735" s="4"/>
      <c r="T735" s="4"/>
      <c r="U735" s="4"/>
      <c r="V735" s="4"/>
      <c r="W735" s="4"/>
      <c r="X735" s="4"/>
      <c r="Y735" s="4"/>
      <c r="Z735" s="4"/>
    </row>
    <row r="736" ht="14.25" customHeight="1">
      <c r="A736" s="2"/>
      <c r="B736" s="4"/>
      <c r="C736" s="2"/>
      <c r="D736" s="2"/>
      <c r="E736" s="4"/>
      <c r="F736" s="2"/>
      <c r="G736" s="4"/>
      <c r="H736" s="4"/>
      <c r="I736" s="4"/>
      <c r="J736" s="4"/>
      <c r="K736" s="4"/>
      <c r="L736" s="4"/>
      <c r="M736" s="4"/>
      <c r="N736" s="4"/>
      <c r="O736" s="4"/>
      <c r="P736" s="4"/>
      <c r="Q736" s="4"/>
      <c r="R736" s="4"/>
      <c r="S736" s="4"/>
      <c r="T736" s="4"/>
      <c r="U736" s="4"/>
      <c r="V736" s="4"/>
      <c r="W736" s="4"/>
      <c r="X736" s="4"/>
      <c r="Y736" s="4"/>
      <c r="Z736" s="4"/>
    </row>
    <row r="737" ht="14.25" customHeight="1">
      <c r="A737" s="2"/>
      <c r="B737" s="4"/>
      <c r="C737" s="2"/>
      <c r="D737" s="2"/>
      <c r="E737" s="4"/>
      <c r="F737" s="2"/>
      <c r="G737" s="4"/>
      <c r="H737" s="4"/>
      <c r="I737" s="4"/>
      <c r="J737" s="4"/>
      <c r="K737" s="4"/>
      <c r="L737" s="4"/>
      <c r="M737" s="4"/>
      <c r="N737" s="4"/>
      <c r="O737" s="4"/>
      <c r="P737" s="4"/>
      <c r="Q737" s="4"/>
      <c r="R737" s="4"/>
      <c r="S737" s="4"/>
      <c r="T737" s="4"/>
      <c r="U737" s="4"/>
      <c r="V737" s="4"/>
      <c r="W737" s="4"/>
      <c r="X737" s="4"/>
      <c r="Y737" s="4"/>
      <c r="Z737" s="4"/>
    </row>
    <row r="738" ht="14.25" customHeight="1">
      <c r="A738" s="2"/>
      <c r="B738" s="4"/>
      <c r="C738" s="2"/>
      <c r="D738" s="2"/>
      <c r="E738" s="4"/>
      <c r="F738" s="2"/>
      <c r="G738" s="4"/>
      <c r="H738" s="4"/>
      <c r="I738" s="4"/>
      <c r="J738" s="4"/>
      <c r="K738" s="4"/>
      <c r="L738" s="4"/>
      <c r="M738" s="4"/>
      <c r="N738" s="4"/>
      <c r="O738" s="4"/>
      <c r="P738" s="4"/>
      <c r="Q738" s="4"/>
      <c r="R738" s="4"/>
      <c r="S738" s="4"/>
      <c r="T738" s="4"/>
      <c r="U738" s="4"/>
      <c r="V738" s="4"/>
      <c r="W738" s="4"/>
      <c r="X738" s="4"/>
      <c r="Y738" s="4"/>
      <c r="Z738" s="4"/>
    </row>
    <row r="739" ht="14.25" customHeight="1">
      <c r="A739" s="2"/>
      <c r="B739" s="4"/>
      <c r="C739" s="2"/>
      <c r="D739" s="2"/>
      <c r="E739" s="4"/>
      <c r="F739" s="2"/>
      <c r="G739" s="4"/>
      <c r="H739" s="4"/>
      <c r="I739" s="4"/>
      <c r="J739" s="4"/>
      <c r="K739" s="4"/>
      <c r="L739" s="4"/>
      <c r="M739" s="4"/>
      <c r="N739" s="4"/>
      <c r="O739" s="4"/>
      <c r="P739" s="4"/>
      <c r="Q739" s="4"/>
      <c r="R739" s="4"/>
      <c r="S739" s="4"/>
      <c r="T739" s="4"/>
      <c r="U739" s="4"/>
      <c r="V739" s="4"/>
      <c r="W739" s="4"/>
      <c r="X739" s="4"/>
      <c r="Y739" s="4"/>
      <c r="Z739" s="4"/>
    </row>
    <row r="740" ht="14.25" customHeight="1">
      <c r="A740" s="2"/>
      <c r="B740" s="4"/>
      <c r="C740" s="2"/>
      <c r="D740" s="2"/>
      <c r="E740" s="4"/>
      <c r="F740" s="2"/>
      <c r="G740" s="4"/>
      <c r="H740" s="4"/>
      <c r="I740" s="4"/>
      <c r="J740" s="4"/>
      <c r="K740" s="4"/>
      <c r="L740" s="4"/>
      <c r="M740" s="4"/>
      <c r="N740" s="4"/>
      <c r="O740" s="4"/>
      <c r="P740" s="4"/>
      <c r="Q740" s="4"/>
      <c r="R740" s="4"/>
      <c r="S740" s="4"/>
      <c r="T740" s="4"/>
      <c r="U740" s="4"/>
      <c r="V740" s="4"/>
      <c r="W740" s="4"/>
      <c r="X740" s="4"/>
      <c r="Y740" s="4"/>
      <c r="Z740" s="4"/>
    </row>
    <row r="741" ht="14.25" customHeight="1">
      <c r="A741" s="2"/>
      <c r="B741" s="4"/>
      <c r="C741" s="2"/>
      <c r="D741" s="2"/>
      <c r="E741" s="4"/>
      <c r="F741" s="2"/>
      <c r="G741" s="4"/>
      <c r="H741" s="4"/>
      <c r="I741" s="4"/>
      <c r="J741" s="4"/>
      <c r="K741" s="4"/>
      <c r="L741" s="4"/>
      <c r="M741" s="4"/>
      <c r="N741" s="4"/>
      <c r="O741" s="4"/>
      <c r="P741" s="4"/>
      <c r="Q741" s="4"/>
      <c r="R741" s="4"/>
      <c r="S741" s="4"/>
      <c r="T741" s="4"/>
      <c r="U741" s="4"/>
      <c r="V741" s="4"/>
      <c r="W741" s="4"/>
      <c r="X741" s="4"/>
      <c r="Y741" s="4"/>
      <c r="Z741" s="4"/>
    </row>
    <row r="742" ht="14.25" customHeight="1">
      <c r="A742" s="2"/>
      <c r="B742" s="4"/>
      <c r="C742" s="2"/>
      <c r="D742" s="2"/>
      <c r="E742" s="4"/>
      <c r="F742" s="2"/>
      <c r="G742" s="4"/>
      <c r="H742" s="4"/>
      <c r="I742" s="4"/>
      <c r="J742" s="4"/>
      <c r="K742" s="4"/>
      <c r="L742" s="4"/>
      <c r="M742" s="4"/>
      <c r="N742" s="4"/>
      <c r="O742" s="4"/>
      <c r="P742" s="4"/>
      <c r="Q742" s="4"/>
      <c r="R742" s="4"/>
      <c r="S742" s="4"/>
      <c r="T742" s="4"/>
      <c r="U742" s="4"/>
      <c r="V742" s="4"/>
      <c r="W742" s="4"/>
      <c r="X742" s="4"/>
      <c r="Y742" s="4"/>
      <c r="Z742" s="4"/>
    </row>
    <row r="743" ht="14.25" customHeight="1">
      <c r="A743" s="2"/>
      <c r="B743" s="4"/>
      <c r="C743" s="2"/>
      <c r="D743" s="2"/>
      <c r="E743" s="4"/>
      <c r="F743" s="2"/>
      <c r="G743" s="4"/>
      <c r="H743" s="4"/>
      <c r="I743" s="4"/>
      <c r="J743" s="4"/>
      <c r="K743" s="4"/>
      <c r="L743" s="4"/>
      <c r="M743" s="4"/>
      <c r="N743" s="4"/>
      <c r="O743" s="4"/>
      <c r="P743" s="4"/>
      <c r="Q743" s="4"/>
      <c r="R743" s="4"/>
      <c r="S743" s="4"/>
      <c r="T743" s="4"/>
      <c r="U743" s="4"/>
      <c r="V743" s="4"/>
      <c r="W743" s="4"/>
      <c r="X743" s="4"/>
      <c r="Y743" s="4"/>
      <c r="Z743" s="4"/>
    </row>
    <row r="744" ht="14.25" customHeight="1">
      <c r="A744" s="2"/>
      <c r="B744" s="4"/>
      <c r="C744" s="2"/>
      <c r="D744" s="2"/>
      <c r="E744" s="4"/>
      <c r="F744" s="2"/>
      <c r="G744" s="4"/>
      <c r="H744" s="4"/>
      <c r="I744" s="4"/>
      <c r="J744" s="4"/>
      <c r="K744" s="4"/>
      <c r="L744" s="4"/>
      <c r="M744" s="4"/>
      <c r="N744" s="4"/>
      <c r="O744" s="4"/>
      <c r="P744" s="4"/>
      <c r="Q744" s="4"/>
      <c r="R744" s="4"/>
      <c r="S744" s="4"/>
      <c r="T744" s="4"/>
      <c r="U744" s="4"/>
      <c r="V744" s="4"/>
      <c r="W744" s="4"/>
      <c r="X744" s="4"/>
      <c r="Y744" s="4"/>
      <c r="Z744" s="4"/>
    </row>
    <row r="745" ht="14.25" customHeight="1">
      <c r="A745" s="2"/>
      <c r="B745" s="4"/>
      <c r="C745" s="2"/>
      <c r="D745" s="2"/>
      <c r="E745" s="4"/>
      <c r="F745" s="2"/>
      <c r="G745" s="4"/>
      <c r="H745" s="4"/>
      <c r="I745" s="4"/>
      <c r="J745" s="4"/>
      <c r="K745" s="4"/>
      <c r="L745" s="4"/>
      <c r="M745" s="4"/>
      <c r="N745" s="4"/>
      <c r="O745" s="4"/>
      <c r="P745" s="4"/>
      <c r="Q745" s="4"/>
      <c r="R745" s="4"/>
      <c r="S745" s="4"/>
      <c r="T745" s="4"/>
      <c r="U745" s="4"/>
      <c r="V745" s="4"/>
      <c r="W745" s="4"/>
      <c r="X745" s="4"/>
      <c r="Y745" s="4"/>
      <c r="Z745" s="4"/>
    </row>
    <row r="746" ht="14.25" customHeight="1">
      <c r="A746" s="2"/>
      <c r="B746" s="4"/>
      <c r="C746" s="2"/>
      <c r="D746" s="2"/>
      <c r="E746" s="4"/>
      <c r="F746" s="2"/>
      <c r="G746" s="4"/>
      <c r="H746" s="4"/>
      <c r="I746" s="4"/>
      <c r="J746" s="4"/>
      <c r="K746" s="4"/>
      <c r="L746" s="4"/>
      <c r="M746" s="4"/>
      <c r="N746" s="4"/>
      <c r="O746" s="4"/>
      <c r="P746" s="4"/>
      <c r="Q746" s="4"/>
      <c r="R746" s="4"/>
      <c r="S746" s="4"/>
      <c r="T746" s="4"/>
      <c r="U746" s="4"/>
      <c r="V746" s="4"/>
      <c r="W746" s="4"/>
      <c r="X746" s="4"/>
      <c r="Y746" s="4"/>
      <c r="Z746" s="4"/>
    </row>
    <row r="747" ht="14.25" customHeight="1">
      <c r="A747" s="2"/>
      <c r="B747" s="4"/>
      <c r="C747" s="2"/>
      <c r="D747" s="2"/>
      <c r="E747" s="4"/>
      <c r="F747" s="2"/>
      <c r="G747" s="4"/>
      <c r="H747" s="4"/>
      <c r="I747" s="4"/>
      <c r="J747" s="4"/>
      <c r="K747" s="4"/>
      <c r="L747" s="4"/>
      <c r="M747" s="4"/>
      <c r="N747" s="4"/>
      <c r="O747" s="4"/>
      <c r="P747" s="4"/>
      <c r="Q747" s="4"/>
      <c r="R747" s="4"/>
      <c r="S747" s="4"/>
      <c r="T747" s="4"/>
      <c r="U747" s="4"/>
      <c r="V747" s="4"/>
      <c r="W747" s="4"/>
      <c r="X747" s="4"/>
      <c r="Y747" s="4"/>
      <c r="Z747" s="4"/>
    </row>
    <row r="748" ht="14.25" customHeight="1">
      <c r="A748" s="2"/>
      <c r="B748" s="4"/>
      <c r="C748" s="2"/>
      <c r="D748" s="2"/>
      <c r="E748" s="4"/>
      <c r="F748" s="2"/>
      <c r="G748" s="4"/>
      <c r="H748" s="4"/>
      <c r="I748" s="4"/>
      <c r="J748" s="4"/>
      <c r="K748" s="4"/>
      <c r="L748" s="4"/>
      <c r="M748" s="4"/>
      <c r="N748" s="4"/>
      <c r="O748" s="4"/>
      <c r="P748" s="4"/>
      <c r="Q748" s="4"/>
      <c r="R748" s="4"/>
      <c r="S748" s="4"/>
      <c r="T748" s="4"/>
      <c r="U748" s="4"/>
      <c r="V748" s="4"/>
      <c r="W748" s="4"/>
      <c r="X748" s="4"/>
      <c r="Y748" s="4"/>
      <c r="Z748" s="4"/>
    </row>
    <row r="749" ht="14.25" customHeight="1">
      <c r="A749" s="2"/>
      <c r="B749" s="4"/>
      <c r="C749" s="2"/>
      <c r="D749" s="2"/>
      <c r="E749" s="4"/>
      <c r="F749" s="2"/>
      <c r="G749" s="4"/>
      <c r="H749" s="4"/>
      <c r="I749" s="4"/>
      <c r="J749" s="4"/>
      <c r="K749" s="4"/>
      <c r="L749" s="4"/>
      <c r="M749" s="4"/>
      <c r="N749" s="4"/>
      <c r="O749" s="4"/>
      <c r="P749" s="4"/>
      <c r="Q749" s="4"/>
      <c r="R749" s="4"/>
      <c r="S749" s="4"/>
      <c r="T749" s="4"/>
      <c r="U749" s="4"/>
      <c r="V749" s="4"/>
      <c r="W749" s="4"/>
      <c r="X749" s="4"/>
      <c r="Y749" s="4"/>
      <c r="Z749" s="4"/>
    </row>
    <row r="750" ht="14.25" customHeight="1">
      <c r="A750" s="2"/>
      <c r="B750" s="4"/>
      <c r="C750" s="2"/>
      <c r="D750" s="2"/>
      <c r="E750" s="4"/>
      <c r="F750" s="2"/>
      <c r="G750" s="4"/>
      <c r="H750" s="4"/>
      <c r="I750" s="4"/>
      <c r="J750" s="4"/>
      <c r="K750" s="4"/>
      <c r="L750" s="4"/>
      <c r="M750" s="4"/>
      <c r="N750" s="4"/>
      <c r="O750" s="4"/>
      <c r="P750" s="4"/>
      <c r="Q750" s="4"/>
      <c r="R750" s="4"/>
      <c r="S750" s="4"/>
      <c r="T750" s="4"/>
      <c r="U750" s="4"/>
      <c r="V750" s="4"/>
      <c r="W750" s="4"/>
      <c r="X750" s="4"/>
      <c r="Y750" s="4"/>
      <c r="Z750" s="4"/>
    </row>
    <row r="751" ht="14.25" customHeight="1">
      <c r="A751" s="2"/>
      <c r="B751" s="4"/>
      <c r="C751" s="2"/>
      <c r="D751" s="2"/>
      <c r="E751" s="4"/>
      <c r="F751" s="2"/>
      <c r="G751" s="4"/>
      <c r="H751" s="4"/>
      <c r="I751" s="4"/>
      <c r="J751" s="4"/>
      <c r="K751" s="4"/>
      <c r="L751" s="4"/>
      <c r="M751" s="4"/>
      <c r="N751" s="4"/>
      <c r="O751" s="4"/>
      <c r="P751" s="4"/>
      <c r="Q751" s="4"/>
      <c r="R751" s="4"/>
      <c r="S751" s="4"/>
      <c r="T751" s="4"/>
      <c r="U751" s="4"/>
      <c r="V751" s="4"/>
      <c r="W751" s="4"/>
      <c r="X751" s="4"/>
      <c r="Y751" s="4"/>
      <c r="Z751" s="4"/>
    </row>
    <row r="752" ht="14.25" customHeight="1">
      <c r="A752" s="2"/>
      <c r="B752" s="4"/>
      <c r="C752" s="2"/>
      <c r="D752" s="2"/>
      <c r="E752" s="4"/>
      <c r="F752" s="2"/>
      <c r="G752" s="4"/>
      <c r="H752" s="4"/>
      <c r="I752" s="4"/>
      <c r="J752" s="4"/>
      <c r="K752" s="4"/>
      <c r="L752" s="4"/>
      <c r="M752" s="4"/>
      <c r="N752" s="4"/>
      <c r="O752" s="4"/>
      <c r="P752" s="4"/>
      <c r="Q752" s="4"/>
      <c r="R752" s="4"/>
      <c r="S752" s="4"/>
      <c r="T752" s="4"/>
      <c r="U752" s="4"/>
      <c r="V752" s="4"/>
      <c r="W752" s="4"/>
      <c r="X752" s="4"/>
      <c r="Y752" s="4"/>
      <c r="Z752" s="4"/>
    </row>
    <row r="753" ht="14.25" customHeight="1">
      <c r="A753" s="2"/>
      <c r="B753" s="4"/>
      <c r="C753" s="2"/>
      <c r="D753" s="2"/>
      <c r="E753" s="4"/>
      <c r="F753" s="2"/>
      <c r="G753" s="4"/>
      <c r="H753" s="4"/>
      <c r="I753" s="4"/>
      <c r="J753" s="4"/>
      <c r="K753" s="4"/>
      <c r="L753" s="4"/>
      <c r="M753" s="4"/>
      <c r="N753" s="4"/>
      <c r="O753" s="4"/>
      <c r="P753" s="4"/>
      <c r="Q753" s="4"/>
      <c r="R753" s="4"/>
      <c r="S753" s="4"/>
      <c r="T753" s="4"/>
      <c r="U753" s="4"/>
      <c r="V753" s="4"/>
      <c r="W753" s="4"/>
      <c r="X753" s="4"/>
      <c r="Y753" s="4"/>
      <c r="Z753" s="4"/>
    </row>
    <row r="754" ht="14.25" customHeight="1">
      <c r="A754" s="2"/>
      <c r="B754" s="4"/>
      <c r="C754" s="2"/>
      <c r="D754" s="2"/>
      <c r="E754" s="4"/>
      <c r="F754" s="2"/>
      <c r="G754" s="4"/>
      <c r="H754" s="4"/>
      <c r="I754" s="4"/>
      <c r="J754" s="4"/>
      <c r="K754" s="4"/>
      <c r="L754" s="4"/>
      <c r="M754" s="4"/>
      <c r="N754" s="4"/>
      <c r="O754" s="4"/>
      <c r="P754" s="4"/>
      <c r="Q754" s="4"/>
      <c r="R754" s="4"/>
      <c r="S754" s="4"/>
      <c r="T754" s="4"/>
      <c r="U754" s="4"/>
      <c r="V754" s="4"/>
      <c r="W754" s="4"/>
      <c r="X754" s="4"/>
      <c r="Y754" s="4"/>
      <c r="Z754" s="4"/>
    </row>
    <row r="755" ht="14.25" customHeight="1">
      <c r="A755" s="2"/>
      <c r="B755" s="4"/>
      <c r="C755" s="2"/>
      <c r="D755" s="2"/>
      <c r="E755" s="4"/>
      <c r="F755" s="2"/>
      <c r="G755" s="4"/>
      <c r="H755" s="4"/>
      <c r="I755" s="4"/>
      <c r="J755" s="4"/>
      <c r="K755" s="4"/>
      <c r="L755" s="4"/>
      <c r="M755" s="4"/>
      <c r="N755" s="4"/>
      <c r="O755" s="4"/>
      <c r="P755" s="4"/>
      <c r="Q755" s="4"/>
      <c r="R755" s="4"/>
      <c r="S755" s="4"/>
      <c r="T755" s="4"/>
      <c r="U755" s="4"/>
      <c r="V755" s="4"/>
      <c r="W755" s="4"/>
      <c r="X755" s="4"/>
      <c r="Y755" s="4"/>
      <c r="Z755" s="4"/>
    </row>
    <row r="756" ht="14.25" customHeight="1">
      <c r="A756" s="2"/>
      <c r="B756" s="4"/>
      <c r="C756" s="2"/>
      <c r="D756" s="2"/>
      <c r="E756" s="4"/>
      <c r="F756" s="2"/>
      <c r="G756" s="4"/>
      <c r="H756" s="4"/>
      <c r="I756" s="4"/>
      <c r="J756" s="4"/>
      <c r="K756" s="4"/>
      <c r="L756" s="4"/>
      <c r="M756" s="4"/>
      <c r="N756" s="4"/>
      <c r="O756" s="4"/>
      <c r="P756" s="4"/>
      <c r="Q756" s="4"/>
      <c r="R756" s="4"/>
      <c r="S756" s="4"/>
      <c r="T756" s="4"/>
      <c r="U756" s="4"/>
      <c r="V756" s="4"/>
      <c r="W756" s="4"/>
      <c r="X756" s="4"/>
      <c r="Y756" s="4"/>
      <c r="Z756" s="4"/>
    </row>
    <row r="757" ht="14.25" customHeight="1">
      <c r="A757" s="2"/>
      <c r="B757" s="4"/>
      <c r="C757" s="2"/>
      <c r="D757" s="2"/>
      <c r="E757" s="4"/>
      <c r="F757" s="2"/>
      <c r="G757" s="4"/>
      <c r="H757" s="4"/>
      <c r="I757" s="4"/>
      <c r="J757" s="4"/>
      <c r="K757" s="4"/>
      <c r="L757" s="4"/>
      <c r="M757" s="4"/>
      <c r="N757" s="4"/>
      <c r="O757" s="4"/>
      <c r="P757" s="4"/>
      <c r="Q757" s="4"/>
      <c r="R757" s="4"/>
      <c r="S757" s="4"/>
      <c r="T757" s="4"/>
      <c r="U757" s="4"/>
      <c r="V757" s="4"/>
      <c r="W757" s="4"/>
      <c r="X757" s="4"/>
      <c r="Y757" s="4"/>
      <c r="Z757" s="4"/>
    </row>
    <row r="758" ht="14.25" customHeight="1">
      <c r="A758" s="2"/>
      <c r="B758" s="4"/>
      <c r="C758" s="2"/>
      <c r="D758" s="2"/>
      <c r="E758" s="4"/>
      <c r="F758" s="2"/>
      <c r="G758" s="4"/>
      <c r="H758" s="4"/>
      <c r="I758" s="4"/>
      <c r="J758" s="4"/>
      <c r="K758" s="4"/>
      <c r="L758" s="4"/>
      <c r="M758" s="4"/>
      <c r="N758" s="4"/>
      <c r="O758" s="4"/>
      <c r="P758" s="4"/>
      <c r="Q758" s="4"/>
      <c r="R758" s="4"/>
      <c r="S758" s="4"/>
      <c r="T758" s="4"/>
      <c r="U758" s="4"/>
      <c r="V758" s="4"/>
      <c r="W758" s="4"/>
      <c r="X758" s="4"/>
      <c r="Y758" s="4"/>
      <c r="Z758" s="4"/>
    </row>
    <row r="759" ht="14.25" customHeight="1">
      <c r="A759" s="2"/>
      <c r="B759" s="4"/>
      <c r="C759" s="2"/>
      <c r="D759" s="2"/>
      <c r="E759" s="4"/>
      <c r="F759" s="2"/>
      <c r="G759" s="4"/>
      <c r="H759" s="4"/>
      <c r="I759" s="4"/>
      <c r="J759" s="4"/>
      <c r="K759" s="4"/>
      <c r="L759" s="4"/>
      <c r="M759" s="4"/>
      <c r="N759" s="4"/>
      <c r="O759" s="4"/>
      <c r="P759" s="4"/>
      <c r="Q759" s="4"/>
      <c r="R759" s="4"/>
      <c r="S759" s="4"/>
      <c r="T759" s="4"/>
      <c r="U759" s="4"/>
      <c r="V759" s="4"/>
      <c r="W759" s="4"/>
      <c r="X759" s="4"/>
      <c r="Y759" s="4"/>
      <c r="Z759" s="4"/>
    </row>
    <row r="760" ht="14.25" customHeight="1">
      <c r="A760" s="2"/>
      <c r="B760" s="4"/>
      <c r="C760" s="2"/>
      <c r="D760" s="2"/>
      <c r="E760" s="4"/>
      <c r="F760" s="2"/>
      <c r="G760" s="4"/>
      <c r="H760" s="4"/>
      <c r="I760" s="4"/>
      <c r="J760" s="4"/>
      <c r="K760" s="4"/>
      <c r="L760" s="4"/>
      <c r="M760" s="4"/>
      <c r="N760" s="4"/>
      <c r="O760" s="4"/>
      <c r="P760" s="4"/>
      <c r="Q760" s="4"/>
      <c r="R760" s="4"/>
      <c r="S760" s="4"/>
      <c r="T760" s="4"/>
      <c r="U760" s="4"/>
      <c r="V760" s="4"/>
      <c r="W760" s="4"/>
      <c r="X760" s="4"/>
      <c r="Y760" s="4"/>
      <c r="Z760" s="4"/>
    </row>
    <row r="761" ht="14.25" customHeight="1">
      <c r="A761" s="2"/>
      <c r="B761" s="4"/>
      <c r="C761" s="2"/>
      <c r="D761" s="2"/>
      <c r="E761" s="4"/>
      <c r="F761" s="2"/>
      <c r="G761" s="4"/>
      <c r="H761" s="4"/>
      <c r="I761" s="4"/>
      <c r="J761" s="4"/>
      <c r="K761" s="4"/>
      <c r="L761" s="4"/>
      <c r="M761" s="4"/>
      <c r="N761" s="4"/>
      <c r="O761" s="4"/>
      <c r="P761" s="4"/>
      <c r="Q761" s="4"/>
      <c r="R761" s="4"/>
      <c r="S761" s="4"/>
      <c r="T761" s="4"/>
      <c r="U761" s="4"/>
      <c r="V761" s="4"/>
      <c r="W761" s="4"/>
      <c r="X761" s="4"/>
      <c r="Y761" s="4"/>
      <c r="Z761" s="4"/>
    </row>
    <row r="762" ht="14.25" customHeight="1">
      <c r="A762" s="2"/>
      <c r="B762" s="4"/>
      <c r="C762" s="2"/>
      <c r="D762" s="2"/>
      <c r="E762" s="4"/>
      <c r="F762" s="2"/>
      <c r="G762" s="4"/>
      <c r="H762" s="4"/>
      <c r="I762" s="4"/>
      <c r="J762" s="4"/>
      <c r="K762" s="4"/>
      <c r="L762" s="4"/>
      <c r="M762" s="4"/>
      <c r="N762" s="4"/>
      <c r="O762" s="4"/>
      <c r="P762" s="4"/>
      <c r="Q762" s="4"/>
      <c r="R762" s="4"/>
      <c r="S762" s="4"/>
      <c r="T762" s="4"/>
      <c r="U762" s="4"/>
      <c r="V762" s="4"/>
      <c r="W762" s="4"/>
      <c r="X762" s="4"/>
      <c r="Y762" s="4"/>
      <c r="Z762" s="4"/>
    </row>
    <row r="763" ht="14.25" customHeight="1">
      <c r="A763" s="2"/>
      <c r="B763" s="4"/>
      <c r="C763" s="2"/>
      <c r="D763" s="2"/>
      <c r="E763" s="4"/>
      <c r="F763" s="2"/>
      <c r="G763" s="4"/>
      <c r="H763" s="4"/>
      <c r="I763" s="4"/>
      <c r="J763" s="4"/>
      <c r="K763" s="4"/>
      <c r="L763" s="4"/>
      <c r="M763" s="4"/>
      <c r="N763" s="4"/>
      <c r="O763" s="4"/>
      <c r="P763" s="4"/>
      <c r="Q763" s="4"/>
      <c r="R763" s="4"/>
      <c r="S763" s="4"/>
      <c r="T763" s="4"/>
      <c r="U763" s="4"/>
      <c r="V763" s="4"/>
      <c r="W763" s="4"/>
      <c r="X763" s="4"/>
      <c r="Y763" s="4"/>
      <c r="Z763" s="4"/>
    </row>
    <row r="764" ht="14.25" customHeight="1">
      <c r="A764" s="2"/>
      <c r="B764" s="4"/>
      <c r="C764" s="2"/>
      <c r="D764" s="2"/>
      <c r="E764" s="4"/>
      <c r="F764" s="2"/>
      <c r="G764" s="4"/>
      <c r="H764" s="4"/>
      <c r="I764" s="4"/>
      <c r="J764" s="4"/>
      <c r="K764" s="4"/>
      <c r="L764" s="4"/>
      <c r="M764" s="4"/>
      <c r="N764" s="4"/>
      <c r="O764" s="4"/>
      <c r="P764" s="4"/>
      <c r="Q764" s="4"/>
      <c r="R764" s="4"/>
      <c r="S764" s="4"/>
      <c r="T764" s="4"/>
      <c r="U764" s="4"/>
      <c r="V764" s="4"/>
      <c r="W764" s="4"/>
      <c r="X764" s="4"/>
      <c r="Y764" s="4"/>
      <c r="Z764" s="4"/>
    </row>
    <row r="765" ht="14.25" customHeight="1">
      <c r="A765" s="2"/>
      <c r="B765" s="4"/>
      <c r="C765" s="2"/>
      <c r="D765" s="2"/>
      <c r="E765" s="4"/>
      <c r="F765" s="2"/>
      <c r="G765" s="4"/>
      <c r="H765" s="4"/>
      <c r="I765" s="4"/>
      <c r="J765" s="4"/>
      <c r="K765" s="4"/>
      <c r="L765" s="4"/>
      <c r="M765" s="4"/>
      <c r="N765" s="4"/>
      <c r="O765" s="4"/>
      <c r="P765" s="4"/>
      <c r="Q765" s="4"/>
      <c r="R765" s="4"/>
      <c r="S765" s="4"/>
      <c r="T765" s="4"/>
      <c r="U765" s="4"/>
      <c r="V765" s="4"/>
      <c r="W765" s="4"/>
      <c r="X765" s="4"/>
      <c r="Y765" s="4"/>
      <c r="Z765" s="4"/>
    </row>
    <row r="766" ht="14.25" customHeight="1">
      <c r="A766" s="2"/>
      <c r="B766" s="4"/>
      <c r="C766" s="2"/>
      <c r="D766" s="2"/>
      <c r="E766" s="4"/>
      <c r="F766" s="2"/>
      <c r="G766" s="4"/>
      <c r="H766" s="4"/>
      <c r="I766" s="4"/>
      <c r="J766" s="4"/>
      <c r="K766" s="4"/>
      <c r="L766" s="4"/>
      <c r="M766" s="4"/>
      <c r="N766" s="4"/>
      <c r="O766" s="4"/>
      <c r="P766" s="4"/>
      <c r="Q766" s="4"/>
      <c r="R766" s="4"/>
      <c r="S766" s="4"/>
      <c r="T766" s="4"/>
      <c r="U766" s="4"/>
      <c r="V766" s="4"/>
      <c r="W766" s="4"/>
      <c r="X766" s="4"/>
      <c r="Y766" s="4"/>
      <c r="Z766" s="4"/>
    </row>
    <row r="767" ht="14.25" customHeight="1">
      <c r="A767" s="2"/>
      <c r="B767" s="4"/>
      <c r="C767" s="2"/>
      <c r="D767" s="2"/>
      <c r="E767" s="4"/>
      <c r="F767" s="2"/>
      <c r="G767" s="4"/>
      <c r="H767" s="4"/>
      <c r="I767" s="4"/>
      <c r="J767" s="4"/>
      <c r="K767" s="4"/>
      <c r="L767" s="4"/>
      <c r="M767" s="4"/>
      <c r="N767" s="4"/>
      <c r="O767" s="4"/>
      <c r="P767" s="4"/>
      <c r="Q767" s="4"/>
      <c r="R767" s="4"/>
      <c r="S767" s="4"/>
      <c r="T767" s="4"/>
      <c r="U767" s="4"/>
      <c r="V767" s="4"/>
      <c r="W767" s="4"/>
      <c r="X767" s="4"/>
      <c r="Y767" s="4"/>
      <c r="Z767" s="4"/>
    </row>
    <row r="768" ht="14.25" customHeight="1">
      <c r="A768" s="2"/>
      <c r="B768" s="4"/>
      <c r="C768" s="2"/>
      <c r="D768" s="2"/>
      <c r="E768" s="4"/>
      <c r="F768" s="2"/>
      <c r="G768" s="4"/>
      <c r="H768" s="4"/>
      <c r="I768" s="4"/>
      <c r="J768" s="4"/>
      <c r="K768" s="4"/>
      <c r="L768" s="4"/>
      <c r="M768" s="4"/>
      <c r="N768" s="4"/>
      <c r="O768" s="4"/>
      <c r="P768" s="4"/>
      <c r="Q768" s="4"/>
      <c r="R768" s="4"/>
      <c r="S768" s="4"/>
      <c r="T768" s="4"/>
      <c r="U768" s="4"/>
      <c r="V768" s="4"/>
      <c r="W768" s="4"/>
      <c r="X768" s="4"/>
      <c r="Y768" s="4"/>
      <c r="Z768" s="4"/>
    </row>
    <row r="769" ht="14.25" customHeight="1">
      <c r="A769" s="2"/>
      <c r="B769" s="4"/>
      <c r="C769" s="2"/>
      <c r="D769" s="2"/>
      <c r="E769" s="4"/>
      <c r="F769" s="2"/>
      <c r="G769" s="4"/>
      <c r="H769" s="4"/>
      <c r="I769" s="4"/>
      <c r="J769" s="4"/>
      <c r="K769" s="4"/>
      <c r="L769" s="4"/>
      <c r="M769" s="4"/>
      <c r="N769" s="4"/>
      <c r="O769" s="4"/>
      <c r="P769" s="4"/>
      <c r="Q769" s="4"/>
      <c r="R769" s="4"/>
      <c r="S769" s="4"/>
      <c r="T769" s="4"/>
      <c r="U769" s="4"/>
      <c r="V769" s="4"/>
      <c r="W769" s="4"/>
      <c r="X769" s="4"/>
      <c r="Y769" s="4"/>
      <c r="Z769" s="4"/>
    </row>
    <row r="770" ht="14.25" customHeight="1">
      <c r="A770" s="2"/>
      <c r="B770" s="4"/>
      <c r="C770" s="2"/>
      <c r="D770" s="2"/>
      <c r="E770" s="4"/>
      <c r="F770" s="2"/>
      <c r="G770" s="4"/>
      <c r="H770" s="4"/>
      <c r="I770" s="4"/>
      <c r="J770" s="4"/>
      <c r="K770" s="4"/>
      <c r="L770" s="4"/>
      <c r="M770" s="4"/>
      <c r="N770" s="4"/>
      <c r="O770" s="4"/>
      <c r="P770" s="4"/>
      <c r="Q770" s="4"/>
      <c r="R770" s="4"/>
      <c r="S770" s="4"/>
      <c r="T770" s="4"/>
      <c r="U770" s="4"/>
      <c r="V770" s="4"/>
      <c r="W770" s="4"/>
      <c r="X770" s="4"/>
      <c r="Y770" s="4"/>
      <c r="Z770" s="4"/>
    </row>
    <row r="771" ht="14.25" customHeight="1">
      <c r="A771" s="2"/>
      <c r="B771" s="4"/>
      <c r="C771" s="2"/>
      <c r="D771" s="2"/>
      <c r="E771" s="4"/>
      <c r="F771" s="2"/>
      <c r="G771" s="4"/>
      <c r="H771" s="4"/>
      <c r="I771" s="4"/>
      <c r="J771" s="4"/>
      <c r="K771" s="4"/>
      <c r="L771" s="4"/>
      <c r="M771" s="4"/>
      <c r="N771" s="4"/>
      <c r="O771" s="4"/>
      <c r="P771" s="4"/>
      <c r="Q771" s="4"/>
      <c r="R771" s="4"/>
      <c r="S771" s="4"/>
      <c r="T771" s="4"/>
      <c r="U771" s="4"/>
      <c r="V771" s="4"/>
      <c r="W771" s="4"/>
      <c r="X771" s="4"/>
      <c r="Y771" s="4"/>
      <c r="Z771" s="4"/>
    </row>
    <row r="772" ht="14.25" customHeight="1">
      <c r="A772" s="2"/>
      <c r="B772" s="4"/>
      <c r="C772" s="2"/>
      <c r="D772" s="2"/>
      <c r="E772" s="4"/>
      <c r="F772" s="2"/>
      <c r="G772" s="4"/>
      <c r="H772" s="4"/>
      <c r="I772" s="4"/>
      <c r="J772" s="4"/>
      <c r="K772" s="4"/>
      <c r="L772" s="4"/>
      <c r="M772" s="4"/>
      <c r="N772" s="4"/>
      <c r="O772" s="4"/>
      <c r="P772" s="4"/>
      <c r="Q772" s="4"/>
      <c r="R772" s="4"/>
      <c r="S772" s="4"/>
      <c r="T772" s="4"/>
      <c r="U772" s="4"/>
      <c r="V772" s="4"/>
      <c r="W772" s="4"/>
      <c r="X772" s="4"/>
      <c r="Y772" s="4"/>
      <c r="Z772" s="4"/>
    </row>
    <row r="773" ht="14.25" customHeight="1">
      <c r="A773" s="2"/>
      <c r="B773" s="4"/>
      <c r="C773" s="2"/>
      <c r="D773" s="2"/>
      <c r="E773" s="4"/>
      <c r="F773" s="2"/>
      <c r="G773" s="4"/>
      <c r="H773" s="4"/>
      <c r="I773" s="4"/>
      <c r="J773" s="4"/>
      <c r="K773" s="4"/>
      <c r="L773" s="4"/>
      <c r="M773" s="4"/>
      <c r="N773" s="4"/>
      <c r="O773" s="4"/>
      <c r="P773" s="4"/>
      <c r="Q773" s="4"/>
      <c r="R773" s="4"/>
      <c r="S773" s="4"/>
      <c r="T773" s="4"/>
      <c r="U773" s="4"/>
      <c r="V773" s="4"/>
      <c r="W773" s="4"/>
      <c r="X773" s="4"/>
      <c r="Y773" s="4"/>
      <c r="Z773" s="4"/>
    </row>
    <row r="774" ht="14.25" customHeight="1">
      <c r="A774" s="2"/>
      <c r="B774" s="4"/>
      <c r="C774" s="2"/>
      <c r="D774" s="2"/>
      <c r="E774" s="4"/>
      <c r="F774" s="2"/>
      <c r="G774" s="4"/>
      <c r="H774" s="4"/>
      <c r="I774" s="4"/>
      <c r="J774" s="4"/>
      <c r="K774" s="4"/>
      <c r="L774" s="4"/>
      <c r="M774" s="4"/>
      <c r="N774" s="4"/>
      <c r="O774" s="4"/>
      <c r="P774" s="4"/>
      <c r="Q774" s="4"/>
      <c r="R774" s="4"/>
      <c r="S774" s="4"/>
      <c r="T774" s="4"/>
      <c r="U774" s="4"/>
      <c r="V774" s="4"/>
      <c r="W774" s="4"/>
      <c r="X774" s="4"/>
      <c r="Y774" s="4"/>
      <c r="Z774" s="4"/>
    </row>
    <row r="775" ht="14.25" customHeight="1">
      <c r="A775" s="2"/>
      <c r="B775" s="4"/>
      <c r="C775" s="2"/>
      <c r="D775" s="2"/>
      <c r="E775" s="4"/>
      <c r="F775" s="2"/>
      <c r="G775" s="4"/>
      <c r="H775" s="4"/>
      <c r="I775" s="4"/>
      <c r="J775" s="4"/>
      <c r="K775" s="4"/>
      <c r="L775" s="4"/>
      <c r="M775" s="4"/>
      <c r="N775" s="4"/>
      <c r="O775" s="4"/>
      <c r="P775" s="4"/>
      <c r="Q775" s="4"/>
      <c r="R775" s="4"/>
      <c r="S775" s="4"/>
      <c r="T775" s="4"/>
      <c r="U775" s="4"/>
      <c r="V775" s="4"/>
      <c r="W775" s="4"/>
      <c r="X775" s="4"/>
      <c r="Y775" s="4"/>
      <c r="Z775" s="4"/>
    </row>
    <row r="776" ht="14.25" customHeight="1">
      <c r="A776" s="2"/>
      <c r="B776" s="4"/>
      <c r="C776" s="2"/>
      <c r="D776" s="2"/>
      <c r="E776" s="4"/>
      <c r="F776" s="2"/>
      <c r="G776" s="4"/>
      <c r="H776" s="4"/>
      <c r="I776" s="4"/>
      <c r="J776" s="4"/>
      <c r="K776" s="4"/>
      <c r="L776" s="4"/>
      <c r="M776" s="4"/>
      <c r="N776" s="4"/>
      <c r="O776" s="4"/>
      <c r="P776" s="4"/>
      <c r="Q776" s="4"/>
      <c r="R776" s="4"/>
      <c r="S776" s="4"/>
      <c r="T776" s="4"/>
      <c r="U776" s="4"/>
      <c r="V776" s="4"/>
      <c r="W776" s="4"/>
      <c r="X776" s="4"/>
      <c r="Y776" s="4"/>
      <c r="Z776" s="4"/>
    </row>
    <row r="777" ht="14.25" customHeight="1">
      <c r="A777" s="2"/>
      <c r="B777" s="4"/>
      <c r="C777" s="2"/>
      <c r="D777" s="2"/>
      <c r="E777" s="4"/>
      <c r="F777" s="2"/>
      <c r="G777" s="4"/>
      <c r="H777" s="4"/>
      <c r="I777" s="4"/>
      <c r="J777" s="4"/>
      <c r="K777" s="4"/>
      <c r="L777" s="4"/>
      <c r="M777" s="4"/>
      <c r="N777" s="4"/>
      <c r="O777" s="4"/>
      <c r="P777" s="4"/>
      <c r="Q777" s="4"/>
      <c r="R777" s="4"/>
      <c r="S777" s="4"/>
      <c r="T777" s="4"/>
      <c r="U777" s="4"/>
      <c r="V777" s="4"/>
      <c r="W777" s="4"/>
      <c r="X777" s="4"/>
      <c r="Y777" s="4"/>
      <c r="Z777" s="4"/>
    </row>
    <row r="778" ht="14.25" customHeight="1">
      <c r="A778" s="2"/>
      <c r="B778" s="4"/>
      <c r="C778" s="2"/>
      <c r="D778" s="2"/>
      <c r="E778" s="4"/>
      <c r="F778" s="2"/>
      <c r="G778" s="4"/>
      <c r="H778" s="4"/>
      <c r="I778" s="4"/>
      <c r="J778" s="4"/>
      <c r="K778" s="4"/>
      <c r="L778" s="4"/>
      <c r="M778" s="4"/>
      <c r="N778" s="4"/>
      <c r="O778" s="4"/>
      <c r="P778" s="4"/>
      <c r="Q778" s="4"/>
      <c r="R778" s="4"/>
      <c r="S778" s="4"/>
      <c r="T778" s="4"/>
      <c r="U778" s="4"/>
      <c r="V778" s="4"/>
      <c r="W778" s="4"/>
      <c r="X778" s="4"/>
      <c r="Y778" s="4"/>
      <c r="Z778" s="4"/>
    </row>
    <row r="779" ht="14.25" customHeight="1">
      <c r="A779" s="2"/>
      <c r="B779" s="4"/>
      <c r="C779" s="2"/>
      <c r="D779" s="2"/>
      <c r="E779" s="4"/>
      <c r="F779" s="2"/>
      <c r="G779" s="4"/>
      <c r="H779" s="4"/>
      <c r="I779" s="4"/>
      <c r="J779" s="4"/>
      <c r="K779" s="4"/>
      <c r="L779" s="4"/>
      <c r="M779" s="4"/>
      <c r="N779" s="4"/>
      <c r="O779" s="4"/>
      <c r="P779" s="4"/>
      <c r="Q779" s="4"/>
      <c r="R779" s="4"/>
      <c r="S779" s="4"/>
      <c r="T779" s="4"/>
      <c r="U779" s="4"/>
      <c r="V779" s="4"/>
      <c r="W779" s="4"/>
      <c r="X779" s="4"/>
      <c r="Y779" s="4"/>
      <c r="Z779" s="4"/>
    </row>
    <row r="780" ht="14.25" customHeight="1">
      <c r="A780" s="2"/>
      <c r="B780" s="4"/>
      <c r="C780" s="2"/>
      <c r="D780" s="2"/>
      <c r="E780" s="4"/>
      <c r="F780" s="2"/>
      <c r="G780" s="4"/>
      <c r="H780" s="4"/>
      <c r="I780" s="4"/>
      <c r="J780" s="4"/>
      <c r="K780" s="4"/>
      <c r="L780" s="4"/>
      <c r="M780" s="4"/>
      <c r="N780" s="4"/>
      <c r="O780" s="4"/>
      <c r="P780" s="4"/>
      <c r="Q780" s="4"/>
      <c r="R780" s="4"/>
      <c r="S780" s="4"/>
      <c r="T780" s="4"/>
      <c r="U780" s="4"/>
      <c r="V780" s="4"/>
      <c r="W780" s="4"/>
      <c r="X780" s="4"/>
      <c r="Y780" s="4"/>
      <c r="Z780" s="4"/>
    </row>
    <row r="781" ht="14.25" customHeight="1">
      <c r="A781" s="2"/>
      <c r="B781" s="4"/>
      <c r="C781" s="2"/>
      <c r="D781" s="2"/>
      <c r="E781" s="4"/>
      <c r="F781" s="2"/>
      <c r="G781" s="4"/>
      <c r="H781" s="4"/>
      <c r="I781" s="4"/>
      <c r="J781" s="4"/>
      <c r="K781" s="4"/>
      <c r="L781" s="4"/>
      <c r="M781" s="4"/>
      <c r="N781" s="4"/>
      <c r="O781" s="4"/>
      <c r="P781" s="4"/>
      <c r="Q781" s="4"/>
      <c r="R781" s="4"/>
      <c r="S781" s="4"/>
      <c r="T781" s="4"/>
      <c r="U781" s="4"/>
      <c r="V781" s="4"/>
      <c r="W781" s="4"/>
      <c r="X781" s="4"/>
      <c r="Y781" s="4"/>
      <c r="Z781" s="4"/>
    </row>
    <row r="782" ht="14.25" customHeight="1">
      <c r="A782" s="2"/>
      <c r="B782" s="4"/>
      <c r="C782" s="2"/>
      <c r="D782" s="2"/>
      <c r="E782" s="4"/>
      <c r="F782" s="2"/>
      <c r="G782" s="4"/>
      <c r="H782" s="4"/>
      <c r="I782" s="4"/>
      <c r="J782" s="4"/>
      <c r="K782" s="4"/>
      <c r="L782" s="4"/>
      <c r="M782" s="4"/>
      <c r="N782" s="4"/>
      <c r="O782" s="4"/>
      <c r="P782" s="4"/>
      <c r="Q782" s="4"/>
      <c r="R782" s="4"/>
      <c r="S782" s="4"/>
      <c r="T782" s="4"/>
      <c r="U782" s="4"/>
      <c r="V782" s="4"/>
      <c r="W782" s="4"/>
      <c r="X782" s="4"/>
      <c r="Y782" s="4"/>
      <c r="Z782" s="4"/>
    </row>
    <row r="783" ht="14.25" customHeight="1">
      <c r="A783" s="2"/>
      <c r="B783" s="4"/>
      <c r="C783" s="2"/>
      <c r="D783" s="2"/>
      <c r="E783" s="4"/>
      <c r="F783" s="2"/>
      <c r="G783" s="4"/>
      <c r="H783" s="4"/>
      <c r="I783" s="4"/>
      <c r="J783" s="4"/>
      <c r="K783" s="4"/>
      <c r="L783" s="4"/>
      <c r="M783" s="4"/>
      <c r="N783" s="4"/>
      <c r="O783" s="4"/>
      <c r="P783" s="4"/>
      <c r="Q783" s="4"/>
      <c r="R783" s="4"/>
      <c r="S783" s="4"/>
      <c r="T783" s="4"/>
      <c r="U783" s="4"/>
      <c r="V783" s="4"/>
      <c r="W783" s="4"/>
      <c r="X783" s="4"/>
      <c r="Y783" s="4"/>
      <c r="Z783" s="4"/>
    </row>
    <row r="784" ht="14.25" customHeight="1">
      <c r="A784" s="2"/>
      <c r="B784" s="4"/>
      <c r="C784" s="2"/>
      <c r="D784" s="2"/>
      <c r="E784" s="4"/>
      <c r="F784" s="2"/>
      <c r="G784" s="4"/>
      <c r="H784" s="4"/>
      <c r="I784" s="4"/>
      <c r="J784" s="4"/>
      <c r="K784" s="4"/>
      <c r="L784" s="4"/>
      <c r="M784" s="4"/>
      <c r="N784" s="4"/>
      <c r="O784" s="4"/>
      <c r="P784" s="4"/>
      <c r="Q784" s="4"/>
      <c r="R784" s="4"/>
      <c r="S784" s="4"/>
      <c r="T784" s="4"/>
      <c r="U784" s="4"/>
      <c r="V784" s="4"/>
      <c r="W784" s="4"/>
      <c r="X784" s="4"/>
      <c r="Y784" s="4"/>
      <c r="Z784" s="4"/>
    </row>
    <row r="785" ht="14.25" customHeight="1">
      <c r="A785" s="2"/>
      <c r="B785" s="4"/>
      <c r="C785" s="2"/>
      <c r="D785" s="2"/>
      <c r="E785" s="4"/>
      <c r="F785" s="2"/>
      <c r="G785" s="4"/>
      <c r="H785" s="4"/>
      <c r="I785" s="4"/>
      <c r="J785" s="4"/>
      <c r="K785" s="4"/>
      <c r="L785" s="4"/>
      <c r="M785" s="4"/>
      <c r="N785" s="4"/>
      <c r="O785" s="4"/>
      <c r="P785" s="4"/>
      <c r="Q785" s="4"/>
      <c r="R785" s="4"/>
      <c r="S785" s="4"/>
      <c r="T785" s="4"/>
      <c r="U785" s="4"/>
      <c r="V785" s="4"/>
      <c r="W785" s="4"/>
      <c r="X785" s="4"/>
      <c r="Y785" s="4"/>
      <c r="Z785" s="4"/>
    </row>
    <row r="786" ht="14.25" customHeight="1">
      <c r="A786" s="2"/>
      <c r="B786" s="4"/>
      <c r="C786" s="2"/>
      <c r="D786" s="2"/>
      <c r="E786" s="4"/>
      <c r="F786" s="2"/>
      <c r="G786" s="4"/>
      <c r="H786" s="4"/>
      <c r="I786" s="4"/>
      <c r="J786" s="4"/>
      <c r="K786" s="4"/>
      <c r="L786" s="4"/>
      <c r="M786" s="4"/>
      <c r="N786" s="4"/>
      <c r="O786" s="4"/>
      <c r="P786" s="4"/>
      <c r="Q786" s="4"/>
      <c r="R786" s="4"/>
      <c r="S786" s="4"/>
      <c r="T786" s="4"/>
      <c r="U786" s="4"/>
      <c r="V786" s="4"/>
      <c r="W786" s="4"/>
      <c r="X786" s="4"/>
      <c r="Y786" s="4"/>
      <c r="Z786" s="4"/>
    </row>
    <row r="787" ht="14.25" customHeight="1">
      <c r="A787" s="2"/>
      <c r="B787" s="4"/>
      <c r="C787" s="2"/>
      <c r="D787" s="2"/>
      <c r="E787" s="4"/>
      <c r="F787" s="2"/>
      <c r="G787" s="4"/>
      <c r="H787" s="4"/>
      <c r="I787" s="4"/>
      <c r="J787" s="4"/>
      <c r="K787" s="4"/>
      <c r="L787" s="4"/>
      <c r="M787" s="4"/>
      <c r="N787" s="4"/>
      <c r="O787" s="4"/>
      <c r="P787" s="4"/>
      <c r="Q787" s="4"/>
      <c r="R787" s="4"/>
      <c r="S787" s="4"/>
      <c r="T787" s="4"/>
      <c r="U787" s="4"/>
      <c r="V787" s="4"/>
      <c r="W787" s="4"/>
      <c r="X787" s="4"/>
      <c r="Y787" s="4"/>
      <c r="Z787" s="4"/>
    </row>
    <row r="788" ht="14.25" customHeight="1">
      <c r="A788" s="2"/>
      <c r="B788" s="4"/>
      <c r="C788" s="2"/>
      <c r="D788" s="2"/>
      <c r="E788" s="4"/>
      <c r="F788" s="2"/>
      <c r="G788" s="4"/>
      <c r="H788" s="4"/>
      <c r="I788" s="4"/>
      <c r="J788" s="4"/>
      <c r="K788" s="4"/>
      <c r="L788" s="4"/>
      <c r="M788" s="4"/>
      <c r="N788" s="4"/>
      <c r="O788" s="4"/>
      <c r="P788" s="4"/>
      <c r="Q788" s="4"/>
      <c r="R788" s="4"/>
      <c r="S788" s="4"/>
      <c r="T788" s="4"/>
      <c r="U788" s="4"/>
      <c r="V788" s="4"/>
      <c r="W788" s="4"/>
      <c r="X788" s="4"/>
      <c r="Y788" s="4"/>
      <c r="Z788" s="4"/>
    </row>
    <row r="789" ht="14.25" customHeight="1">
      <c r="A789" s="2"/>
      <c r="B789" s="4"/>
      <c r="C789" s="2"/>
      <c r="D789" s="2"/>
      <c r="E789" s="4"/>
      <c r="F789" s="2"/>
      <c r="G789" s="4"/>
      <c r="H789" s="4"/>
      <c r="I789" s="4"/>
      <c r="J789" s="4"/>
      <c r="K789" s="4"/>
      <c r="L789" s="4"/>
      <c r="M789" s="4"/>
      <c r="N789" s="4"/>
      <c r="O789" s="4"/>
      <c r="P789" s="4"/>
      <c r="Q789" s="4"/>
      <c r="R789" s="4"/>
      <c r="S789" s="4"/>
      <c r="T789" s="4"/>
      <c r="U789" s="4"/>
      <c r="V789" s="4"/>
      <c r="W789" s="4"/>
      <c r="X789" s="4"/>
      <c r="Y789" s="4"/>
      <c r="Z789" s="4"/>
    </row>
    <row r="790" ht="14.25" customHeight="1">
      <c r="A790" s="2"/>
      <c r="B790" s="4"/>
      <c r="C790" s="2"/>
      <c r="D790" s="2"/>
      <c r="E790" s="4"/>
      <c r="F790" s="2"/>
      <c r="G790" s="4"/>
      <c r="H790" s="4"/>
      <c r="I790" s="4"/>
      <c r="J790" s="4"/>
      <c r="K790" s="4"/>
      <c r="L790" s="4"/>
      <c r="M790" s="4"/>
      <c r="N790" s="4"/>
      <c r="O790" s="4"/>
      <c r="P790" s="4"/>
      <c r="Q790" s="4"/>
      <c r="R790" s="4"/>
      <c r="S790" s="4"/>
      <c r="T790" s="4"/>
      <c r="U790" s="4"/>
      <c r="V790" s="4"/>
      <c r="W790" s="4"/>
      <c r="X790" s="4"/>
      <c r="Y790" s="4"/>
      <c r="Z790" s="4"/>
    </row>
    <row r="791" ht="14.25" customHeight="1">
      <c r="A791" s="2"/>
      <c r="B791" s="4"/>
      <c r="C791" s="2"/>
      <c r="D791" s="2"/>
      <c r="E791" s="4"/>
      <c r="F791" s="2"/>
      <c r="G791" s="4"/>
      <c r="H791" s="4"/>
      <c r="I791" s="4"/>
      <c r="J791" s="4"/>
      <c r="K791" s="4"/>
      <c r="L791" s="4"/>
      <c r="M791" s="4"/>
      <c r="N791" s="4"/>
      <c r="O791" s="4"/>
      <c r="P791" s="4"/>
      <c r="Q791" s="4"/>
      <c r="R791" s="4"/>
      <c r="S791" s="4"/>
      <c r="T791" s="4"/>
      <c r="U791" s="4"/>
      <c r="V791" s="4"/>
      <c r="W791" s="4"/>
      <c r="X791" s="4"/>
      <c r="Y791" s="4"/>
      <c r="Z791" s="4"/>
    </row>
    <row r="792" ht="14.25" customHeight="1">
      <c r="A792" s="2"/>
      <c r="B792" s="4"/>
      <c r="C792" s="2"/>
      <c r="D792" s="2"/>
      <c r="E792" s="4"/>
      <c r="F792" s="2"/>
      <c r="G792" s="4"/>
      <c r="H792" s="4"/>
      <c r="I792" s="4"/>
      <c r="J792" s="4"/>
      <c r="K792" s="4"/>
      <c r="L792" s="4"/>
      <c r="M792" s="4"/>
      <c r="N792" s="4"/>
      <c r="O792" s="4"/>
      <c r="P792" s="4"/>
      <c r="Q792" s="4"/>
      <c r="R792" s="4"/>
      <c r="S792" s="4"/>
      <c r="T792" s="4"/>
      <c r="U792" s="4"/>
      <c r="V792" s="4"/>
      <c r="W792" s="4"/>
      <c r="X792" s="4"/>
      <c r="Y792" s="4"/>
      <c r="Z792" s="4"/>
    </row>
    <row r="793" ht="14.25" customHeight="1">
      <c r="A793" s="2"/>
      <c r="B793" s="4"/>
      <c r="C793" s="2"/>
      <c r="D793" s="2"/>
      <c r="E793" s="4"/>
      <c r="F793" s="2"/>
      <c r="G793" s="4"/>
      <c r="H793" s="4"/>
      <c r="I793" s="4"/>
      <c r="J793" s="4"/>
      <c r="K793" s="4"/>
      <c r="L793" s="4"/>
      <c r="M793" s="4"/>
      <c r="N793" s="4"/>
      <c r="O793" s="4"/>
      <c r="P793" s="4"/>
      <c r="Q793" s="4"/>
      <c r="R793" s="4"/>
      <c r="S793" s="4"/>
      <c r="T793" s="4"/>
      <c r="U793" s="4"/>
      <c r="V793" s="4"/>
      <c r="W793" s="4"/>
      <c r="X793" s="4"/>
      <c r="Y793" s="4"/>
      <c r="Z793" s="4"/>
    </row>
    <row r="794" ht="14.25" customHeight="1">
      <c r="A794" s="2"/>
      <c r="B794" s="4"/>
      <c r="C794" s="2"/>
      <c r="D794" s="2"/>
      <c r="E794" s="4"/>
      <c r="F794" s="2"/>
      <c r="G794" s="4"/>
      <c r="H794" s="4"/>
      <c r="I794" s="4"/>
      <c r="J794" s="4"/>
      <c r="K794" s="4"/>
      <c r="L794" s="4"/>
      <c r="M794" s="4"/>
      <c r="N794" s="4"/>
      <c r="O794" s="4"/>
      <c r="P794" s="4"/>
      <c r="Q794" s="4"/>
      <c r="R794" s="4"/>
      <c r="S794" s="4"/>
      <c r="T794" s="4"/>
      <c r="U794" s="4"/>
      <c r="V794" s="4"/>
      <c r="W794" s="4"/>
      <c r="X794" s="4"/>
      <c r="Y794" s="4"/>
      <c r="Z794" s="4"/>
    </row>
    <row r="795" ht="14.25" customHeight="1">
      <c r="A795" s="2"/>
      <c r="B795" s="4"/>
      <c r="C795" s="2"/>
      <c r="D795" s="2"/>
      <c r="E795" s="4"/>
      <c r="F795" s="2"/>
      <c r="G795" s="4"/>
      <c r="H795" s="4"/>
      <c r="I795" s="4"/>
      <c r="J795" s="4"/>
      <c r="K795" s="4"/>
      <c r="L795" s="4"/>
      <c r="M795" s="4"/>
      <c r="N795" s="4"/>
      <c r="O795" s="4"/>
      <c r="P795" s="4"/>
      <c r="Q795" s="4"/>
      <c r="R795" s="4"/>
      <c r="S795" s="4"/>
      <c r="T795" s="4"/>
      <c r="U795" s="4"/>
      <c r="V795" s="4"/>
      <c r="W795" s="4"/>
      <c r="X795" s="4"/>
      <c r="Y795" s="4"/>
      <c r="Z795" s="4"/>
    </row>
    <row r="796" ht="14.25" customHeight="1">
      <c r="A796" s="2"/>
      <c r="B796" s="4"/>
      <c r="C796" s="2"/>
      <c r="D796" s="2"/>
      <c r="E796" s="4"/>
      <c r="F796" s="2"/>
      <c r="G796" s="4"/>
      <c r="H796" s="4"/>
      <c r="I796" s="4"/>
      <c r="J796" s="4"/>
      <c r="K796" s="4"/>
      <c r="L796" s="4"/>
      <c r="M796" s="4"/>
      <c r="N796" s="4"/>
      <c r="O796" s="4"/>
      <c r="P796" s="4"/>
      <c r="Q796" s="4"/>
      <c r="R796" s="4"/>
      <c r="S796" s="4"/>
      <c r="T796" s="4"/>
      <c r="U796" s="4"/>
      <c r="V796" s="4"/>
      <c r="W796" s="4"/>
      <c r="X796" s="4"/>
      <c r="Y796" s="4"/>
      <c r="Z796" s="4"/>
    </row>
    <row r="797" ht="14.25" customHeight="1">
      <c r="A797" s="2"/>
      <c r="B797" s="4"/>
      <c r="C797" s="2"/>
      <c r="D797" s="2"/>
      <c r="E797" s="4"/>
      <c r="F797" s="2"/>
      <c r="G797" s="4"/>
      <c r="H797" s="4"/>
      <c r="I797" s="4"/>
      <c r="J797" s="4"/>
      <c r="K797" s="4"/>
      <c r="L797" s="4"/>
      <c r="M797" s="4"/>
      <c r="N797" s="4"/>
      <c r="O797" s="4"/>
      <c r="P797" s="4"/>
      <c r="Q797" s="4"/>
      <c r="R797" s="4"/>
      <c r="S797" s="4"/>
      <c r="T797" s="4"/>
      <c r="U797" s="4"/>
      <c r="V797" s="4"/>
      <c r="W797" s="4"/>
      <c r="X797" s="4"/>
      <c r="Y797" s="4"/>
      <c r="Z797" s="4"/>
    </row>
    <row r="798" ht="14.25" customHeight="1">
      <c r="A798" s="2"/>
      <c r="B798" s="4"/>
      <c r="C798" s="2"/>
      <c r="D798" s="2"/>
      <c r="E798" s="4"/>
      <c r="F798" s="2"/>
      <c r="G798" s="4"/>
      <c r="H798" s="4"/>
      <c r="I798" s="4"/>
      <c r="J798" s="4"/>
      <c r="K798" s="4"/>
      <c r="L798" s="4"/>
      <c r="M798" s="4"/>
      <c r="N798" s="4"/>
      <c r="O798" s="4"/>
      <c r="P798" s="4"/>
      <c r="Q798" s="4"/>
      <c r="R798" s="4"/>
      <c r="S798" s="4"/>
      <c r="T798" s="4"/>
      <c r="U798" s="4"/>
      <c r="V798" s="4"/>
      <c r="W798" s="4"/>
      <c r="X798" s="4"/>
      <c r="Y798" s="4"/>
      <c r="Z798" s="4"/>
    </row>
    <row r="799" ht="14.25" customHeight="1">
      <c r="A799" s="2"/>
      <c r="B799" s="4"/>
      <c r="C799" s="2"/>
      <c r="D799" s="2"/>
      <c r="E799" s="4"/>
      <c r="F799" s="2"/>
      <c r="G799" s="4"/>
      <c r="H799" s="4"/>
      <c r="I799" s="4"/>
      <c r="J799" s="4"/>
      <c r="K799" s="4"/>
      <c r="L799" s="4"/>
      <c r="M799" s="4"/>
      <c r="N799" s="4"/>
      <c r="O799" s="4"/>
      <c r="P799" s="4"/>
      <c r="Q799" s="4"/>
      <c r="R799" s="4"/>
      <c r="S799" s="4"/>
      <c r="T799" s="4"/>
      <c r="U799" s="4"/>
      <c r="V799" s="4"/>
      <c r="W799" s="4"/>
      <c r="X799" s="4"/>
      <c r="Y799" s="4"/>
      <c r="Z799" s="4"/>
    </row>
    <row r="800" ht="14.25" customHeight="1">
      <c r="A800" s="2"/>
      <c r="B800" s="4"/>
      <c r="C800" s="2"/>
      <c r="D800" s="2"/>
      <c r="E800" s="4"/>
      <c r="F800" s="2"/>
      <c r="G800" s="4"/>
      <c r="H800" s="4"/>
      <c r="I800" s="4"/>
      <c r="J800" s="4"/>
      <c r="K800" s="4"/>
      <c r="L800" s="4"/>
      <c r="M800" s="4"/>
      <c r="N800" s="4"/>
      <c r="O800" s="4"/>
      <c r="P800" s="4"/>
      <c r="Q800" s="4"/>
      <c r="R800" s="4"/>
      <c r="S800" s="4"/>
      <c r="T800" s="4"/>
      <c r="U800" s="4"/>
      <c r="V800" s="4"/>
      <c r="W800" s="4"/>
      <c r="X800" s="4"/>
      <c r="Y800" s="4"/>
      <c r="Z800" s="4"/>
    </row>
    <row r="801" ht="14.25" customHeight="1">
      <c r="A801" s="2"/>
      <c r="B801" s="4"/>
      <c r="C801" s="2"/>
      <c r="D801" s="2"/>
      <c r="E801" s="4"/>
      <c r="F801" s="2"/>
      <c r="G801" s="4"/>
      <c r="H801" s="4"/>
      <c r="I801" s="4"/>
      <c r="J801" s="4"/>
      <c r="K801" s="4"/>
      <c r="L801" s="4"/>
      <c r="M801" s="4"/>
      <c r="N801" s="4"/>
      <c r="O801" s="4"/>
      <c r="P801" s="4"/>
      <c r="Q801" s="4"/>
      <c r="R801" s="4"/>
      <c r="S801" s="4"/>
      <c r="T801" s="4"/>
      <c r="U801" s="4"/>
      <c r="V801" s="4"/>
      <c r="W801" s="4"/>
      <c r="X801" s="4"/>
      <c r="Y801" s="4"/>
      <c r="Z801" s="4"/>
    </row>
    <row r="802" ht="14.25" customHeight="1">
      <c r="A802" s="2"/>
      <c r="B802" s="4"/>
      <c r="C802" s="2"/>
      <c r="D802" s="2"/>
      <c r="E802" s="4"/>
      <c r="F802" s="2"/>
      <c r="G802" s="4"/>
      <c r="H802" s="4"/>
      <c r="I802" s="4"/>
      <c r="J802" s="4"/>
      <c r="K802" s="4"/>
      <c r="L802" s="4"/>
      <c r="M802" s="4"/>
      <c r="N802" s="4"/>
      <c r="O802" s="4"/>
      <c r="P802" s="4"/>
      <c r="Q802" s="4"/>
      <c r="R802" s="4"/>
      <c r="S802" s="4"/>
      <c r="T802" s="4"/>
      <c r="U802" s="4"/>
      <c r="V802" s="4"/>
      <c r="W802" s="4"/>
      <c r="X802" s="4"/>
      <c r="Y802" s="4"/>
      <c r="Z802" s="4"/>
    </row>
    <row r="803" ht="14.25" customHeight="1">
      <c r="A803" s="2"/>
      <c r="B803" s="4"/>
      <c r="C803" s="2"/>
      <c r="D803" s="2"/>
      <c r="E803" s="4"/>
      <c r="F803" s="2"/>
      <c r="G803" s="4"/>
      <c r="H803" s="4"/>
      <c r="I803" s="4"/>
      <c r="J803" s="4"/>
      <c r="K803" s="4"/>
      <c r="L803" s="4"/>
      <c r="M803" s="4"/>
      <c r="N803" s="4"/>
      <c r="O803" s="4"/>
      <c r="P803" s="4"/>
      <c r="Q803" s="4"/>
      <c r="R803" s="4"/>
      <c r="S803" s="4"/>
      <c r="T803" s="4"/>
      <c r="U803" s="4"/>
      <c r="V803" s="4"/>
      <c r="W803" s="4"/>
      <c r="X803" s="4"/>
      <c r="Y803" s="4"/>
      <c r="Z803" s="4"/>
    </row>
    <row r="804" ht="14.25" customHeight="1">
      <c r="A804" s="2"/>
      <c r="B804" s="4"/>
      <c r="C804" s="2"/>
      <c r="D804" s="2"/>
      <c r="E804" s="4"/>
      <c r="F804" s="2"/>
      <c r="G804" s="4"/>
      <c r="H804" s="4"/>
      <c r="I804" s="4"/>
      <c r="J804" s="4"/>
      <c r="K804" s="4"/>
      <c r="L804" s="4"/>
      <c r="M804" s="4"/>
      <c r="N804" s="4"/>
      <c r="O804" s="4"/>
      <c r="P804" s="4"/>
      <c r="Q804" s="4"/>
      <c r="R804" s="4"/>
      <c r="S804" s="4"/>
      <c r="T804" s="4"/>
      <c r="U804" s="4"/>
      <c r="V804" s="4"/>
      <c r="W804" s="4"/>
      <c r="X804" s="4"/>
      <c r="Y804" s="4"/>
      <c r="Z804" s="4"/>
    </row>
    <row r="805" ht="14.25" customHeight="1">
      <c r="A805" s="2"/>
      <c r="B805" s="4"/>
      <c r="C805" s="2"/>
      <c r="D805" s="2"/>
      <c r="E805" s="4"/>
      <c r="F805" s="2"/>
      <c r="G805" s="4"/>
      <c r="H805" s="4"/>
      <c r="I805" s="4"/>
      <c r="J805" s="4"/>
      <c r="K805" s="4"/>
      <c r="L805" s="4"/>
      <c r="M805" s="4"/>
      <c r="N805" s="4"/>
      <c r="O805" s="4"/>
      <c r="P805" s="4"/>
      <c r="Q805" s="4"/>
      <c r="R805" s="4"/>
      <c r="S805" s="4"/>
      <c r="T805" s="4"/>
      <c r="U805" s="4"/>
      <c r="V805" s="4"/>
      <c r="W805" s="4"/>
      <c r="X805" s="4"/>
      <c r="Y805" s="4"/>
      <c r="Z805" s="4"/>
    </row>
    <row r="806" ht="14.25" customHeight="1">
      <c r="A806" s="2"/>
      <c r="B806" s="4"/>
      <c r="C806" s="2"/>
      <c r="D806" s="2"/>
      <c r="E806" s="4"/>
      <c r="F806" s="2"/>
      <c r="G806" s="4"/>
      <c r="H806" s="4"/>
      <c r="I806" s="4"/>
      <c r="J806" s="4"/>
      <c r="K806" s="4"/>
      <c r="L806" s="4"/>
      <c r="M806" s="4"/>
      <c r="N806" s="4"/>
      <c r="O806" s="4"/>
      <c r="P806" s="4"/>
      <c r="Q806" s="4"/>
      <c r="R806" s="4"/>
      <c r="S806" s="4"/>
      <c r="T806" s="4"/>
      <c r="U806" s="4"/>
      <c r="V806" s="4"/>
      <c r="W806" s="4"/>
      <c r="X806" s="4"/>
      <c r="Y806" s="4"/>
      <c r="Z806" s="4"/>
    </row>
    <row r="807" ht="14.25" customHeight="1">
      <c r="A807" s="2"/>
      <c r="B807" s="4"/>
      <c r="C807" s="2"/>
      <c r="D807" s="2"/>
      <c r="E807" s="4"/>
      <c r="F807" s="2"/>
      <c r="G807" s="4"/>
      <c r="H807" s="4"/>
      <c r="I807" s="4"/>
      <c r="J807" s="4"/>
      <c r="K807" s="4"/>
      <c r="L807" s="4"/>
      <c r="M807" s="4"/>
      <c r="N807" s="4"/>
      <c r="O807" s="4"/>
      <c r="P807" s="4"/>
      <c r="Q807" s="4"/>
      <c r="R807" s="4"/>
      <c r="S807" s="4"/>
      <c r="T807" s="4"/>
      <c r="U807" s="4"/>
      <c r="V807" s="4"/>
      <c r="W807" s="4"/>
      <c r="X807" s="4"/>
      <c r="Y807" s="4"/>
      <c r="Z807" s="4"/>
    </row>
    <row r="808" ht="14.25" customHeight="1">
      <c r="A808" s="2"/>
      <c r="B808" s="4"/>
      <c r="C808" s="2"/>
      <c r="D808" s="2"/>
      <c r="E808" s="4"/>
      <c r="F808" s="2"/>
      <c r="G808" s="4"/>
      <c r="H808" s="4"/>
      <c r="I808" s="4"/>
      <c r="J808" s="4"/>
      <c r="K808" s="4"/>
      <c r="L808" s="4"/>
      <c r="M808" s="4"/>
      <c r="N808" s="4"/>
      <c r="O808" s="4"/>
      <c r="P808" s="4"/>
      <c r="Q808" s="4"/>
      <c r="R808" s="4"/>
      <c r="S808" s="4"/>
      <c r="T808" s="4"/>
      <c r="U808" s="4"/>
      <c r="V808" s="4"/>
      <c r="W808" s="4"/>
      <c r="X808" s="4"/>
      <c r="Y808" s="4"/>
      <c r="Z808" s="4"/>
    </row>
    <row r="809" ht="14.25" customHeight="1">
      <c r="A809" s="2"/>
      <c r="B809" s="4"/>
      <c r="C809" s="2"/>
      <c r="D809" s="2"/>
      <c r="E809" s="4"/>
      <c r="F809" s="2"/>
      <c r="G809" s="4"/>
      <c r="H809" s="4"/>
      <c r="I809" s="4"/>
      <c r="J809" s="4"/>
      <c r="K809" s="4"/>
      <c r="L809" s="4"/>
      <c r="M809" s="4"/>
      <c r="N809" s="4"/>
      <c r="O809" s="4"/>
      <c r="P809" s="4"/>
      <c r="Q809" s="4"/>
      <c r="R809" s="4"/>
      <c r="S809" s="4"/>
      <c r="T809" s="4"/>
      <c r="U809" s="4"/>
      <c r="V809" s="4"/>
      <c r="W809" s="4"/>
      <c r="X809" s="4"/>
      <c r="Y809" s="4"/>
      <c r="Z809" s="4"/>
    </row>
    <row r="810" ht="14.25" customHeight="1">
      <c r="A810" s="2"/>
      <c r="B810" s="4"/>
      <c r="C810" s="2"/>
      <c r="D810" s="2"/>
      <c r="E810" s="4"/>
      <c r="F810" s="2"/>
      <c r="G810" s="4"/>
      <c r="H810" s="4"/>
      <c r="I810" s="4"/>
      <c r="J810" s="4"/>
      <c r="K810" s="4"/>
      <c r="L810" s="4"/>
      <c r="M810" s="4"/>
      <c r="N810" s="4"/>
      <c r="O810" s="4"/>
      <c r="P810" s="4"/>
      <c r="Q810" s="4"/>
      <c r="R810" s="4"/>
      <c r="S810" s="4"/>
      <c r="T810" s="4"/>
      <c r="U810" s="4"/>
      <c r="V810" s="4"/>
      <c r="W810" s="4"/>
      <c r="X810" s="4"/>
      <c r="Y810" s="4"/>
      <c r="Z810" s="4"/>
    </row>
    <row r="811" ht="14.25" customHeight="1">
      <c r="A811" s="2"/>
      <c r="B811" s="4"/>
      <c r="C811" s="2"/>
      <c r="D811" s="2"/>
      <c r="E811" s="4"/>
      <c r="F811" s="2"/>
      <c r="G811" s="4"/>
      <c r="H811" s="4"/>
      <c r="I811" s="4"/>
      <c r="J811" s="4"/>
      <c r="K811" s="4"/>
      <c r="L811" s="4"/>
      <c r="M811" s="4"/>
      <c r="N811" s="4"/>
      <c r="O811" s="4"/>
      <c r="P811" s="4"/>
      <c r="Q811" s="4"/>
      <c r="R811" s="4"/>
      <c r="S811" s="4"/>
      <c r="T811" s="4"/>
      <c r="U811" s="4"/>
      <c r="V811" s="4"/>
      <c r="W811" s="4"/>
      <c r="X811" s="4"/>
      <c r="Y811" s="4"/>
      <c r="Z811" s="4"/>
    </row>
    <row r="812" ht="14.25" customHeight="1">
      <c r="A812" s="2"/>
      <c r="B812" s="4"/>
      <c r="C812" s="2"/>
      <c r="D812" s="2"/>
      <c r="E812" s="4"/>
      <c r="F812" s="2"/>
      <c r="G812" s="4"/>
      <c r="H812" s="4"/>
      <c r="I812" s="4"/>
      <c r="J812" s="4"/>
      <c r="K812" s="4"/>
      <c r="L812" s="4"/>
      <c r="M812" s="4"/>
      <c r="N812" s="4"/>
      <c r="O812" s="4"/>
      <c r="P812" s="4"/>
      <c r="Q812" s="4"/>
      <c r="R812" s="4"/>
      <c r="S812" s="4"/>
      <c r="T812" s="4"/>
      <c r="U812" s="4"/>
      <c r="V812" s="4"/>
      <c r="W812" s="4"/>
      <c r="X812" s="4"/>
      <c r="Y812" s="4"/>
      <c r="Z812" s="4"/>
    </row>
    <row r="813" ht="14.25" customHeight="1">
      <c r="A813" s="2"/>
      <c r="B813" s="4"/>
      <c r="C813" s="2"/>
      <c r="D813" s="2"/>
      <c r="E813" s="4"/>
      <c r="F813" s="2"/>
      <c r="G813" s="4"/>
      <c r="H813" s="4"/>
      <c r="I813" s="4"/>
      <c r="J813" s="4"/>
      <c r="K813" s="4"/>
      <c r="L813" s="4"/>
      <c r="M813" s="4"/>
      <c r="N813" s="4"/>
      <c r="O813" s="4"/>
      <c r="P813" s="4"/>
      <c r="Q813" s="4"/>
      <c r="R813" s="4"/>
      <c r="S813" s="4"/>
      <c r="T813" s="4"/>
      <c r="U813" s="4"/>
      <c r="V813" s="4"/>
      <c r="W813" s="4"/>
      <c r="X813" s="4"/>
      <c r="Y813" s="4"/>
      <c r="Z813" s="4"/>
    </row>
    <row r="814" ht="14.25" customHeight="1">
      <c r="A814" s="2"/>
      <c r="B814" s="4"/>
      <c r="C814" s="2"/>
      <c r="D814" s="2"/>
      <c r="E814" s="4"/>
      <c r="F814" s="2"/>
      <c r="G814" s="4"/>
      <c r="H814" s="4"/>
      <c r="I814" s="4"/>
      <c r="J814" s="4"/>
      <c r="K814" s="4"/>
      <c r="L814" s="4"/>
      <c r="M814" s="4"/>
      <c r="N814" s="4"/>
      <c r="O814" s="4"/>
      <c r="P814" s="4"/>
      <c r="Q814" s="4"/>
      <c r="R814" s="4"/>
      <c r="S814" s="4"/>
      <c r="T814" s="4"/>
      <c r="U814" s="4"/>
      <c r="V814" s="4"/>
      <c r="W814" s="4"/>
      <c r="X814" s="4"/>
      <c r="Y814" s="4"/>
      <c r="Z814" s="4"/>
    </row>
    <row r="815" ht="14.25" customHeight="1">
      <c r="A815" s="2"/>
      <c r="B815" s="4"/>
      <c r="C815" s="2"/>
      <c r="D815" s="2"/>
      <c r="E815" s="4"/>
      <c r="F815" s="2"/>
      <c r="G815" s="4"/>
      <c r="H815" s="4"/>
      <c r="I815" s="4"/>
      <c r="J815" s="4"/>
      <c r="K815" s="4"/>
      <c r="L815" s="4"/>
      <c r="M815" s="4"/>
      <c r="N815" s="4"/>
      <c r="O815" s="4"/>
      <c r="P815" s="4"/>
      <c r="Q815" s="4"/>
      <c r="R815" s="4"/>
      <c r="S815" s="4"/>
      <c r="T815" s="4"/>
      <c r="U815" s="4"/>
      <c r="V815" s="4"/>
      <c r="W815" s="4"/>
      <c r="X815" s="4"/>
      <c r="Y815" s="4"/>
      <c r="Z815" s="4"/>
    </row>
    <row r="816" ht="14.25" customHeight="1">
      <c r="A816" s="2"/>
      <c r="B816" s="4"/>
      <c r="C816" s="2"/>
      <c r="D816" s="2"/>
      <c r="E816" s="4"/>
      <c r="F816" s="2"/>
      <c r="G816" s="4"/>
      <c r="H816" s="4"/>
      <c r="I816" s="4"/>
      <c r="J816" s="4"/>
      <c r="K816" s="4"/>
      <c r="L816" s="4"/>
      <c r="M816" s="4"/>
      <c r="N816" s="4"/>
      <c r="O816" s="4"/>
      <c r="P816" s="4"/>
      <c r="Q816" s="4"/>
      <c r="R816" s="4"/>
      <c r="S816" s="4"/>
      <c r="T816" s="4"/>
      <c r="U816" s="4"/>
      <c r="V816" s="4"/>
      <c r="W816" s="4"/>
      <c r="X816" s="4"/>
      <c r="Y816" s="4"/>
      <c r="Z816" s="4"/>
    </row>
    <row r="817" ht="14.25" customHeight="1">
      <c r="A817" s="2"/>
      <c r="B817" s="4"/>
      <c r="C817" s="2"/>
      <c r="D817" s="2"/>
      <c r="E817" s="4"/>
      <c r="F817" s="2"/>
      <c r="G817" s="4"/>
      <c r="H817" s="4"/>
      <c r="I817" s="4"/>
      <c r="J817" s="4"/>
      <c r="K817" s="4"/>
      <c r="L817" s="4"/>
      <c r="M817" s="4"/>
      <c r="N817" s="4"/>
      <c r="O817" s="4"/>
      <c r="P817" s="4"/>
      <c r="Q817" s="4"/>
      <c r="R817" s="4"/>
      <c r="S817" s="4"/>
      <c r="T817" s="4"/>
      <c r="U817" s="4"/>
      <c r="V817" s="4"/>
      <c r="W817" s="4"/>
      <c r="X817" s="4"/>
      <c r="Y817" s="4"/>
      <c r="Z817" s="4"/>
    </row>
    <row r="818" ht="14.25" customHeight="1">
      <c r="A818" s="2"/>
      <c r="B818" s="4"/>
      <c r="C818" s="2"/>
      <c r="D818" s="2"/>
      <c r="E818" s="4"/>
      <c r="F818" s="2"/>
      <c r="G818" s="4"/>
      <c r="H818" s="4"/>
      <c r="I818" s="4"/>
      <c r="J818" s="4"/>
      <c r="K818" s="4"/>
      <c r="L818" s="4"/>
      <c r="M818" s="4"/>
      <c r="N818" s="4"/>
      <c r="O818" s="4"/>
      <c r="P818" s="4"/>
      <c r="Q818" s="4"/>
      <c r="R818" s="4"/>
      <c r="S818" s="4"/>
      <c r="T818" s="4"/>
      <c r="U818" s="4"/>
      <c r="V818" s="4"/>
      <c r="W818" s="4"/>
      <c r="X818" s="4"/>
      <c r="Y818" s="4"/>
      <c r="Z818" s="4"/>
    </row>
    <row r="819" ht="14.25" customHeight="1">
      <c r="A819" s="2"/>
      <c r="B819" s="4"/>
      <c r="C819" s="2"/>
      <c r="D819" s="2"/>
      <c r="E819" s="4"/>
      <c r="F819" s="2"/>
      <c r="G819" s="4"/>
      <c r="H819" s="4"/>
      <c r="I819" s="4"/>
      <c r="J819" s="4"/>
      <c r="K819" s="4"/>
      <c r="L819" s="4"/>
      <c r="M819" s="4"/>
      <c r="N819" s="4"/>
      <c r="O819" s="4"/>
      <c r="P819" s="4"/>
      <c r="Q819" s="4"/>
      <c r="R819" s="4"/>
      <c r="S819" s="4"/>
      <c r="T819" s="4"/>
      <c r="U819" s="4"/>
      <c r="V819" s="4"/>
      <c r="W819" s="4"/>
      <c r="X819" s="4"/>
      <c r="Y819" s="4"/>
      <c r="Z819" s="4"/>
    </row>
    <row r="820" ht="14.25" customHeight="1">
      <c r="A820" s="2"/>
      <c r="B820" s="4"/>
      <c r="C820" s="2"/>
      <c r="D820" s="2"/>
      <c r="E820" s="4"/>
      <c r="F820" s="2"/>
      <c r="G820" s="4"/>
      <c r="H820" s="4"/>
      <c r="I820" s="4"/>
      <c r="J820" s="4"/>
      <c r="K820" s="4"/>
      <c r="L820" s="4"/>
      <c r="M820" s="4"/>
      <c r="N820" s="4"/>
      <c r="O820" s="4"/>
      <c r="P820" s="4"/>
      <c r="Q820" s="4"/>
      <c r="R820" s="4"/>
      <c r="S820" s="4"/>
      <c r="T820" s="4"/>
      <c r="U820" s="4"/>
      <c r="V820" s="4"/>
      <c r="W820" s="4"/>
      <c r="X820" s="4"/>
      <c r="Y820" s="4"/>
      <c r="Z820" s="4"/>
    </row>
    <row r="821" ht="14.25" customHeight="1">
      <c r="A821" s="2"/>
      <c r="B821" s="4"/>
      <c r="C821" s="2"/>
      <c r="D821" s="2"/>
      <c r="E821" s="4"/>
      <c r="F821" s="2"/>
      <c r="G821" s="4"/>
      <c r="H821" s="4"/>
      <c r="I821" s="4"/>
      <c r="J821" s="4"/>
      <c r="K821" s="4"/>
      <c r="L821" s="4"/>
      <c r="M821" s="4"/>
      <c r="N821" s="4"/>
      <c r="O821" s="4"/>
      <c r="P821" s="4"/>
      <c r="Q821" s="4"/>
      <c r="R821" s="4"/>
      <c r="S821" s="4"/>
      <c r="T821" s="4"/>
      <c r="U821" s="4"/>
      <c r="V821" s="4"/>
      <c r="W821" s="4"/>
      <c r="X821" s="4"/>
      <c r="Y821" s="4"/>
      <c r="Z821" s="4"/>
    </row>
    <row r="822" ht="14.25" customHeight="1">
      <c r="A822" s="2"/>
      <c r="B822" s="4"/>
      <c r="C822" s="2"/>
      <c r="D822" s="2"/>
      <c r="E822" s="4"/>
      <c r="F822" s="2"/>
      <c r="G822" s="4"/>
      <c r="H822" s="4"/>
      <c r="I822" s="4"/>
      <c r="J822" s="4"/>
      <c r="K822" s="4"/>
      <c r="L822" s="4"/>
      <c r="M822" s="4"/>
      <c r="N822" s="4"/>
      <c r="O822" s="4"/>
      <c r="P822" s="4"/>
      <c r="Q822" s="4"/>
      <c r="R822" s="4"/>
      <c r="S822" s="4"/>
      <c r="T822" s="4"/>
      <c r="U822" s="4"/>
      <c r="V822" s="4"/>
      <c r="W822" s="4"/>
      <c r="X822" s="4"/>
      <c r="Y822" s="4"/>
      <c r="Z822" s="4"/>
    </row>
    <row r="823" ht="14.25" customHeight="1">
      <c r="A823" s="2"/>
      <c r="B823" s="4"/>
      <c r="C823" s="2"/>
      <c r="D823" s="2"/>
      <c r="E823" s="4"/>
      <c r="F823" s="2"/>
      <c r="G823" s="4"/>
      <c r="H823" s="4"/>
      <c r="I823" s="4"/>
      <c r="J823" s="4"/>
      <c r="K823" s="4"/>
      <c r="L823" s="4"/>
      <c r="M823" s="4"/>
      <c r="N823" s="4"/>
      <c r="O823" s="4"/>
      <c r="P823" s="4"/>
      <c r="Q823" s="4"/>
      <c r="R823" s="4"/>
      <c r="S823" s="4"/>
      <c r="T823" s="4"/>
      <c r="U823" s="4"/>
      <c r="V823" s="4"/>
      <c r="W823" s="4"/>
      <c r="X823" s="4"/>
      <c r="Y823" s="4"/>
      <c r="Z823" s="4"/>
    </row>
    <row r="824" ht="14.25" customHeight="1">
      <c r="A824" s="2"/>
      <c r="B824" s="4"/>
      <c r="C824" s="2"/>
      <c r="D824" s="2"/>
      <c r="E824" s="4"/>
      <c r="F824" s="2"/>
      <c r="G824" s="4"/>
      <c r="H824" s="4"/>
      <c r="I824" s="4"/>
      <c r="J824" s="4"/>
      <c r="K824" s="4"/>
      <c r="L824" s="4"/>
      <c r="M824" s="4"/>
      <c r="N824" s="4"/>
      <c r="O824" s="4"/>
      <c r="P824" s="4"/>
      <c r="Q824" s="4"/>
      <c r="R824" s="4"/>
      <c r="S824" s="4"/>
      <c r="T824" s="4"/>
      <c r="U824" s="4"/>
      <c r="V824" s="4"/>
      <c r="W824" s="4"/>
      <c r="X824" s="4"/>
      <c r="Y824" s="4"/>
      <c r="Z824" s="4"/>
    </row>
    <row r="825" ht="14.25" customHeight="1">
      <c r="A825" s="2"/>
      <c r="B825" s="4"/>
      <c r="C825" s="2"/>
      <c r="D825" s="2"/>
      <c r="E825" s="4"/>
      <c r="F825" s="2"/>
      <c r="G825" s="4"/>
      <c r="H825" s="4"/>
      <c r="I825" s="4"/>
      <c r="J825" s="4"/>
      <c r="K825" s="4"/>
      <c r="L825" s="4"/>
      <c r="M825" s="4"/>
      <c r="N825" s="4"/>
      <c r="O825" s="4"/>
      <c r="P825" s="4"/>
      <c r="Q825" s="4"/>
      <c r="R825" s="4"/>
      <c r="S825" s="4"/>
      <c r="T825" s="4"/>
      <c r="U825" s="4"/>
      <c r="V825" s="4"/>
      <c r="W825" s="4"/>
      <c r="X825" s="4"/>
      <c r="Y825" s="4"/>
      <c r="Z825" s="4"/>
    </row>
    <row r="826" ht="14.25" customHeight="1">
      <c r="A826" s="2"/>
      <c r="B826" s="4"/>
      <c r="C826" s="2"/>
      <c r="D826" s="2"/>
      <c r="E826" s="4"/>
      <c r="F826" s="2"/>
      <c r="G826" s="4"/>
      <c r="H826" s="4"/>
      <c r="I826" s="4"/>
      <c r="J826" s="4"/>
      <c r="K826" s="4"/>
      <c r="L826" s="4"/>
      <c r="M826" s="4"/>
      <c r="N826" s="4"/>
      <c r="O826" s="4"/>
      <c r="P826" s="4"/>
      <c r="Q826" s="4"/>
      <c r="R826" s="4"/>
      <c r="S826" s="4"/>
      <c r="T826" s="4"/>
      <c r="U826" s="4"/>
      <c r="V826" s="4"/>
      <c r="W826" s="4"/>
      <c r="X826" s="4"/>
      <c r="Y826" s="4"/>
      <c r="Z826" s="4"/>
    </row>
    <row r="827" ht="14.25" customHeight="1">
      <c r="A827" s="2"/>
      <c r="B827" s="4"/>
      <c r="C827" s="2"/>
      <c r="D827" s="2"/>
      <c r="E827" s="4"/>
      <c r="F827" s="2"/>
      <c r="G827" s="4"/>
      <c r="H827" s="4"/>
      <c r="I827" s="4"/>
      <c r="J827" s="4"/>
      <c r="K827" s="4"/>
      <c r="L827" s="4"/>
      <c r="M827" s="4"/>
      <c r="N827" s="4"/>
      <c r="O827" s="4"/>
      <c r="P827" s="4"/>
      <c r="Q827" s="4"/>
      <c r="R827" s="4"/>
      <c r="S827" s="4"/>
      <c r="T827" s="4"/>
      <c r="U827" s="4"/>
      <c r="V827" s="4"/>
      <c r="W827" s="4"/>
      <c r="X827" s="4"/>
      <c r="Y827" s="4"/>
      <c r="Z827" s="4"/>
    </row>
    <row r="828" ht="14.25" customHeight="1">
      <c r="A828" s="2"/>
      <c r="B828" s="4"/>
      <c r="C828" s="2"/>
      <c r="D828" s="2"/>
      <c r="E828" s="4"/>
      <c r="F828" s="2"/>
      <c r="G828" s="4"/>
      <c r="H828" s="4"/>
      <c r="I828" s="4"/>
      <c r="J828" s="4"/>
      <c r="K828" s="4"/>
      <c r="L828" s="4"/>
      <c r="M828" s="4"/>
      <c r="N828" s="4"/>
      <c r="O828" s="4"/>
      <c r="P828" s="4"/>
      <c r="Q828" s="4"/>
      <c r="R828" s="4"/>
      <c r="S828" s="4"/>
      <c r="T828" s="4"/>
      <c r="U828" s="4"/>
      <c r="V828" s="4"/>
      <c r="W828" s="4"/>
      <c r="X828" s="4"/>
      <c r="Y828" s="4"/>
      <c r="Z828" s="4"/>
    </row>
    <row r="829" ht="14.25" customHeight="1">
      <c r="A829" s="2"/>
      <c r="B829" s="4"/>
      <c r="C829" s="2"/>
      <c r="D829" s="2"/>
      <c r="E829" s="4"/>
      <c r="F829" s="2"/>
      <c r="G829" s="4"/>
      <c r="H829" s="4"/>
      <c r="I829" s="4"/>
      <c r="J829" s="4"/>
      <c r="K829" s="4"/>
      <c r="L829" s="4"/>
      <c r="M829" s="4"/>
      <c r="N829" s="4"/>
      <c r="O829" s="4"/>
      <c r="P829" s="4"/>
      <c r="Q829" s="4"/>
      <c r="R829" s="4"/>
      <c r="S829" s="4"/>
      <c r="T829" s="4"/>
      <c r="U829" s="4"/>
      <c r="V829" s="4"/>
      <c r="W829" s="4"/>
      <c r="X829" s="4"/>
      <c r="Y829" s="4"/>
      <c r="Z829" s="4"/>
    </row>
    <row r="830" ht="14.25" customHeight="1">
      <c r="A830" s="2"/>
      <c r="B830" s="4"/>
      <c r="C830" s="2"/>
      <c r="D830" s="2"/>
      <c r="E830" s="4"/>
      <c r="F830" s="2"/>
      <c r="G830" s="4"/>
      <c r="H830" s="4"/>
      <c r="I830" s="4"/>
      <c r="J830" s="4"/>
      <c r="K830" s="4"/>
      <c r="L830" s="4"/>
      <c r="M830" s="4"/>
      <c r="N830" s="4"/>
      <c r="O830" s="4"/>
      <c r="P830" s="4"/>
      <c r="Q830" s="4"/>
      <c r="R830" s="4"/>
      <c r="S830" s="4"/>
      <c r="T830" s="4"/>
      <c r="U830" s="4"/>
      <c r="V830" s="4"/>
      <c r="W830" s="4"/>
      <c r="X830" s="4"/>
      <c r="Y830" s="4"/>
      <c r="Z830" s="4"/>
    </row>
    <row r="831" ht="14.25" customHeight="1">
      <c r="A831" s="2"/>
      <c r="B831" s="4"/>
      <c r="C831" s="2"/>
      <c r="D831" s="2"/>
      <c r="E831" s="4"/>
      <c r="F831" s="2"/>
      <c r="G831" s="4"/>
      <c r="H831" s="4"/>
      <c r="I831" s="4"/>
      <c r="J831" s="4"/>
      <c r="K831" s="4"/>
      <c r="L831" s="4"/>
      <c r="M831" s="4"/>
      <c r="N831" s="4"/>
      <c r="O831" s="4"/>
      <c r="P831" s="4"/>
      <c r="Q831" s="4"/>
      <c r="R831" s="4"/>
      <c r="S831" s="4"/>
      <c r="T831" s="4"/>
      <c r="U831" s="4"/>
      <c r="V831" s="4"/>
      <c r="W831" s="4"/>
      <c r="X831" s="4"/>
      <c r="Y831" s="4"/>
      <c r="Z831" s="4"/>
    </row>
    <row r="832" ht="14.25" customHeight="1">
      <c r="A832" s="2"/>
      <c r="B832" s="4"/>
      <c r="C832" s="2"/>
      <c r="D832" s="2"/>
      <c r="E832" s="4"/>
      <c r="F832" s="2"/>
      <c r="G832" s="4"/>
      <c r="H832" s="4"/>
      <c r="I832" s="4"/>
      <c r="J832" s="4"/>
      <c r="K832" s="4"/>
      <c r="L832" s="4"/>
      <c r="M832" s="4"/>
      <c r="N832" s="4"/>
      <c r="O832" s="4"/>
      <c r="P832" s="4"/>
      <c r="Q832" s="4"/>
      <c r="R832" s="4"/>
      <c r="S832" s="4"/>
      <c r="T832" s="4"/>
      <c r="U832" s="4"/>
      <c r="V832" s="4"/>
      <c r="W832" s="4"/>
      <c r="X832" s="4"/>
      <c r="Y832" s="4"/>
      <c r="Z832" s="4"/>
    </row>
    <row r="833" ht="14.25" customHeight="1">
      <c r="A833" s="2"/>
      <c r="B833" s="4"/>
      <c r="C833" s="2"/>
      <c r="D833" s="2"/>
      <c r="E833" s="4"/>
      <c r="F833" s="2"/>
      <c r="G833" s="4"/>
      <c r="H833" s="4"/>
      <c r="I833" s="4"/>
      <c r="J833" s="4"/>
      <c r="K833" s="4"/>
      <c r="L833" s="4"/>
      <c r="M833" s="4"/>
      <c r="N833" s="4"/>
      <c r="O833" s="4"/>
      <c r="P833" s="4"/>
      <c r="Q833" s="4"/>
      <c r="R833" s="4"/>
      <c r="S833" s="4"/>
      <c r="T833" s="4"/>
      <c r="U833" s="4"/>
      <c r="V833" s="4"/>
      <c r="W833" s="4"/>
      <c r="X833" s="4"/>
      <c r="Y833" s="4"/>
      <c r="Z833" s="4"/>
    </row>
    <row r="834" ht="14.25" customHeight="1">
      <c r="A834" s="2"/>
      <c r="B834" s="4"/>
      <c r="C834" s="2"/>
      <c r="D834" s="2"/>
      <c r="E834" s="4"/>
      <c r="F834" s="2"/>
      <c r="G834" s="4"/>
      <c r="H834" s="4"/>
      <c r="I834" s="4"/>
      <c r="J834" s="4"/>
      <c r="K834" s="4"/>
      <c r="L834" s="4"/>
      <c r="M834" s="4"/>
      <c r="N834" s="4"/>
      <c r="O834" s="4"/>
      <c r="P834" s="4"/>
      <c r="Q834" s="4"/>
      <c r="R834" s="4"/>
      <c r="S834" s="4"/>
      <c r="T834" s="4"/>
      <c r="U834" s="4"/>
      <c r="V834" s="4"/>
      <c r="W834" s="4"/>
      <c r="X834" s="4"/>
      <c r="Y834" s="4"/>
      <c r="Z834" s="4"/>
    </row>
    <row r="835" ht="14.25" customHeight="1">
      <c r="A835" s="2"/>
      <c r="B835" s="4"/>
      <c r="C835" s="2"/>
      <c r="D835" s="2"/>
      <c r="E835" s="4"/>
      <c r="F835" s="2"/>
      <c r="G835" s="4"/>
      <c r="H835" s="4"/>
      <c r="I835" s="4"/>
      <c r="J835" s="4"/>
      <c r="K835" s="4"/>
      <c r="L835" s="4"/>
      <c r="M835" s="4"/>
      <c r="N835" s="4"/>
      <c r="O835" s="4"/>
      <c r="P835" s="4"/>
      <c r="Q835" s="4"/>
      <c r="R835" s="4"/>
      <c r="S835" s="4"/>
      <c r="T835" s="4"/>
      <c r="U835" s="4"/>
      <c r="V835" s="4"/>
      <c r="W835" s="4"/>
      <c r="X835" s="4"/>
      <c r="Y835" s="4"/>
      <c r="Z835" s="4"/>
    </row>
    <row r="836" ht="14.25" customHeight="1">
      <c r="A836" s="2"/>
      <c r="B836" s="4"/>
      <c r="C836" s="2"/>
      <c r="D836" s="2"/>
      <c r="E836" s="4"/>
      <c r="F836" s="2"/>
      <c r="G836" s="4"/>
      <c r="H836" s="4"/>
      <c r="I836" s="4"/>
      <c r="J836" s="4"/>
      <c r="K836" s="4"/>
      <c r="L836" s="4"/>
      <c r="M836" s="4"/>
      <c r="N836" s="4"/>
      <c r="O836" s="4"/>
      <c r="P836" s="4"/>
      <c r="Q836" s="4"/>
      <c r="R836" s="4"/>
      <c r="S836" s="4"/>
      <c r="T836" s="4"/>
      <c r="U836" s="4"/>
      <c r="V836" s="4"/>
      <c r="W836" s="4"/>
      <c r="X836" s="4"/>
      <c r="Y836" s="4"/>
      <c r="Z836" s="4"/>
    </row>
    <row r="837" ht="14.25" customHeight="1">
      <c r="A837" s="2"/>
      <c r="B837" s="4"/>
      <c r="C837" s="2"/>
      <c r="D837" s="2"/>
      <c r="E837" s="4"/>
      <c r="F837" s="2"/>
      <c r="G837" s="4"/>
      <c r="H837" s="4"/>
      <c r="I837" s="4"/>
      <c r="J837" s="4"/>
      <c r="K837" s="4"/>
      <c r="L837" s="4"/>
      <c r="M837" s="4"/>
      <c r="N837" s="4"/>
      <c r="O837" s="4"/>
      <c r="P837" s="4"/>
      <c r="Q837" s="4"/>
      <c r="R837" s="4"/>
      <c r="S837" s="4"/>
      <c r="T837" s="4"/>
      <c r="U837" s="4"/>
      <c r="V837" s="4"/>
      <c r="W837" s="4"/>
      <c r="X837" s="4"/>
      <c r="Y837" s="4"/>
      <c r="Z837" s="4"/>
    </row>
    <row r="838" ht="14.25" customHeight="1">
      <c r="A838" s="2"/>
      <c r="B838" s="4"/>
      <c r="C838" s="2"/>
      <c r="D838" s="2"/>
      <c r="E838" s="4"/>
      <c r="F838" s="2"/>
      <c r="G838" s="4"/>
      <c r="H838" s="4"/>
      <c r="I838" s="4"/>
      <c r="J838" s="4"/>
      <c r="K838" s="4"/>
      <c r="L838" s="4"/>
      <c r="M838" s="4"/>
      <c r="N838" s="4"/>
      <c r="O838" s="4"/>
      <c r="P838" s="4"/>
      <c r="Q838" s="4"/>
      <c r="R838" s="4"/>
      <c r="S838" s="4"/>
      <c r="T838" s="4"/>
      <c r="U838" s="4"/>
      <c r="V838" s="4"/>
      <c r="W838" s="4"/>
      <c r="X838" s="4"/>
      <c r="Y838" s="4"/>
      <c r="Z838" s="4"/>
    </row>
    <row r="839" ht="14.25" customHeight="1">
      <c r="A839" s="2"/>
      <c r="B839" s="4"/>
      <c r="C839" s="2"/>
      <c r="D839" s="2"/>
      <c r="E839" s="4"/>
      <c r="F839" s="2"/>
      <c r="G839" s="4"/>
      <c r="H839" s="4"/>
      <c r="I839" s="4"/>
      <c r="J839" s="4"/>
      <c r="K839" s="4"/>
      <c r="L839" s="4"/>
      <c r="M839" s="4"/>
      <c r="N839" s="4"/>
      <c r="O839" s="4"/>
      <c r="P839" s="4"/>
      <c r="Q839" s="4"/>
      <c r="R839" s="4"/>
      <c r="S839" s="4"/>
      <c r="T839" s="4"/>
      <c r="U839" s="4"/>
      <c r="V839" s="4"/>
      <c r="W839" s="4"/>
      <c r="X839" s="4"/>
      <c r="Y839" s="4"/>
      <c r="Z839" s="4"/>
    </row>
    <row r="840" ht="14.25" customHeight="1">
      <c r="A840" s="2"/>
      <c r="B840" s="4"/>
      <c r="C840" s="2"/>
      <c r="D840" s="2"/>
      <c r="E840" s="4"/>
      <c r="F840" s="2"/>
      <c r="G840" s="4"/>
      <c r="H840" s="4"/>
      <c r="I840" s="4"/>
      <c r="J840" s="4"/>
      <c r="K840" s="4"/>
      <c r="L840" s="4"/>
      <c r="M840" s="4"/>
      <c r="N840" s="4"/>
      <c r="O840" s="4"/>
      <c r="P840" s="4"/>
      <c r="Q840" s="4"/>
      <c r="R840" s="4"/>
      <c r="S840" s="4"/>
      <c r="T840" s="4"/>
      <c r="U840" s="4"/>
      <c r="V840" s="4"/>
      <c r="W840" s="4"/>
      <c r="X840" s="4"/>
      <c r="Y840" s="4"/>
      <c r="Z840" s="4"/>
    </row>
    <row r="841" ht="14.25" customHeight="1">
      <c r="A841" s="2"/>
      <c r="B841" s="4"/>
      <c r="C841" s="2"/>
      <c r="D841" s="2"/>
      <c r="E841" s="4"/>
      <c r="F841" s="2"/>
      <c r="G841" s="4"/>
      <c r="H841" s="4"/>
      <c r="I841" s="4"/>
      <c r="J841" s="4"/>
      <c r="K841" s="4"/>
      <c r="L841" s="4"/>
      <c r="M841" s="4"/>
      <c r="N841" s="4"/>
      <c r="O841" s="4"/>
      <c r="P841" s="4"/>
      <c r="Q841" s="4"/>
      <c r="R841" s="4"/>
      <c r="S841" s="4"/>
      <c r="T841" s="4"/>
      <c r="U841" s="4"/>
      <c r="V841" s="4"/>
      <c r="W841" s="4"/>
      <c r="X841" s="4"/>
      <c r="Y841" s="4"/>
      <c r="Z841" s="4"/>
    </row>
    <row r="842" ht="14.25" customHeight="1">
      <c r="A842" s="2"/>
      <c r="B842" s="4"/>
      <c r="C842" s="2"/>
      <c r="D842" s="2"/>
      <c r="E842" s="4"/>
      <c r="F842" s="2"/>
      <c r="G842" s="4"/>
      <c r="H842" s="4"/>
      <c r="I842" s="4"/>
      <c r="J842" s="4"/>
      <c r="K842" s="4"/>
      <c r="L842" s="4"/>
      <c r="M842" s="4"/>
      <c r="N842" s="4"/>
      <c r="O842" s="4"/>
      <c r="P842" s="4"/>
      <c r="Q842" s="4"/>
      <c r="R842" s="4"/>
      <c r="S842" s="4"/>
      <c r="T842" s="4"/>
      <c r="U842" s="4"/>
      <c r="V842" s="4"/>
      <c r="W842" s="4"/>
      <c r="X842" s="4"/>
      <c r="Y842" s="4"/>
      <c r="Z842" s="4"/>
    </row>
    <row r="843" ht="14.25" customHeight="1">
      <c r="A843" s="2"/>
      <c r="B843" s="4"/>
      <c r="C843" s="2"/>
      <c r="D843" s="2"/>
      <c r="E843" s="4"/>
      <c r="F843" s="2"/>
      <c r="G843" s="4"/>
      <c r="H843" s="4"/>
      <c r="I843" s="4"/>
      <c r="J843" s="4"/>
      <c r="K843" s="4"/>
      <c r="L843" s="4"/>
      <c r="M843" s="4"/>
      <c r="N843" s="4"/>
      <c r="O843" s="4"/>
      <c r="P843" s="4"/>
      <c r="Q843" s="4"/>
      <c r="R843" s="4"/>
      <c r="S843" s="4"/>
      <c r="T843" s="4"/>
      <c r="U843" s="4"/>
      <c r="V843" s="4"/>
      <c r="W843" s="4"/>
      <c r="X843" s="4"/>
      <c r="Y843" s="4"/>
      <c r="Z843" s="4"/>
    </row>
    <row r="844" ht="14.25" customHeight="1">
      <c r="A844" s="2"/>
      <c r="B844" s="4"/>
      <c r="C844" s="2"/>
      <c r="D844" s="2"/>
      <c r="E844" s="4"/>
      <c r="F844" s="2"/>
      <c r="G844" s="4"/>
      <c r="H844" s="4"/>
      <c r="I844" s="4"/>
      <c r="J844" s="4"/>
      <c r="K844" s="4"/>
      <c r="L844" s="4"/>
      <c r="M844" s="4"/>
      <c r="N844" s="4"/>
      <c r="O844" s="4"/>
      <c r="P844" s="4"/>
      <c r="Q844" s="4"/>
      <c r="R844" s="4"/>
      <c r="S844" s="4"/>
      <c r="T844" s="4"/>
      <c r="U844" s="4"/>
      <c r="V844" s="4"/>
      <c r="W844" s="4"/>
      <c r="X844" s="4"/>
      <c r="Y844" s="4"/>
      <c r="Z844" s="4"/>
    </row>
    <row r="845" ht="14.25" customHeight="1">
      <c r="A845" s="2"/>
      <c r="B845" s="4"/>
      <c r="C845" s="2"/>
      <c r="D845" s="2"/>
      <c r="E845" s="4"/>
      <c r="F845" s="2"/>
      <c r="G845" s="4"/>
      <c r="H845" s="4"/>
      <c r="I845" s="4"/>
      <c r="J845" s="4"/>
      <c r="K845" s="4"/>
      <c r="L845" s="4"/>
      <c r="M845" s="4"/>
      <c r="N845" s="4"/>
      <c r="O845" s="4"/>
      <c r="P845" s="4"/>
      <c r="Q845" s="4"/>
      <c r="R845" s="4"/>
      <c r="S845" s="4"/>
      <c r="T845" s="4"/>
      <c r="U845" s="4"/>
      <c r="V845" s="4"/>
      <c r="W845" s="4"/>
      <c r="X845" s="4"/>
      <c r="Y845" s="4"/>
      <c r="Z845" s="4"/>
    </row>
    <row r="846" ht="14.25" customHeight="1">
      <c r="A846" s="2"/>
      <c r="B846" s="4"/>
      <c r="C846" s="2"/>
      <c r="D846" s="2"/>
      <c r="E846" s="4"/>
      <c r="F846" s="2"/>
      <c r="G846" s="4"/>
      <c r="H846" s="4"/>
      <c r="I846" s="4"/>
      <c r="J846" s="4"/>
      <c r="K846" s="4"/>
      <c r="L846" s="4"/>
      <c r="M846" s="4"/>
      <c r="N846" s="4"/>
      <c r="O846" s="4"/>
      <c r="P846" s="4"/>
      <c r="Q846" s="4"/>
      <c r="R846" s="4"/>
      <c r="S846" s="4"/>
      <c r="T846" s="4"/>
      <c r="U846" s="4"/>
      <c r="V846" s="4"/>
      <c r="W846" s="4"/>
      <c r="X846" s="4"/>
      <c r="Y846" s="4"/>
      <c r="Z846" s="4"/>
    </row>
    <row r="847" ht="14.25" customHeight="1">
      <c r="A847" s="2"/>
      <c r="B847" s="4"/>
      <c r="C847" s="2"/>
      <c r="D847" s="2"/>
      <c r="E847" s="4"/>
      <c r="F847" s="2"/>
      <c r="G847" s="4"/>
      <c r="H847" s="4"/>
      <c r="I847" s="4"/>
      <c r="J847" s="4"/>
      <c r="K847" s="4"/>
      <c r="L847" s="4"/>
      <c r="M847" s="4"/>
      <c r="N847" s="4"/>
      <c r="O847" s="4"/>
      <c r="P847" s="4"/>
      <c r="Q847" s="4"/>
      <c r="R847" s="4"/>
      <c r="S847" s="4"/>
      <c r="T847" s="4"/>
      <c r="U847" s="4"/>
      <c r="V847" s="4"/>
      <c r="W847" s="4"/>
      <c r="X847" s="4"/>
      <c r="Y847" s="4"/>
      <c r="Z847" s="4"/>
    </row>
    <row r="848" ht="14.25" customHeight="1">
      <c r="A848" s="2"/>
      <c r="B848" s="4"/>
      <c r="C848" s="2"/>
      <c r="D848" s="2"/>
      <c r="E848" s="4"/>
      <c r="F848" s="2"/>
      <c r="G848" s="4"/>
      <c r="H848" s="4"/>
      <c r="I848" s="4"/>
      <c r="J848" s="4"/>
      <c r="K848" s="4"/>
      <c r="L848" s="4"/>
      <c r="M848" s="4"/>
      <c r="N848" s="4"/>
      <c r="O848" s="4"/>
      <c r="P848" s="4"/>
      <c r="Q848" s="4"/>
      <c r="R848" s="4"/>
      <c r="S848" s="4"/>
      <c r="T848" s="4"/>
      <c r="U848" s="4"/>
      <c r="V848" s="4"/>
      <c r="W848" s="4"/>
      <c r="X848" s="4"/>
      <c r="Y848" s="4"/>
      <c r="Z848" s="4"/>
    </row>
    <row r="849" ht="14.25" customHeight="1">
      <c r="A849" s="2"/>
      <c r="B849" s="4"/>
      <c r="C849" s="2"/>
      <c r="D849" s="2"/>
      <c r="E849" s="4"/>
      <c r="F849" s="2"/>
      <c r="G849" s="4"/>
      <c r="H849" s="4"/>
      <c r="I849" s="4"/>
      <c r="J849" s="4"/>
      <c r="K849" s="4"/>
      <c r="L849" s="4"/>
      <c r="M849" s="4"/>
      <c r="N849" s="4"/>
      <c r="O849" s="4"/>
      <c r="P849" s="4"/>
      <c r="Q849" s="4"/>
      <c r="R849" s="4"/>
      <c r="S849" s="4"/>
      <c r="T849" s="4"/>
      <c r="U849" s="4"/>
      <c r="V849" s="4"/>
      <c r="W849" s="4"/>
      <c r="X849" s="4"/>
      <c r="Y849" s="4"/>
      <c r="Z849" s="4"/>
    </row>
    <row r="850" ht="14.25" customHeight="1">
      <c r="A850" s="2"/>
      <c r="B850" s="4"/>
      <c r="C850" s="2"/>
      <c r="D850" s="2"/>
      <c r="E850" s="4"/>
      <c r="F850" s="2"/>
      <c r="G850" s="4"/>
      <c r="H850" s="4"/>
      <c r="I850" s="4"/>
      <c r="J850" s="4"/>
      <c r="K850" s="4"/>
      <c r="L850" s="4"/>
      <c r="M850" s="4"/>
      <c r="N850" s="4"/>
      <c r="O850" s="4"/>
      <c r="P850" s="4"/>
      <c r="Q850" s="4"/>
      <c r="R850" s="4"/>
      <c r="S850" s="4"/>
      <c r="T850" s="4"/>
      <c r="U850" s="4"/>
      <c r="V850" s="4"/>
      <c r="W850" s="4"/>
      <c r="X850" s="4"/>
      <c r="Y850" s="4"/>
      <c r="Z850" s="4"/>
    </row>
    <row r="851" ht="14.25" customHeight="1">
      <c r="A851" s="2"/>
      <c r="B851" s="4"/>
      <c r="C851" s="2"/>
      <c r="D851" s="2"/>
      <c r="E851" s="4"/>
      <c r="F851" s="2"/>
      <c r="G851" s="4"/>
      <c r="H851" s="4"/>
      <c r="I851" s="4"/>
      <c r="J851" s="4"/>
      <c r="K851" s="4"/>
      <c r="L851" s="4"/>
      <c r="M851" s="4"/>
      <c r="N851" s="4"/>
      <c r="O851" s="4"/>
      <c r="P851" s="4"/>
      <c r="Q851" s="4"/>
      <c r="R851" s="4"/>
      <c r="S851" s="4"/>
      <c r="T851" s="4"/>
      <c r="U851" s="4"/>
      <c r="V851" s="4"/>
      <c r="W851" s="4"/>
      <c r="X851" s="4"/>
      <c r="Y851" s="4"/>
      <c r="Z851" s="4"/>
    </row>
    <row r="852" ht="14.25" customHeight="1">
      <c r="A852" s="2"/>
      <c r="B852" s="4"/>
      <c r="C852" s="2"/>
      <c r="D852" s="2"/>
      <c r="E852" s="4"/>
      <c r="F852" s="2"/>
      <c r="G852" s="4"/>
      <c r="H852" s="4"/>
      <c r="I852" s="4"/>
      <c r="J852" s="4"/>
      <c r="K852" s="4"/>
      <c r="L852" s="4"/>
      <c r="M852" s="4"/>
      <c r="N852" s="4"/>
      <c r="O852" s="4"/>
      <c r="P852" s="4"/>
      <c r="Q852" s="4"/>
      <c r="R852" s="4"/>
      <c r="S852" s="4"/>
      <c r="T852" s="4"/>
      <c r="U852" s="4"/>
      <c r="V852" s="4"/>
      <c r="W852" s="4"/>
      <c r="X852" s="4"/>
      <c r="Y852" s="4"/>
      <c r="Z852" s="4"/>
    </row>
    <row r="853" ht="14.25" customHeight="1">
      <c r="A853" s="2"/>
      <c r="B853" s="4"/>
      <c r="C853" s="2"/>
      <c r="D853" s="2"/>
      <c r="E853" s="4"/>
      <c r="F853" s="2"/>
      <c r="G853" s="4"/>
      <c r="H853" s="4"/>
      <c r="I853" s="4"/>
      <c r="J853" s="4"/>
      <c r="K853" s="4"/>
      <c r="L853" s="4"/>
      <c r="M853" s="4"/>
      <c r="N853" s="4"/>
      <c r="O853" s="4"/>
      <c r="P853" s="4"/>
      <c r="Q853" s="4"/>
      <c r="R853" s="4"/>
      <c r="S853" s="4"/>
      <c r="T853" s="4"/>
      <c r="U853" s="4"/>
      <c r="V853" s="4"/>
      <c r="W853" s="4"/>
      <c r="X853" s="4"/>
      <c r="Y853" s="4"/>
      <c r="Z853" s="4"/>
    </row>
    <row r="854" ht="14.25" customHeight="1">
      <c r="A854" s="2"/>
      <c r="B854" s="4"/>
      <c r="C854" s="2"/>
      <c r="D854" s="2"/>
      <c r="E854" s="4"/>
      <c r="F854" s="2"/>
      <c r="G854" s="4"/>
      <c r="H854" s="4"/>
      <c r="I854" s="4"/>
      <c r="J854" s="4"/>
      <c r="K854" s="4"/>
      <c r="L854" s="4"/>
      <c r="M854" s="4"/>
      <c r="N854" s="4"/>
      <c r="O854" s="4"/>
      <c r="P854" s="4"/>
      <c r="Q854" s="4"/>
      <c r="R854" s="4"/>
      <c r="S854" s="4"/>
      <c r="T854" s="4"/>
      <c r="U854" s="4"/>
      <c r="V854" s="4"/>
      <c r="W854" s="4"/>
      <c r="X854" s="4"/>
      <c r="Y854" s="4"/>
      <c r="Z854" s="4"/>
    </row>
    <row r="855" ht="14.25" customHeight="1">
      <c r="A855" s="2"/>
      <c r="B855" s="4"/>
      <c r="C855" s="2"/>
      <c r="D855" s="2"/>
      <c r="E855" s="4"/>
      <c r="F855" s="2"/>
      <c r="G855" s="4"/>
      <c r="H855" s="4"/>
      <c r="I855" s="4"/>
      <c r="J855" s="4"/>
      <c r="K855" s="4"/>
      <c r="L855" s="4"/>
      <c r="M855" s="4"/>
      <c r="N855" s="4"/>
      <c r="O855" s="4"/>
      <c r="P855" s="4"/>
      <c r="Q855" s="4"/>
      <c r="R855" s="4"/>
      <c r="S855" s="4"/>
      <c r="T855" s="4"/>
      <c r="U855" s="4"/>
      <c r="V855" s="4"/>
      <c r="W855" s="4"/>
      <c r="X855" s="4"/>
      <c r="Y855" s="4"/>
      <c r="Z855" s="4"/>
    </row>
    <row r="856" ht="14.25" customHeight="1">
      <c r="A856" s="2"/>
      <c r="B856" s="4"/>
      <c r="C856" s="2"/>
      <c r="D856" s="2"/>
      <c r="E856" s="4"/>
      <c r="F856" s="2"/>
      <c r="G856" s="4"/>
      <c r="H856" s="4"/>
      <c r="I856" s="4"/>
      <c r="J856" s="4"/>
      <c r="K856" s="4"/>
      <c r="L856" s="4"/>
      <c r="M856" s="4"/>
      <c r="N856" s="4"/>
      <c r="O856" s="4"/>
      <c r="P856" s="4"/>
      <c r="Q856" s="4"/>
      <c r="R856" s="4"/>
      <c r="S856" s="4"/>
      <c r="T856" s="4"/>
      <c r="U856" s="4"/>
      <c r="V856" s="4"/>
      <c r="W856" s="4"/>
      <c r="X856" s="4"/>
      <c r="Y856" s="4"/>
      <c r="Z856" s="4"/>
    </row>
    <row r="857" ht="14.25" customHeight="1">
      <c r="A857" s="2"/>
      <c r="B857" s="4"/>
      <c r="C857" s="2"/>
      <c r="D857" s="2"/>
      <c r="E857" s="4"/>
      <c r="F857" s="2"/>
      <c r="G857" s="4"/>
      <c r="H857" s="4"/>
      <c r="I857" s="4"/>
      <c r="J857" s="4"/>
      <c r="K857" s="4"/>
      <c r="L857" s="4"/>
      <c r="M857" s="4"/>
      <c r="N857" s="4"/>
      <c r="O857" s="4"/>
      <c r="P857" s="4"/>
      <c r="Q857" s="4"/>
      <c r="R857" s="4"/>
      <c r="S857" s="4"/>
      <c r="T857" s="4"/>
      <c r="U857" s="4"/>
      <c r="V857" s="4"/>
      <c r="W857" s="4"/>
      <c r="X857" s="4"/>
      <c r="Y857" s="4"/>
      <c r="Z857" s="4"/>
    </row>
    <row r="858" ht="14.25" customHeight="1">
      <c r="A858" s="2"/>
      <c r="B858" s="4"/>
      <c r="C858" s="2"/>
      <c r="D858" s="2"/>
      <c r="E858" s="4"/>
      <c r="F858" s="2"/>
      <c r="G858" s="4"/>
      <c r="H858" s="4"/>
      <c r="I858" s="4"/>
      <c r="J858" s="4"/>
      <c r="K858" s="4"/>
      <c r="L858" s="4"/>
      <c r="M858" s="4"/>
      <c r="N858" s="4"/>
      <c r="O858" s="4"/>
      <c r="P858" s="4"/>
      <c r="Q858" s="4"/>
      <c r="R858" s="4"/>
      <c r="S858" s="4"/>
      <c r="T858" s="4"/>
      <c r="U858" s="4"/>
      <c r="V858" s="4"/>
      <c r="W858" s="4"/>
      <c r="X858" s="4"/>
      <c r="Y858" s="4"/>
      <c r="Z858" s="4"/>
    </row>
    <row r="859" ht="14.25" customHeight="1">
      <c r="A859" s="2"/>
      <c r="B859" s="4"/>
      <c r="C859" s="2"/>
      <c r="D859" s="2"/>
      <c r="E859" s="4"/>
      <c r="F859" s="2"/>
      <c r="G859" s="4"/>
      <c r="H859" s="4"/>
      <c r="I859" s="4"/>
      <c r="J859" s="4"/>
      <c r="K859" s="4"/>
      <c r="L859" s="4"/>
      <c r="M859" s="4"/>
      <c r="N859" s="4"/>
      <c r="O859" s="4"/>
      <c r="P859" s="4"/>
      <c r="Q859" s="4"/>
      <c r="R859" s="4"/>
      <c r="S859" s="4"/>
      <c r="T859" s="4"/>
      <c r="U859" s="4"/>
      <c r="V859" s="4"/>
      <c r="W859" s="4"/>
      <c r="X859" s="4"/>
      <c r="Y859" s="4"/>
      <c r="Z859" s="4"/>
    </row>
    <row r="860" ht="14.25" customHeight="1">
      <c r="A860" s="2"/>
      <c r="B860" s="4"/>
      <c r="C860" s="2"/>
      <c r="D860" s="2"/>
      <c r="E860" s="4"/>
      <c r="F860" s="2"/>
      <c r="G860" s="4"/>
      <c r="H860" s="4"/>
      <c r="I860" s="4"/>
      <c r="J860" s="4"/>
      <c r="K860" s="4"/>
      <c r="L860" s="4"/>
      <c r="M860" s="4"/>
      <c r="N860" s="4"/>
      <c r="O860" s="4"/>
      <c r="P860" s="4"/>
      <c r="Q860" s="4"/>
      <c r="R860" s="4"/>
      <c r="S860" s="4"/>
      <c r="T860" s="4"/>
      <c r="U860" s="4"/>
      <c r="V860" s="4"/>
      <c r="W860" s="4"/>
      <c r="X860" s="4"/>
      <c r="Y860" s="4"/>
      <c r="Z860" s="4"/>
    </row>
    <row r="861" ht="14.25" customHeight="1">
      <c r="A861" s="2"/>
      <c r="B861" s="4"/>
      <c r="C861" s="2"/>
      <c r="D861" s="2"/>
      <c r="E861" s="4"/>
      <c r="F861" s="2"/>
      <c r="G861" s="4"/>
      <c r="H861" s="4"/>
      <c r="I861" s="4"/>
      <c r="J861" s="4"/>
      <c r="K861" s="4"/>
      <c r="L861" s="4"/>
      <c r="M861" s="4"/>
      <c r="N861" s="4"/>
      <c r="O861" s="4"/>
      <c r="P861" s="4"/>
      <c r="Q861" s="4"/>
      <c r="R861" s="4"/>
      <c r="S861" s="4"/>
      <c r="T861" s="4"/>
      <c r="U861" s="4"/>
      <c r="V861" s="4"/>
      <c r="W861" s="4"/>
      <c r="X861" s="4"/>
      <c r="Y861" s="4"/>
      <c r="Z861" s="4"/>
    </row>
    <row r="862" ht="14.25" customHeight="1">
      <c r="A862" s="2"/>
      <c r="B862" s="4"/>
      <c r="C862" s="2"/>
      <c r="D862" s="2"/>
      <c r="E862" s="4"/>
      <c r="F862" s="2"/>
      <c r="G862" s="4"/>
      <c r="H862" s="4"/>
      <c r="I862" s="4"/>
      <c r="J862" s="4"/>
      <c r="K862" s="4"/>
      <c r="L862" s="4"/>
      <c r="M862" s="4"/>
      <c r="N862" s="4"/>
      <c r="O862" s="4"/>
      <c r="P862" s="4"/>
      <c r="Q862" s="4"/>
      <c r="R862" s="4"/>
      <c r="S862" s="4"/>
      <c r="T862" s="4"/>
      <c r="U862" s="4"/>
      <c r="V862" s="4"/>
      <c r="W862" s="4"/>
      <c r="X862" s="4"/>
      <c r="Y862" s="4"/>
      <c r="Z862" s="4"/>
    </row>
    <row r="863" ht="14.25" customHeight="1">
      <c r="A863" s="2"/>
      <c r="B863" s="4"/>
      <c r="C863" s="2"/>
      <c r="D863" s="2"/>
      <c r="E863" s="4"/>
      <c r="F863" s="2"/>
      <c r="G863" s="4"/>
      <c r="H863" s="4"/>
      <c r="I863" s="4"/>
      <c r="J863" s="4"/>
      <c r="K863" s="4"/>
      <c r="L863" s="4"/>
      <c r="M863" s="4"/>
      <c r="N863" s="4"/>
      <c r="O863" s="4"/>
      <c r="P863" s="4"/>
      <c r="Q863" s="4"/>
      <c r="R863" s="4"/>
      <c r="S863" s="4"/>
      <c r="T863" s="4"/>
      <c r="U863" s="4"/>
      <c r="V863" s="4"/>
      <c r="W863" s="4"/>
      <c r="X863" s="4"/>
      <c r="Y863" s="4"/>
      <c r="Z863" s="4"/>
    </row>
    <row r="864" ht="14.25" customHeight="1">
      <c r="A864" s="2"/>
      <c r="B864" s="4"/>
      <c r="C864" s="2"/>
      <c r="D864" s="2"/>
      <c r="E864" s="4"/>
      <c r="F864" s="2"/>
      <c r="G864" s="4"/>
      <c r="H864" s="4"/>
      <c r="I864" s="4"/>
      <c r="J864" s="4"/>
      <c r="K864" s="4"/>
      <c r="L864" s="4"/>
      <c r="M864" s="4"/>
      <c r="N864" s="4"/>
      <c r="O864" s="4"/>
      <c r="P864" s="4"/>
      <c r="Q864" s="4"/>
      <c r="R864" s="4"/>
      <c r="S864" s="4"/>
      <c r="T864" s="4"/>
      <c r="U864" s="4"/>
      <c r="V864" s="4"/>
      <c r="W864" s="4"/>
      <c r="X864" s="4"/>
      <c r="Y864" s="4"/>
      <c r="Z864" s="4"/>
    </row>
    <row r="865" ht="14.25" customHeight="1">
      <c r="A865" s="2"/>
      <c r="B865" s="4"/>
      <c r="C865" s="2"/>
      <c r="D865" s="2"/>
      <c r="E865" s="4"/>
      <c r="F865" s="2"/>
      <c r="G865" s="4"/>
      <c r="H865" s="4"/>
      <c r="I865" s="4"/>
      <c r="J865" s="4"/>
      <c r="K865" s="4"/>
      <c r="L865" s="4"/>
      <c r="M865" s="4"/>
      <c r="N865" s="4"/>
      <c r="O865" s="4"/>
      <c r="P865" s="4"/>
      <c r="Q865" s="4"/>
      <c r="R865" s="4"/>
      <c r="S865" s="4"/>
      <c r="T865" s="4"/>
      <c r="U865" s="4"/>
      <c r="V865" s="4"/>
      <c r="W865" s="4"/>
      <c r="X865" s="4"/>
      <c r="Y865" s="4"/>
      <c r="Z865" s="4"/>
    </row>
    <row r="866" ht="14.25" customHeight="1">
      <c r="A866" s="2"/>
      <c r="B866" s="4"/>
      <c r="C866" s="2"/>
      <c r="D866" s="2"/>
      <c r="E866" s="4"/>
      <c r="F866" s="2"/>
      <c r="G866" s="4"/>
      <c r="H866" s="4"/>
      <c r="I866" s="4"/>
      <c r="J866" s="4"/>
      <c r="K866" s="4"/>
      <c r="L866" s="4"/>
      <c r="M866" s="4"/>
      <c r="N866" s="4"/>
      <c r="O866" s="4"/>
      <c r="P866" s="4"/>
      <c r="Q866" s="4"/>
      <c r="R866" s="4"/>
      <c r="S866" s="4"/>
      <c r="T866" s="4"/>
      <c r="U866" s="4"/>
      <c r="V866" s="4"/>
      <c r="W866" s="4"/>
      <c r="X866" s="4"/>
      <c r="Y866" s="4"/>
      <c r="Z866" s="4"/>
    </row>
    <row r="867" ht="14.25" customHeight="1">
      <c r="A867" s="2"/>
      <c r="B867" s="4"/>
      <c r="C867" s="2"/>
      <c r="D867" s="2"/>
      <c r="E867" s="4"/>
      <c r="F867" s="2"/>
      <c r="G867" s="4"/>
      <c r="H867" s="4"/>
      <c r="I867" s="4"/>
      <c r="J867" s="4"/>
      <c r="K867" s="4"/>
      <c r="L867" s="4"/>
      <c r="M867" s="4"/>
      <c r="N867" s="4"/>
      <c r="O867" s="4"/>
      <c r="P867" s="4"/>
      <c r="Q867" s="4"/>
      <c r="R867" s="4"/>
      <c r="S867" s="4"/>
      <c r="T867" s="4"/>
      <c r="U867" s="4"/>
      <c r="V867" s="4"/>
      <c r="W867" s="4"/>
      <c r="X867" s="4"/>
      <c r="Y867" s="4"/>
      <c r="Z867" s="4"/>
    </row>
    <row r="868" ht="14.25" customHeight="1">
      <c r="A868" s="2"/>
      <c r="B868" s="4"/>
      <c r="C868" s="2"/>
      <c r="D868" s="2"/>
      <c r="E868" s="4"/>
      <c r="F868" s="2"/>
      <c r="G868" s="4"/>
      <c r="H868" s="4"/>
      <c r="I868" s="4"/>
      <c r="J868" s="4"/>
      <c r="K868" s="4"/>
      <c r="L868" s="4"/>
      <c r="M868" s="4"/>
      <c r="N868" s="4"/>
      <c r="O868" s="4"/>
      <c r="P868" s="4"/>
      <c r="Q868" s="4"/>
      <c r="R868" s="4"/>
      <c r="S868" s="4"/>
      <c r="T868" s="4"/>
      <c r="U868" s="4"/>
      <c r="V868" s="4"/>
      <c r="W868" s="4"/>
      <c r="X868" s="4"/>
      <c r="Y868" s="4"/>
      <c r="Z868" s="4"/>
    </row>
    <row r="869" ht="14.25" customHeight="1">
      <c r="A869" s="2"/>
      <c r="B869" s="4"/>
      <c r="C869" s="2"/>
      <c r="D869" s="2"/>
      <c r="E869" s="4"/>
      <c r="F869" s="2"/>
      <c r="G869" s="4"/>
      <c r="H869" s="4"/>
      <c r="I869" s="4"/>
      <c r="J869" s="4"/>
      <c r="K869" s="4"/>
      <c r="L869" s="4"/>
      <c r="M869" s="4"/>
      <c r="N869" s="4"/>
      <c r="O869" s="4"/>
      <c r="P869" s="4"/>
      <c r="Q869" s="4"/>
      <c r="R869" s="4"/>
      <c r="S869" s="4"/>
      <c r="T869" s="4"/>
      <c r="U869" s="4"/>
      <c r="V869" s="4"/>
      <c r="W869" s="4"/>
      <c r="X869" s="4"/>
      <c r="Y869" s="4"/>
      <c r="Z869" s="4"/>
    </row>
    <row r="870" ht="14.25" customHeight="1">
      <c r="A870" s="2"/>
      <c r="B870" s="4"/>
      <c r="C870" s="2"/>
      <c r="D870" s="2"/>
      <c r="E870" s="4"/>
      <c r="F870" s="2"/>
      <c r="G870" s="4"/>
      <c r="H870" s="4"/>
      <c r="I870" s="4"/>
      <c r="J870" s="4"/>
      <c r="K870" s="4"/>
      <c r="L870" s="4"/>
      <c r="M870" s="4"/>
      <c r="N870" s="4"/>
      <c r="O870" s="4"/>
      <c r="P870" s="4"/>
      <c r="Q870" s="4"/>
      <c r="R870" s="4"/>
      <c r="S870" s="4"/>
      <c r="T870" s="4"/>
      <c r="U870" s="4"/>
      <c r="V870" s="4"/>
      <c r="W870" s="4"/>
      <c r="X870" s="4"/>
      <c r="Y870" s="4"/>
      <c r="Z870" s="4"/>
    </row>
    <row r="871" ht="14.25" customHeight="1">
      <c r="A871" s="2"/>
      <c r="B871" s="4"/>
      <c r="C871" s="2"/>
      <c r="D871" s="2"/>
      <c r="E871" s="4"/>
      <c r="F871" s="2"/>
      <c r="G871" s="4"/>
      <c r="H871" s="4"/>
      <c r="I871" s="4"/>
      <c r="J871" s="4"/>
      <c r="K871" s="4"/>
      <c r="L871" s="4"/>
      <c r="M871" s="4"/>
      <c r="N871" s="4"/>
      <c r="O871" s="4"/>
      <c r="P871" s="4"/>
      <c r="Q871" s="4"/>
      <c r="R871" s="4"/>
      <c r="S871" s="4"/>
      <c r="T871" s="4"/>
      <c r="U871" s="4"/>
      <c r="V871" s="4"/>
      <c r="W871" s="4"/>
      <c r="X871" s="4"/>
      <c r="Y871" s="4"/>
      <c r="Z871" s="4"/>
    </row>
    <row r="872" ht="14.25" customHeight="1">
      <c r="A872" s="2"/>
      <c r="B872" s="4"/>
      <c r="C872" s="2"/>
      <c r="D872" s="2"/>
      <c r="E872" s="4"/>
      <c r="F872" s="2"/>
      <c r="G872" s="4"/>
      <c r="H872" s="4"/>
      <c r="I872" s="4"/>
      <c r="J872" s="4"/>
      <c r="K872" s="4"/>
      <c r="L872" s="4"/>
      <c r="M872" s="4"/>
      <c r="N872" s="4"/>
      <c r="O872" s="4"/>
      <c r="P872" s="4"/>
      <c r="Q872" s="4"/>
      <c r="R872" s="4"/>
      <c r="S872" s="4"/>
      <c r="T872" s="4"/>
      <c r="U872" s="4"/>
      <c r="V872" s="4"/>
      <c r="W872" s="4"/>
      <c r="X872" s="4"/>
      <c r="Y872" s="4"/>
      <c r="Z872" s="4"/>
    </row>
    <row r="873" ht="14.25" customHeight="1">
      <c r="A873" s="2"/>
      <c r="B873" s="4"/>
      <c r="C873" s="2"/>
      <c r="D873" s="2"/>
      <c r="E873" s="4"/>
      <c r="F873" s="2"/>
      <c r="G873" s="4"/>
      <c r="H873" s="4"/>
      <c r="I873" s="4"/>
      <c r="J873" s="4"/>
      <c r="K873" s="4"/>
      <c r="L873" s="4"/>
      <c r="M873" s="4"/>
      <c r="N873" s="4"/>
      <c r="O873" s="4"/>
      <c r="P873" s="4"/>
      <c r="Q873" s="4"/>
      <c r="R873" s="4"/>
      <c r="S873" s="4"/>
      <c r="T873" s="4"/>
      <c r="U873" s="4"/>
      <c r="V873" s="4"/>
      <c r="W873" s="4"/>
      <c r="X873" s="4"/>
      <c r="Y873" s="4"/>
      <c r="Z873" s="4"/>
    </row>
    <row r="874" ht="14.25" customHeight="1">
      <c r="A874" s="2"/>
      <c r="B874" s="4"/>
      <c r="C874" s="2"/>
      <c r="D874" s="2"/>
      <c r="E874" s="4"/>
      <c r="F874" s="2"/>
      <c r="G874" s="4"/>
      <c r="H874" s="4"/>
      <c r="I874" s="4"/>
      <c r="J874" s="4"/>
      <c r="K874" s="4"/>
      <c r="L874" s="4"/>
      <c r="M874" s="4"/>
      <c r="N874" s="4"/>
      <c r="O874" s="4"/>
      <c r="P874" s="4"/>
      <c r="Q874" s="4"/>
      <c r="R874" s="4"/>
      <c r="S874" s="4"/>
      <c r="T874" s="4"/>
      <c r="U874" s="4"/>
      <c r="V874" s="4"/>
      <c r="W874" s="4"/>
      <c r="X874" s="4"/>
      <c r="Y874" s="4"/>
      <c r="Z874" s="4"/>
    </row>
    <row r="875" ht="14.25" customHeight="1">
      <c r="A875" s="2"/>
      <c r="B875" s="4"/>
      <c r="C875" s="2"/>
      <c r="D875" s="2"/>
      <c r="E875" s="4"/>
      <c r="F875" s="2"/>
      <c r="G875" s="4"/>
      <c r="H875" s="4"/>
      <c r="I875" s="4"/>
      <c r="J875" s="4"/>
      <c r="K875" s="4"/>
      <c r="L875" s="4"/>
      <c r="M875" s="4"/>
      <c r="N875" s="4"/>
      <c r="O875" s="4"/>
      <c r="P875" s="4"/>
      <c r="Q875" s="4"/>
      <c r="R875" s="4"/>
      <c r="S875" s="4"/>
      <c r="T875" s="4"/>
      <c r="U875" s="4"/>
      <c r="V875" s="4"/>
      <c r="W875" s="4"/>
      <c r="X875" s="4"/>
      <c r="Y875" s="4"/>
      <c r="Z875" s="4"/>
    </row>
    <row r="876" ht="14.25" customHeight="1">
      <c r="A876" s="2"/>
      <c r="B876" s="4"/>
      <c r="C876" s="2"/>
      <c r="D876" s="2"/>
      <c r="E876" s="4"/>
      <c r="F876" s="2"/>
      <c r="G876" s="4"/>
      <c r="H876" s="4"/>
      <c r="I876" s="4"/>
      <c r="J876" s="4"/>
      <c r="K876" s="4"/>
      <c r="L876" s="4"/>
      <c r="M876" s="4"/>
      <c r="N876" s="4"/>
      <c r="O876" s="4"/>
      <c r="P876" s="4"/>
      <c r="Q876" s="4"/>
      <c r="R876" s="4"/>
      <c r="S876" s="4"/>
      <c r="T876" s="4"/>
      <c r="U876" s="4"/>
      <c r="V876" s="4"/>
      <c r="W876" s="4"/>
      <c r="X876" s="4"/>
      <c r="Y876" s="4"/>
      <c r="Z876" s="4"/>
    </row>
    <row r="877" ht="14.25" customHeight="1">
      <c r="A877" s="2"/>
      <c r="B877" s="4"/>
      <c r="C877" s="2"/>
      <c r="D877" s="2"/>
      <c r="E877" s="4"/>
      <c r="F877" s="2"/>
      <c r="G877" s="4"/>
      <c r="H877" s="4"/>
      <c r="I877" s="4"/>
      <c r="J877" s="4"/>
      <c r="K877" s="4"/>
      <c r="L877" s="4"/>
      <c r="M877" s="4"/>
      <c r="N877" s="4"/>
      <c r="O877" s="4"/>
      <c r="P877" s="4"/>
      <c r="Q877" s="4"/>
      <c r="R877" s="4"/>
      <c r="S877" s="4"/>
      <c r="T877" s="4"/>
      <c r="U877" s="4"/>
      <c r="V877" s="4"/>
      <c r="W877" s="4"/>
      <c r="X877" s="4"/>
      <c r="Y877" s="4"/>
      <c r="Z877" s="4"/>
    </row>
    <row r="878" ht="14.25" customHeight="1">
      <c r="A878" s="2"/>
      <c r="B878" s="4"/>
      <c r="C878" s="2"/>
      <c r="D878" s="2"/>
      <c r="E878" s="4"/>
      <c r="F878" s="2"/>
      <c r="G878" s="4"/>
      <c r="H878" s="4"/>
      <c r="I878" s="4"/>
      <c r="J878" s="4"/>
      <c r="K878" s="4"/>
      <c r="L878" s="4"/>
      <c r="M878" s="4"/>
      <c r="N878" s="4"/>
      <c r="O878" s="4"/>
      <c r="P878" s="4"/>
      <c r="Q878" s="4"/>
      <c r="R878" s="4"/>
      <c r="S878" s="4"/>
      <c r="T878" s="4"/>
      <c r="U878" s="4"/>
      <c r="V878" s="4"/>
      <c r="W878" s="4"/>
      <c r="X878" s="4"/>
      <c r="Y878" s="4"/>
      <c r="Z878" s="4"/>
    </row>
    <row r="879" ht="14.25" customHeight="1">
      <c r="A879" s="2"/>
      <c r="B879" s="4"/>
      <c r="C879" s="2"/>
      <c r="D879" s="2"/>
      <c r="E879" s="4"/>
      <c r="F879" s="2"/>
      <c r="G879" s="4"/>
      <c r="H879" s="4"/>
      <c r="I879" s="4"/>
      <c r="J879" s="4"/>
      <c r="K879" s="4"/>
      <c r="L879" s="4"/>
      <c r="M879" s="4"/>
      <c r="N879" s="4"/>
      <c r="O879" s="4"/>
      <c r="P879" s="4"/>
      <c r="Q879" s="4"/>
      <c r="R879" s="4"/>
      <c r="S879" s="4"/>
      <c r="T879" s="4"/>
      <c r="U879" s="4"/>
      <c r="V879" s="4"/>
      <c r="W879" s="4"/>
      <c r="X879" s="4"/>
      <c r="Y879" s="4"/>
      <c r="Z879" s="4"/>
    </row>
    <row r="880" ht="14.25" customHeight="1">
      <c r="A880" s="2"/>
      <c r="B880" s="4"/>
      <c r="C880" s="2"/>
      <c r="D880" s="2"/>
      <c r="E880" s="4"/>
      <c r="F880" s="2"/>
      <c r="G880" s="4"/>
      <c r="H880" s="4"/>
      <c r="I880" s="4"/>
      <c r="J880" s="4"/>
      <c r="K880" s="4"/>
      <c r="L880" s="4"/>
      <c r="M880" s="4"/>
      <c r="N880" s="4"/>
      <c r="O880" s="4"/>
      <c r="P880" s="4"/>
      <c r="Q880" s="4"/>
      <c r="R880" s="4"/>
      <c r="S880" s="4"/>
      <c r="T880" s="4"/>
      <c r="U880" s="4"/>
      <c r="V880" s="4"/>
      <c r="W880" s="4"/>
      <c r="X880" s="4"/>
      <c r="Y880" s="4"/>
      <c r="Z880" s="4"/>
    </row>
    <row r="881" ht="14.25" customHeight="1">
      <c r="A881" s="2"/>
      <c r="B881" s="4"/>
      <c r="C881" s="2"/>
      <c r="D881" s="2"/>
      <c r="E881" s="4"/>
      <c r="F881" s="2"/>
      <c r="G881" s="4"/>
      <c r="H881" s="4"/>
      <c r="I881" s="4"/>
      <c r="J881" s="4"/>
      <c r="K881" s="4"/>
      <c r="L881" s="4"/>
      <c r="M881" s="4"/>
      <c r="N881" s="4"/>
      <c r="O881" s="4"/>
      <c r="P881" s="4"/>
      <c r="Q881" s="4"/>
      <c r="R881" s="4"/>
      <c r="S881" s="4"/>
      <c r="T881" s="4"/>
      <c r="U881" s="4"/>
      <c r="V881" s="4"/>
      <c r="W881" s="4"/>
      <c r="X881" s="4"/>
      <c r="Y881" s="4"/>
      <c r="Z881" s="4"/>
    </row>
    <row r="882" ht="14.25" customHeight="1">
      <c r="A882" s="2"/>
      <c r="B882" s="4"/>
      <c r="C882" s="2"/>
      <c r="D882" s="2"/>
      <c r="E882" s="4"/>
      <c r="F882" s="2"/>
      <c r="G882" s="4"/>
      <c r="H882" s="4"/>
      <c r="I882" s="4"/>
      <c r="J882" s="4"/>
      <c r="K882" s="4"/>
      <c r="L882" s="4"/>
      <c r="M882" s="4"/>
      <c r="N882" s="4"/>
      <c r="O882" s="4"/>
      <c r="P882" s="4"/>
      <c r="Q882" s="4"/>
      <c r="R882" s="4"/>
      <c r="S882" s="4"/>
      <c r="T882" s="4"/>
      <c r="U882" s="4"/>
      <c r="V882" s="4"/>
      <c r="W882" s="4"/>
      <c r="X882" s="4"/>
      <c r="Y882" s="4"/>
      <c r="Z882" s="4"/>
    </row>
    <row r="883" ht="14.25" customHeight="1">
      <c r="A883" s="2"/>
      <c r="B883" s="4"/>
      <c r="C883" s="2"/>
      <c r="D883" s="2"/>
      <c r="E883" s="4"/>
      <c r="F883" s="2"/>
      <c r="G883" s="4"/>
      <c r="H883" s="4"/>
      <c r="I883" s="4"/>
      <c r="J883" s="4"/>
      <c r="K883" s="4"/>
      <c r="L883" s="4"/>
      <c r="M883" s="4"/>
      <c r="N883" s="4"/>
      <c r="O883" s="4"/>
      <c r="P883" s="4"/>
      <c r="Q883" s="4"/>
      <c r="R883" s="4"/>
      <c r="S883" s="4"/>
      <c r="T883" s="4"/>
      <c r="U883" s="4"/>
      <c r="V883" s="4"/>
      <c r="W883" s="4"/>
      <c r="X883" s="4"/>
      <c r="Y883" s="4"/>
      <c r="Z883" s="4"/>
    </row>
    <row r="884" ht="14.25" customHeight="1">
      <c r="A884" s="2"/>
      <c r="B884" s="4"/>
      <c r="C884" s="2"/>
      <c r="D884" s="2"/>
      <c r="E884" s="4"/>
      <c r="F884" s="2"/>
      <c r="G884" s="4"/>
      <c r="H884" s="4"/>
      <c r="I884" s="4"/>
      <c r="J884" s="4"/>
      <c r="K884" s="4"/>
      <c r="L884" s="4"/>
      <c r="M884" s="4"/>
      <c r="N884" s="4"/>
      <c r="O884" s="4"/>
      <c r="P884" s="4"/>
      <c r="Q884" s="4"/>
      <c r="R884" s="4"/>
      <c r="S884" s="4"/>
      <c r="T884" s="4"/>
      <c r="U884" s="4"/>
      <c r="V884" s="4"/>
      <c r="W884" s="4"/>
      <c r="X884" s="4"/>
      <c r="Y884" s="4"/>
      <c r="Z884" s="4"/>
    </row>
    <row r="885" ht="14.25" customHeight="1">
      <c r="A885" s="2"/>
      <c r="B885" s="4"/>
      <c r="C885" s="2"/>
      <c r="D885" s="2"/>
      <c r="E885" s="4"/>
      <c r="F885" s="2"/>
      <c r="G885" s="4"/>
      <c r="H885" s="4"/>
      <c r="I885" s="4"/>
      <c r="J885" s="4"/>
      <c r="K885" s="4"/>
      <c r="L885" s="4"/>
      <c r="M885" s="4"/>
      <c r="N885" s="4"/>
      <c r="O885" s="4"/>
      <c r="P885" s="4"/>
      <c r="Q885" s="4"/>
      <c r="R885" s="4"/>
      <c r="S885" s="4"/>
      <c r="T885" s="4"/>
      <c r="U885" s="4"/>
      <c r="V885" s="4"/>
      <c r="W885" s="4"/>
      <c r="X885" s="4"/>
      <c r="Y885" s="4"/>
      <c r="Z885" s="4"/>
    </row>
    <row r="886" ht="14.25" customHeight="1">
      <c r="A886" s="2"/>
      <c r="B886" s="4"/>
      <c r="C886" s="2"/>
      <c r="D886" s="2"/>
      <c r="E886" s="4"/>
      <c r="F886" s="2"/>
      <c r="G886" s="4"/>
      <c r="H886" s="4"/>
      <c r="I886" s="4"/>
      <c r="J886" s="4"/>
      <c r="K886" s="4"/>
      <c r="L886" s="4"/>
      <c r="M886" s="4"/>
      <c r="N886" s="4"/>
      <c r="O886" s="4"/>
      <c r="P886" s="4"/>
      <c r="Q886" s="4"/>
      <c r="R886" s="4"/>
      <c r="S886" s="4"/>
      <c r="T886" s="4"/>
      <c r="U886" s="4"/>
      <c r="V886" s="4"/>
      <c r="W886" s="4"/>
      <c r="X886" s="4"/>
      <c r="Y886" s="4"/>
      <c r="Z886" s="4"/>
    </row>
    <row r="887" ht="14.25" customHeight="1">
      <c r="A887" s="2"/>
      <c r="B887" s="4"/>
      <c r="C887" s="2"/>
      <c r="D887" s="2"/>
      <c r="E887" s="4"/>
      <c r="F887" s="2"/>
      <c r="G887" s="4"/>
      <c r="H887" s="4"/>
      <c r="I887" s="4"/>
      <c r="J887" s="4"/>
      <c r="K887" s="4"/>
      <c r="L887" s="4"/>
      <c r="M887" s="4"/>
      <c r="N887" s="4"/>
      <c r="O887" s="4"/>
      <c r="P887" s="4"/>
      <c r="Q887" s="4"/>
      <c r="R887" s="4"/>
      <c r="S887" s="4"/>
      <c r="T887" s="4"/>
      <c r="U887" s="4"/>
      <c r="V887" s="4"/>
      <c r="W887" s="4"/>
      <c r="X887" s="4"/>
      <c r="Y887" s="4"/>
      <c r="Z887" s="4"/>
    </row>
    <row r="888" ht="14.25" customHeight="1">
      <c r="A888" s="2"/>
      <c r="B888" s="4"/>
      <c r="C888" s="2"/>
      <c r="D888" s="2"/>
      <c r="E888" s="4"/>
      <c r="F888" s="2"/>
      <c r="G888" s="4"/>
      <c r="H888" s="4"/>
      <c r="I888" s="4"/>
      <c r="J888" s="4"/>
      <c r="K888" s="4"/>
      <c r="L888" s="4"/>
      <c r="M888" s="4"/>
      <c r="N888" s="4"/>
      <c r="O888" s="4"/>
      <c r="P888" s="4"/>
      <c r="Q888" s="4"/>
      <c r="R888" s="4"/>
      <c r="S888" s="4"/>
      <c r="T888" s="4"/>
      <c r="U888" s="4"/>
      <c r="V888" s="4"/>
      <c r="W888" s="4"/>
      <c r="X888" s="4"/>
      <c r="Y888" s="4"/>
      <c r="Z888" s="4"/>
    </row>
    <row r="889" ht="14.25" customHeight="1">
      <c r="A889" s="2"/>
      <c r="B889" s="4"/>
      <c r="C889" s="2"/>
      <c r="D889" s="2"/>
      <c r="E889" s="4"/>
      <c r="F889" s="2"/>
      <c r="G889" s="4"/>
      <c r="H889" s="4"/>
      <c r="I889" s="4"/>
      <c r="J889" s="4"/>
      <c r="K889" s="4"/>
      <c r="L889" s="4"/>
      <c r="M889" s="4"/>
      <c r="N889" s="4"/>
      <c r="O889" s="4"/>
      <c r="P889" s="4"/>
      <c r="Q889" s="4"/>
      <c r="R889" s="4"/>
      <c r="S889" s="4"/>
      <c r="T889" s="4"/>
      <c r="U889" s="4"/>
      <c r="V889" s="4"/>
      <c r="W889" s="4"/>
      <c r="X889" s="4"/>
      <c r="Y889" s="4"/>
      <c r="Z889" s="4"/>
    </row>
    <row r="890" ht="14.25" customHeight="1">
      <c r="A890" s="2"/>
      <c r="B890" s="4"/>
      <c r="C890" s="2"/>
      <c r="D890" s="2"/>
      <c r="E890" s="4"/>
      <c r="F890" s="2"/>
      <c r="G890" s="4"/>
      <c r="H890" s="4"/>
      <c r="I890" s="4"/>
      <c r="J890" s="4"/>
      <c r="K890" s="4"/>
      <c r="L890" s="4"/>
      <c r="M890" s="4"/>
      <c r="N890" s="4"/>
      <c r="O890" s="4"/>
      <c r="P890" s="4"/>
      <c r="Q890" s="4"/>
      <c r="R890" s="4"/>
      <c r="S890" s="4"/>
      <c r="T890" s="4"/>
      <c r="U890" s="4"/>
      <c r="V890" s="4"/>
      <c r="W890" s="4"/>
      <c r="X890" s="4"/>
      <c r="Y890" s="4"/>
      <c r="Z890" s="4"/>
    </row>
    <row r="891" ht="14.25" customHeight="1">
      <c r="A891" s="2"/>
      <c r="B891" s="4"/>
      <c r="C891" s="2"/>
      <c r="D891" s="2"/>
      <c r="E891" s="4"/>
      <c r="F891" s="2"/>
      <c r="G891" s="4"/>
      <c r="H891" s="4"/>
      <c r="I891" s="4"/>
      <c r="J891" s="4"/>
      <c r="K891" s="4"/>
      <c r="L891" s="4"/>
      <c r="M891" s="4"/>
      <c r="N891" s="4"/>
      <c r="O891" s="4"/>
      <c r="P891" s="4"/>
      <c r="Q891" s="4"/>
      <c r="R891" s="4"/>
      <c r="S891" s="4"/>
      <c r="T891" s="4"/>
      <c r="U891" s="4"/>
      <c r="V891" s="4"/>
      <c r="W891" s="4"/>
      <c r="X891" s="4"/>
      <c r="Y891" s="4"/>
      <c r="Z891" s="4"/>
    </row>
    <row r="892" ht="14.25" customHeight="1">
      <c r="A892" s="2"/>
      <c r="B892" s="4"/>
      <c r="C892" s="2"/>
      <c r="D892" s="2"/>
      <c r="E892" s="4"/>
      <c r="F892" s="2"/>
      <c r="G892" s="4"/>
      <c r="H892" s="4"/>
      <c r="I892" s="4"/>
      <c r="J892" s="4"/>
      <c r="K892" s="4"/>
      <c r="L892" s="4"/>
      <c r="M892" s="4"/>
      <c r="N892" s="4"/>
      <c r="O892" s="4"/>
      <c r="P892" s="4"/>
      <c r="Q892" s="4"/>
      <c r="R892" s="4"/>
      <c r="S892" s="4"/>
      <c r="T892" s="4"/>
      <c r="U892" s="4"/>
      <c r="V892" s="4"/>
      <c r="W892" s="4"/>
      <c r="X892" s="4"/>
      <c r="Y892" s="4"/>
      <c r="Z892" s="4"/>
    </row>
    <row r="893" ht="14.25" customHeight="1">
      <c r="A893" s="2"/>
      <c r="B893" s="4"/>
      <c r="C893" s="2"/>
      <c r="D893" s="2"/>
      <c r="E893" s="4"/>
      <c r="F893" s="2"/>
      <c r="G893" s="4"/>
      <c r="H893" s="4"/>
      <c r="I893" s="4"/>
      <c r="J893" s="4"/>
      <c r="K893" s="4"/>
      <c r="L893" s="4"/>
      <c r="M893" s="4"/>
      <c r="N893" s="4"/>
      <c r="O893" s="4"/>
      <c r="P893" s="4"/>
      <c r="Q893" s="4"/>
      <c r="R893" s="4"/>
      <c r="S893" s="4"/>
      <c r="T893" s="4"/>
      <c r="U893" s="4"/>
      <c r="V893" s="4"/>
      <c r="W893" s="4"/>
      <c r="X893" s="4"/>
      <c r="Y893" s="4"/>
      <c r="Z893" s="4"/>
    </row>
    <row r="894" ht="14.25" customHeight="1">
      <c r="A894" s="2"/>
      <c r="B894" s="4"/>
      <c r="C894" s="2"/>
      <c r="D894" s="2"/>
      <c r="E894" s="4"/>
      <c r="F894" s="2"/>
      <c r="G894" s="4"/>
      <c r="H894" s="4"/>
      <c r="I894" s="4"/>
      <c r="J894" s="4"/>
      <c r="K894" s="4"/>
      <c r="L894" s="4"/>
      <c r="M894" s="4"/>
      <c r="N894" s="4"/>
      <c r="O894" s="4"/>
      <c r="P894" s="4"/>
      <c r="Q894" s="4"/>
      <c r="R894" s="4"/>
      <c r="S894" s="4"/>
      <c r="T894" s="4"/>
      <c r="U894" s="4"/>
      <c r="V894" s="4"/>
      <c r="W894" s="4"/>
      <c r="X894" s="4"/>
      <c r="Y894" s="4"/>
      <c r="Z894" s="4"/>
    </row>
    <row r="895" ht="14.25" customHeight="1">
      <c r="A895" s="2"/>
      <c r="B895" s="4"/>
      <c r="C895" s="2"/>
      <c r="D895" s="2"/>
      <c r="E895" s="4"/>
      <c r="F895" s="2"/>
      <c r="G895" s="4"/>
      <c r="H895" s="4"/>
      <c r="I895" s="4"/>
      <c r="J895" s="4"/>
      <c r="K895" s="4"/>
      <c r="L895" s="4"/>
      <c r="M895" s="4"/>
      <c r="N895" s="4"/>
      <c r="O895" s="4"/>
      <c r="P895" s="4"/>
      <c r="Q895" s="4"/>
      <c r="R895" s="4"/>
      <c r="S895" s="4"/>
      <c r="T895" s="4"/>
      <c r="U895" s="4"/>
      <c r="V895" s="4"/>
      <c r="W895" s="4"/>
      <c r="X895" s="4"/>
      <c r="Y895" s="4"/>
      <c r="Z895" s="4"/>
    </row>
    <row r="896" ht="14.25" customHeight="1">
      <c r="A896" s="2"/>
      <c r="B896" s="4"/>
      <c r="C896" s="2"/>
      <c r="D896" s="2"/>
      <c r="E896" s="4"/>
      <c r="F896" s="2"/>
      <c r="G896" s="4"/>
      <c r="H896" s="4"/>
      <c r="I896" s="4"/>
      <c r="J896" s="4"/>
      <c r="K896" s="4"/>
      <c r="L896" s="4"/>
      <c r="M896" s="4"/>
      <c r="N896" s="4"/>
      <c r="O896" s="4"/>
      <c r="P896" s="4"/>
      <c r="Q896" s="4"/>
      <c r="R896" s="4"/>
      <c r="S896" s="4"/>
      <c r="T896" s="4"/>
      <c r="U896" s="4"/>
      <c r="V896" s="4"/>
      <c r="W896" s="4"/>
      <c r="X896" s="4"/>
      <c r="Y896" s="4"/>
      <c r="Z896" s="4"/>
    </row>
    <row r="897" ht="14.25" customHeight="1">
      <c r="A897" s="2"/>
      <c r="B897" s="4"/>
      <c r="C897" s="2"/>
      <c r="D897" s="2"/>
      <c r="E897" s="4"/>
      <c r="F897" s="2"/>
      <c r="G897" s="4"/>
      <c r="H897" s="4"/>
      <c r="I897" s="4"/>
      <c r="J897" s="4"/>
      <c r="K897" s="4"/>
      <c r="L897" s="4"/>
      <c r="M897" s="4"/>
      <c r="N897" s="4"/>
      <c r="O897" s="4"/>
      <c r="P897" s="4"/>
      <c r="Q897" s="4"/>
      <c r="R897" s="4"/>
      <c r="S897" s="4"/>
      <c r="T897" s="4"/>
      <c r="U897" s="4"/>
      <c r="V897" s="4"/>
      <c r="W897" s="4"/>
      <c r="X897" s="4"/>
      <c r="Y897" s="4"/>
      <c r="Z897" s="4"/>
    </row>
    <row r="898" ht="14.25" customHeight="1">
      <c r="A898" s="2"/>
      <c r="B898" s="4"/>
      <c r="C898" s="2"/>
      <c r="D898" s="2"/>
      <c r="E898" s="4"/>
      <c r="F898" s="2"/>
      <c r="G898" s="4"/>
      <c r="H898" s="4"/>
      <c r="I898" s="4"/>
      <c r="J898" s="4"/>
      <c r="K898" s="4"/>
      <c r="L898" s="4"/>
      <c r="M898" s="4"/>
      <c r="N898" s="4"/>
      <c r="O898" s="4"/>
      <c r="P898" s="4"/>
      <c r="Q898" s="4"/>
      <c r="R898" s="4"/>
      <c r="S898" s="4"/>
      <c r="T898" s="4"/>
      <c r="U898" s="4"/>
      <c r="V898" s="4"/>
      <c r="W898" s="4"/>
      <c r="X898" s="4"/>
      <c r="Y898" s="4"/>
      <c r="Z898" s="4"/>
    </row>
    <row r="899" ht="14.25" customHeight="1">
      <c r="A899" s="2"/>
      <c r="B899" s="4"/>
      <c r="C899" s="2"/>
      <c r="D899" s="2"/>
      <c r="E899" s="4"/>
      <c r="F899" s="2"/>
      <c r="G899" s="4"/>
      <c r="H899" s="4"/>
      <c r="I899" s="4"/>
      <c r="J899" s="4"/>
      <c r="K899" s="4"/>
      <c r="L899" s="4"/>
      <c r="M899" s="4"/>
      <c r="N899" s="4"/>
      <c r="O899" s="4"/>
      <c r="P899" s="4"/>
      <c r="Q899" s="4"/>
      <c r="R899" s="4"/>
      <c r="S899" s="4"/>
      <c r="T899" s="4"/>
      <c r="U899" s="4"/>
      <c r="V899" s="4"/>
      <c r="W899" s="4"/>
      <c r="X899" s="4"/>
      <c r="Y899" s="4"/>
      <c r="Z899" s="4"/>
    </row>
    <row r="900" ht="14.25" customHeight="1">
      <c r="A900" s="2"/>
      <c r="B900" s="4"/>
      <c r="C900" s="2"/>
      <c r="D900" s="2"/>
      <c r="E900" s="4"/>
      <c r="F900" s="2"/>
      <c r="G900" s="4"/>
      <c r="H900" s="4"/>
      <c r="I900" s="4"/>
      <c r="J900" s="4"/>
      <c r="K900" s="4"/>
      <c r="L900" s="4"/>
      <c r="M900" s="4"/>
      <c r="N900" s="4"/>
      <c r="O900" s="4"/>
      <c r="P900" s="4"/>
      <c r="Q900" s="4"/>
      <c r="R900" s="4"/>
      <c r="S900" s="4"/>
      <c r="T900" s="4"/>
      <c r="U900" s="4"/>
      <c r="V900" s="4"/>
      <c r="W900" s="4"/>
      <c r="X900" s="4"/>
      <c r="Y900" s="4"/>
      <c r="Z900" s="4"/>
    </row>
    <row r="901" ht="14.25" customHeight="1">
      <c r="A901" s="2"/>
      <c r="B901" s="4"/>
      <c r="C901" s="2"/>
      <c r="D901" s="2"/>
      <c r="E901" s="4"/>
      <c r="F901" s="2"/>
      <c r="G901" s="4"/>
      <c r="H901" s="4"/>
      <c r="I901" s="4"/>
      <c r="J901" s="4"/>
      <c r="K901" s="4"/>
      <c r="L901" s="4"/>
      <c r="M901" s="4"/>
      <c r="N901" s="4"/>
      <c r="O901" s="4"/>
      <c r="P901" s="4"/>
      <c r="Q901" s="4"/>
      <c r="R901" s="4"/>
      <c r="S901" s="4"/>
      <c r="T901" s="4"/>
      <c r="U901" s="4"/>
      <c r="V901" s="4"/>
      <c r="W901" s="4"/>
      <c r="X901" s="4"/>
      <c r="Y901" s="4"/>
      <c r="Z901" s="4"/>
    </row>
    <row r="902" ht="14.25" customHeight="1">
      <c r="A902" s="2"/>
      <c r="B902" s="4"/>
      <c r="C902" s="2"/>
      <c r="D902" s="2"/>
      <c r="E902" s="4"/>
      <c r="F902" s="2"/>
      <c r="G902" s="4"/>
      <c r="H902" s="4"/>
      <c r="I902" s="4"/>
      <c r="J902" s="4"/>
      <c r="K902" s="4"/>
      <c r="L902" s="4"/>
      <c r="M902" s="4"/>
      <c r="N902" s="4"/>
      <c r="O902" s="4"/>
      <c r="P902" s="4"/>
      <c r="Q902" s="4"/>
      <c r="R902" s="4"/>
      <c r="S902" s="4"/>
      <c r="T902" s="4"/>
      <c r="U902" s="4"/>
      <c r="V902" s="4"/>
      <c r="W902" s="4"/>
      <c r="X902" s="4"/>
      <c r="Y902" s="4"/>
      <c r="Z902" s="4"/>
    </row>
    <row r="903" ht="14.25" customHeight="1">
      <c r="A903" s="2"/>
      <c r="B903" s="4"/>
      <c r="C903" s="2"/>
      <c r="D903" s="2"/>
      <c r="E903" s="4"/>
      <c r="F903" s="2"/>
      <c r="G903" s="4"/>
      <c r="H903" s="4"/>
      <c r="I903" s="4"/>
      <c r="J903" s="4"/>
      <c r="K903" s="4"/>
      <c r="L903" s="4"/>
      <c r="M903" s="4"/>
      <c r="N903" s="4"/>
      <c r="O903" s="4"/>
      <c r="P903" s="4"/>
      <c r="Q903" s="4"/>
      <c r="R903" s="4"/>
      <c r="S903" s="4"/>
      <c r="T903" s="4"/>
      <c r="U903" s="4"/>
      <c r="V903" s="4"/>
      <c r="W903" s="4"/>
      <c r="X903" s="4"/>
      <c r="Y903" s="4"/>
      <c r="Z903" s="4"/>
    </row>
    <row r="904" ht="14.25" customHeight="1">
      <c r="A904" s="2"/>
      <c r="B904" s="4"/>
      <c r="C904" s="2"/>
      <c r="D904" s="2"/>
      <c r="E904" s="4"/>
      <c r="F904" s="2"/>
      <c r="G904" s="4"/>
      <c r="H904" s="4"/>
      <c r="I904" s="4"/>
      <c r="J904" s="4"/>
      <c r="K904" s="4"/>
      <c r="L904" s="4"/>
      <c r="M904" s="4"/>
      <c r="N904" s="4"/>
      <c r="O904" s="4"/>
      <c r="P904" s="4"/>
      <c r="Q904" s="4"/>
      <c r="R904" s="4"/>
      <c r="S904" s="4"/>
      <c r="T904" s="4"/>
      <c r="U904" s="4"/>
      <c r="V904" s="4"/>
      <c r="W904" s="4"/>
      <c r="X904" s="4"/>
      <c r="Y904" s="4"/>
      <c r="Z904" s="4"/>
    </row>
    <row r="905" ht="14.25" customHeight="1">
      <c r="A905" s="2"/>
      <c r="B905" s="4"/>
      <c r="C905" s="2"/>
      <c r="D905" s="2"/>
      <c r="E905" s="4"/>
      <c r="F905" s="2"/>
      <c r="G905" s="4"/>
      <c r="H905" s="4"/>
      <c r="I905" s="4"/>
      <c r="J905" s="4"/>
      <c r="K905" s="4"/>
      <c r="L905" s="4"/>
      <c r="M905" s="4"/>
      <c r="N905" s="4"/>
      <c r="O905" s="4"/>
      <c r="P905" s="4"/>
      <c r="Q905" s="4"/>
      <c r="R905" s="4"/>
      <c r="S905" s="4"/>
      <c r="T905" s="4"/>
      <c r="U905" s="4"/>
      <c r="V905" s="4"/>
      <c r="W905" s="4"/>
      <c r="X905" s="4"/>
      <c r="Y905" s="4"/>
      <c r="Z905" s="4"/>
    </row>
    <row r="906" ht="14.25" customHeight="1">
      <c r="A906" s="2"/>
      <c r="B906" s="4"/>
      <c r="C906" s="2"/>
      <c r="D906" s="2"/>
      <c r="E906" s="4"/>
      <c r="F906" s="2"/>
      <c r="G906" s="4"/>
      <c r="H906" s="4"/>
      <c r="I906" s="4"/>
      <c r="J906" s="4"/>
      <c r="K906" s="4"/>
      <c r="L906" s="4"/>
      <c r="M906" s="4"/>
      <c r="N906" s="4"/>
      <c r="O906" s="4"/>
      <c r="P906" s="4"/>
      <c r="Q906" s="4"/>
      <c r="R906" s="4"/>
      <c r="S906" s="4"/>
      <c r="T906" s="4"/>
      <c r="U906" s="4"/>
      <c r="V906" s="4"/>
      <c r="W906" s="4"/>
      <c r="X906" s="4"/>
      <c r="Y906" s="4"/>
      <c r="Z906" s="4"/>
    </row>
    <row r="907" ht="14.25" customHeight="1">
      <c r="A907" s="2"/>
      <c r="B907" s="4"/>
      <c r="C907" s="2"/>
      <c r="D907" s="2"/>
      <c r="E907" s="4"/>
      <c r="F907" s="2"/>
      <c r="G907" s="4"/>
      <c r="H907" s="4"/>
      <c r="I907" s="4"/>
      <c r="J907" s="4"/>
      <c r="K907" s="4"/>
      <c r="L907" s="4"/>
      <c r="M907" s="4"/>
      <c r="N907" s="4"/>
      <c r="O907" s="4"/>
      <c r="P907" s="4"/>
      <c r="Q907" s="4"/>
      <c r="R907" s="4"/>
      <c r="S907" s="4"/>
      <c r="T907" s="4"/>
      <c r="U907" s="4"/>
      <c r="V907" s="4"/>
      <c r="W907" s="4"/>
      <c r="X907" s="4"/>
      <c r="Y907" s="4"/>
      <c r="Z907" s="4"/>
    </row>
    <row r="908" ht="14.25" customHeight="1">
      <c r="A908" s="2"/>
      <c r="B908" s="4"/>
      <c r="C908" s="2"/>
      <c r="D908" s="2"/>
      <c r="E908" s="4"/>
      <c r="F908" s="2"/>
      <c r="G908" s="4"/>
      <c r="H908" s="4"/>
      <c r="I908" s="4"/>
      <c r="J908" s="4"/>
      <c r="K908" s="4"/>
      <c r="L908" s="4"/>
      <c r="M908" s="4"/>
      <c r="N908" s="4"/>
      <c r="O908" s="4"/>
      <c r="P908" s="4"/>
      <c r="Q908" s="4"/>
      <c r="R908" s="4"/>
      <c r="S908" s="4"/>
      <c r="T908" s="4"/>
      <c r="U908" s="4"/>
      <c r="V908" s="4"/>
      <c r="W908" s="4"/>
      <c r="X908" s="4"/>
      <c r="Y908" s="4"/>
      <c r="Z908" s="4"/>
    </row>
    <row r="909" ht="14.25" customHeight="1">
      <c r="A909" s="2"/>
      <c r="B909" s="4"/>
      <c r="C909" s="2"/>
      <c r="D909" s="2"/>
      <c r="E909" s="4"/>
      <c r="F909" s="2"/>
      <c r="G909" s="4"/>
      <c r="H909" s="4"/>
      <c r="I909" s="4"/>
      <c r="J909" s="4"/>
      <c r="K909" s="4"/>
      <c r="L909" s="4"/>
      <c r="M909" s="4"/>
      <c r="N909" s="4"/>
      <c r="O909" s="4"/>
      <c r="P909" s="4"/>
      <c r="Q909" s="4"/>
      <c r="R909" s="4"/>
      <c r="S909" s="4"/>
      <c r="T909" s="4"/>
      <c r="U909" s="4"/>
      <c r="V909" s="4"/>
      <c r="W909" s="4"/>
      <c r="X909" s="4"/>
      <c r="Y909" s="4"/>
      <c r="Z909" s="4"/>
    </row>
    <row r="910" ht="14.25" customHeight="1">
      <c r="A910" s="2"/>
      <c r="B910" s="4"/>
      <c r="C910" s="2"/>
      <c r="D910" s="2"/>
      <c r="E910" s="4"/>
      <c r="F910" s="2"/>
      <c r="G910" s="4"/>
      <c r="H910" s="4"/>
      <c r="I910" s="4"/>
      <c r="J910" s="4"/>
      <c r="K910" s="4"/>
      <c r="L910" s="4"/>
      <c r="M910" s="4"/>
      <c r="N910" s="4"/>
      <c r="O910" s="4"/>
      <c r="P910" s="4"/>
      <c r="Q910" s="4"/>
      <c r="R910" s="4"/>
      <c r="S910" s="4"/>
      <c r="T910" s="4"/>
      <c r="U910" s="4"/>
      <c r="V910" s="4"/>
      <c r="W910" s="4"/>
      <c r="X910" s="4"/>
      <c r="Y910" s="4"/>
      <c r="Z910" s="4"/>
    </row>
    <row r="911" ht="14.25" customHeight="1">
      <c r="A911" s="2"/>
      <c r="B911" s="4"/>
      <c r="C911" s="2"/>
      <c r="D911" s="2"/>
      <c r="E911" s="4"/>
      <c r="F911" s="2"/>
      <c r="G911" s="4"/>
      <c r="H911" s="4"/>
      <c r="I911" s="4"/>
      <c r="J911" s="4"/>
      <c r="K911" s="4"/>
      <c r="L911" s="4"/>
      <c r="M911" s="4"/>
      <c r="N911" s="4"/>
      <c r="O911" s="4"/>
      <c r="P911" s="4"/>
      <c r="Q911" s="4"/>
      <c r="R911" s="4"/>
      <c r="S911" s="4"/>
      <c r="T911" s="4"/>
      <c r="U911" s="4"/>
      <c r="V911" s="4"/>
      <c r="W911" s="4"/>
      <c r="X911" s="4"/>
      <c r="Y911" s="4"/>
      <c r="Z911" s="4"/>
    </row>
    <row r="912" ht="14.25" customHeight="1">
      <c r="A912" s="2"/>
      <c r="B912" s="4"/>
      <c r="C912" s="2"/>
      <c r="D912" s="2"/>
      <c r="E912" s="4"/>
      <c r="F912" s="2"/>
      <c r="G912" s="4"/>
      <c r="H912" s="4"/>
      <c r="I912" s="4"/>
      <c r="J912" s="4"/>
      <c r="K912" s="4"/>
      <c r="L912" s="4"/>
      <c r="M912" s="4"/>
      <c r="N912" s="4"/>
      <c r="O912" s="4"/>
      <c r="P912" s="4"/>
      <c r="Q912" s="4"/>
      <c r="R912" s="4"/>
      <c r="S912" s="4"/>
      <c r="T912" s="4"/>
      <c r="U912" s="4"/>
      <c r="V912" s="4"/>
      <c r="W912" s="4"/>
      <c r="X912" s="4"/>
      <c r="Y912" s="4"/>
      <c r="Z912" s="4"/>
    </row>
    <row r="913" ht="14.25" customHeight="1">
      <c r="A913" s="2"/>
      <c r="B913" s="4"/>
      <c r="C913" s="2"/>
      <c r="D913" s="2"/>
      <c r="E913" s="4"/>
      <c r="F913" s="2"/>
      <c r="G913" s="4"/>
      <c r="H913" s="4"/>
      <c r="I913" s="4"/>
      <c r="J913" s="4"/>
      <c r="K913" s="4"/>
      <c r="L913" s="4"/>
      <c r="M913" s="4"/>
      <c r="N913" s="4"/>
      <c r="O913" s="4"/>
      <c r="P913" s="4"/>
      <c r="Q913" s="4"/>
      <c r="R913" s="4"/>
      <c r="S913" s="4"/>
      <c r="T913" s="4"/>
      <c r="U913" s="4"/>
      <c r="V913" s="4"/>
      <c r="W913" s="4"/>
      <c r="X913" s="4"/>
      <c r="Y913" s="4"/>
      <c r="Z913" s="4"/>
    </row>
    <row r="914" ht="14.25" customHeight="1">
      <c r="A914" s="2"/>
      <c r="B914" s="4"/>
      <c r="C914" s="2"/>
      <c r="D914" s="2"/>
      <c r="E914" s="4"/>
      <c r="F914" s="2"/>
      <c r="G914" s="4"/>
      <c r="H914" s="4"/>
      <c r="I914" s="4"/>
      <c r="J914" s="4"/>
      <c r="K914" s="4"/>
      <c r="L914" s="4"/>
      <c r="M914" s="4"/>
      <c r="N914" s="4"/>
      <c r="O914" s="4"/>
      <c r="P914" s="4"/>
      <c r="Q914" s="4"/>
      <c r="R914" s="4"/>
      <c r="S914" s="4"/>
      <c r="T914" s="4"/>
      <c r="U914" s="4"/>
      <c r="V914" s="4"/>
      <c r="W914" s="4"/>
      <c r="X914" s="4"/>
      <c r="Y914" s="4"/>
      <c r="Z914" s="4"/>
    </row>
    <row r="915" ht="14.25" customHeight="1">
      <c r="A915" s="2"/>
      <c r="B915" s="4"/>
      <c r="C915" s="2"/>
      <c r="D915" s="2"/>
      <c r="E915" s="4"/>
      <c r="F915" s="2"/>
      <c r="G915" s="4"/>
      <c r="H915" s="4"/>
      <c r="I915" s="4"/>
      <c r="J915" s="4"/>
      <c r="K915" s="4"/>
      <c r="L915" s="4"/>
      <c r="M915" s="4"/>
      <c r="N915" s="4"/>
      <c r="O915" s="4"/>
      <c r="P915" s="4"/>
      <c r="Q915" s="4"/>
      <c r="R915" s="4"/>
      <c r="S915" s="4"/>
      <c r="T915" s="4"/>
      <c r="U915" s="4"/>
      <c r="V915" s="4"/>
      <c r="W915" s="4"/>
      <c r="X915" s="4"/>
      <c r="Y915" s="4"/>
      <c r="Z915" s="4"/>
    </row>
    <row r="916" ht="14.25" customHeight="1">
      <c r="A916" s="2"/>
      <c r="B916" s="4"/>
      <c r="C916" s="2"/>
      <c r="D916" s="2"/>
      <c r="E916" s="4"/>
      <c r="F916" s="2"/>
      <c r="G916" s="4"/>
      <c r="H916" s="4"/>
      <c r="I916" s="4"/>
      <c r="J916" s="4"/>
      <c r="K916" s="4"/>
      <c r="L916" s="4"/>
      <c r="M916" s="4"/>
      <c r="N916" s="4"/>
      <c r="O916" s="4"/>
      <c r="P916" s="4"/>
      <c r="Q916" s="4"/>
      <c r="R916" s="4"/>
      <c r="S916" s="4"/>
      <c r="T916" s="4"/>
      <c r="U916" s="4"/>
      <c r="V916" s="4"/>
      <c r="W916" s="4"/>
      <c r="X916" s="4"/>
      <c r="Y916" s="4"/>
      <c r="Z916" s="4"/>
    </row>
    <row r="917" ht="14.25" customHeight="1">
      <c r="A917" s="2"/>
      <c r="B917" s="4"/>
      <c r="C917" s="2"/>
      <c r="D917" s="2"/>
      <c r="E917" s="4"/>
      <c r="F917" s="2"/>
      <c r="G917" s="4"/>
      <c r="H917" s="4"/>
      <c r="I917" s="4"/>
      <c r="J917" s="4"/>
      <c r="K917" s="4"/>
      <c r="L917" s="4"/>
      <c r="M917" s="4"/>
      <c r="N917" s="4"/>
      <c r="O917" s="4"/>
      <c r="P917" s="4"/>
      <c r="Q917" s="4"/>
      <c r="R917" s="4"/>
      <c r="S917" s="4"/>
      <c r="T917" s="4"/>
      <c r="U917" s="4"/>
      <c r="V917" s="4"/>
      <c r="W917" s="4"/>
      <c r="X917" s="4"/>
      <c r="Y917" s="4"/>
      <c r="Z917" s="4"/>
    </row>
    <row r="918" ht="14.25" customHeight="1">
      <c r="A918" s="2"/>
      <c r="B918" s="4"/>
      <c r="C918" s="2"/>
      <c r="D918" s="2"/>
      <c r="E918" s="4"/>
      <c r="F918" s="2"/>
      <c r="G918" s="4"/>
      <c r="H918" s="4"/>
      <c r="I918" s="4"/>
      <c r="J918" s="4"/>
      <c r="K918" s="4"/>
      <c r="L918" s="4"/>
      <c r="M918" s="4"/>
      <c r="N918" s="4"/>
      <c r="O918" s="4"/>
      <c r="P918" s="4"/>
      <c r="Q918" s="4"/>
      <c r="R918" s="4"/>
      <c r="S918" s="4"/>
      <c r="T918" s="4"/>
      <c r="U918" s="4"/>
      <c r="V918" s="4"/>
      <c r="W918" s="4"/>
      <c r="X918" s="4"/>
      <c r="Y918" s="4"/>
      <c r="Z918" s="4"/>
    </row>
    <row r="919" ht="14.25" customHeight="1">
      <c r="A919" s="2"/>
      <c r="B919" s="4"/>
      <c r="C919" s="2"/>
      <c r="D919" s="2"/>
      <c r="E919" s="4"/>
      <c r="F919" s="2"/>
      <c r="G919" s="4"/>
      <c r="H919" s="4"/>
      <c r="I919" s="4"/>
      <c r="J919" s="4"/>
      <c r="K919" s="4"/>
      <c r="L919" s="4"/>
      <c r="M919" s="4"/>
      <c r="N919" s="4"/>
      <c r="O919" s="4"/>
      <c r="P919" s="4"/>
      <c r="Q919" s="4"/>
      <c r="R919" s="4"/>
      <c r="S919" s="4"/>
      <c r="T919" s="4"/>
      <c r="U919" s="4"/>
      <c r="V919" s="4"/>
      <c r="W919" s="4"/>
      <c r="X919" s="4"/>
      <c r="Y919" s="4"/>
      <c r="Z919" s="4"/>
    </row>
    <row r="920" ht="14.25" customHeight="1">
      <c r="A920" s="2"/>
      <c r="B920" s="4"/>
      <c r="C920" s="2"/>
      <c r="D920" s="2"/>
      <c r="E920" s="4"/>
      <c r="F920" s="2"/>
      <c r="G920" s="4"/>
      <c r="H920" s="4"/>
      <c r="I920" s="4"/>
      <c r="J920" s="4"/>
      <c r="K920" s="4"/>
      <c r="L920" s="4"/>
      <c r="M920" s="4"/>
      <c r="N920" s="4"/>
      <c r="O920" s="4"/>
      <c r="P920" s="4"/>
      <c r="Q920" s="4"/>
      <c r="R920" s="4"/>
      <c r="S920" s="4"/>
      <c r="T920" s="4"/>
      <c r="U920" s="4"/>
      <c r="V920" s="4"/>
      <c r="W920" s="4"/>
      <c r="X920" s="4"/>
      <c r="Y920" s="4"/>
      <c r="Z920" s="4"/>
    </row>
    <row r="921" ht="14.25" customHeight="1">
      <c r="A921" s="2"/>
      <c r="B921" s="4"/>
      <c r="C921" s="2"/>
      <c r="D921" s="2"/>
      <c r="E921" s="4"/>
      <c r="F921" s="2"/>
      <c r="G921" s="4"/>
      <c r="H921" s="4"/>
      <c r="I921" s="4"/>
      <c r="J921" s="4"/>
      <c r="K921" s="4"/>
      <c r="L921" s="4"/>
      <c r="M921" s="4"/>
      <c r="N921" s="4"/>
      <c r="O921" s="4"/>
      <c r="P921" s="4"/>
      <c r="Q921" s="4"/>
      <c r="R921" s="4"/>
      <c r="S921" s="4"/>
      <c r="T921" s="4"/>
      <c r="U921" s="4"/>
      <c r="V921" s="4"/>
      <c r="W921" s="4"/>
      <c r="X921" s="4"/>
      <c r="Y921" s="4"/>
      <c r="Z921" s="4"/>
    </row>
    <row r="922" ht="14.25" customHeight="1">
      <c r="A922" s="2"/>
      <c r="B922" s="4"/>
      <c r="C922" s="2"/>
      <c r="D922" s="2"/>
      <c r="E922" s="4"/>
      <c r="F922" s="2"/>
      <c r="G922" s="4"/>
      <c r="H922" s="4"/>
      <c r="I922" s="4"/>
      <c r="J922" s="4"/>
      <c r="K922" s="4"/>
      <c r="L922" s="4"/>
      <c r="M922" s="4"/>
      <c r="N922" s="4"/>
      <c r="O922" s="4"/>
      <c r="P922" s="4"/>
      <c r="Q922" s="4"/>
      <c r="R922" s="4"/>
      <c r="S922" s="4"/>
      <c r="T922" s="4"/>
      <c r="U922" s="4"/>
      <c r="V922" s="4"/>
      <c r="W922" s="4"/>
      <c r="X922" s="4"/>
      <c r="Y922" s="4"/>
      <c r="Z922" s="4"/>
    </row>
    <row r="923" ht="14.25" customHeight="1">
      <c r="A923" s="2"/>
      <c r="B923" s="4"/>
      <c r="C923" s="2"/>
      <c r="D923" s="2"/>
      <c r="E923" s="4"/>
      <c r="F923" s="2"/>
      <c r="G923" s="4"/>
      <c r="H923" s="4"/>
      <c r="I923" s="4"/>
      <c r="J923" s="4"/>
      <c r="K923" s="4"/>
      <c r="L923" s="4"/>
      <c r="M923" s="4"/>
      <c r="N923" s="4"/>
      <c r="O923" s="4"/>
      <c r="P923" s="4"/>
      <c r="Q923" s="4"/>
      <c r="R923" s="4"/>
      <c r="S923" s="4"/>
      <c r="T923" s="4"/>
      <c r="U923" s="4"/>
      <c r="V923" s="4"/>
      <c r="W923" s="4"/>
      <c r="X923" s="4"/>
      <c r="Y923" s="4"/>
      <c r="Z923" s="4"/>
    </row>
    <row r="924" ht="14.25" customHeight="1">
      <c r="A924" s="2"/>
      <c r="B924" s="4"/>
      <c r="C924" s="2"/>
      <c r="D924" s="2"/>
      <c r="E924" s="4"/>
      <c r="F924" s="2"/>
      <c r="G924" s="4"/>
      <c r="H924" s="4"/>
      <c r="I924" s="4"/>
      <c r="J924" s="4"/>
      <c r="K924" s="4"/>
      <c r="L924" s="4"/>
      <c r="M924" s="4"/>
      <c r="N924" s="4"/>
      <c r="O924" s="4"/>
      <c r="P924" s="4"/>
      <c r="Q924" s="4"/>
      <c r="R924" s="4"/>
      <c r="S924" s="4"/>
      <c r="T924" s="4"/>
      <c r="U924" s="4"/>
      <c r="V924" s="4"/>
      <c r="W924" s="4"/>
      <c r="X924" s="4"/>
      <c r="Y924" s="4"/>
      <c r="Z924" s="4"/>
    </row>
    <row r="925" ht="14.25" customHeight="1">
      <c r="A925" s="2"/>
      <c r="B925" s="4"/>
      <c r="C925" s="2"/>
      <c r="D925" s="2"/>
      <c r="E925" s="4"/>
      <c r="F925" s="2"/>
      <c r="G925" s="4"/>
      <c r="H925" s="4"/>
      <c r="I925" s="4"/>
      <c r="J925" s="4"/>
      <c r="K925" s="4"/>
      <c r="L925" s="4"/>
      <c r="M925" s="4"/>
      <c r="N925" s="4"/>
      <c r="O925" s="4"/>
      <c r="P925" s="4"/>
      <c r="Q925" s="4"/>
      <c r="R925" s="4"/>
      <c r="S925" s="4"/>
      <c r="T925" s="4"/>
      <c r="U925" s="4"/>
      <c r="V925" s="4"/>
      <c r="W925" s="4"/>
      <c r="X925" s="4"/>
      <c r="Y925" s="4"/>
      <c r="Z925" s="4"/>
    </row>
    <row r="926" ht="14.25" customHeight="1">
      <c r="A926" s="2"/>
      <c r="B926" s="4"/>
      <c r="C926" s="2"/>
      <c r="D926" s="2"/>
      <c r="E926" s="4"/>
      <c r="F926" s="2"/>
      <c r="G926" s="4"/>
      <c r="H926" s="4"/>
      <c r="I926" s="4"/>
      <c r="J926" s="4"/>
      <c r="K926" s="4"/>
      <c r="L926" s="4"/>
      <c r="M926" s="4"/>
      <c r="N926" s="4"/>
      <c r="O926" s="4"/>
      <c r="P926" s="4"/>
      <c r="Q926" s="4"/>
      <c r="R926" s="4"/>
      <c r="S926" s="4"/>
      <c r="T926" s="4"/>
      <c r="U926" s="4"/>
      <c r="V926" s="4"/>
      <c r="W926" s="4"/>
      <c r="X926" s="4"/>
      <c r="Y926" s="4"/>
      <c r="Z926" s="4"/>
    </row>
    <row r="927" ht="14.25" customHeight="1">
      <c r="A927" s="2"/>
      <c r="B927" s="4"/>
      <c r="C927" s="2"/>
      <c r="D927" s="2"/>
      <c r="E927" s="4"/>
      <c r="F927" s="2"/>
      <c r="G927" s="4"/>
      <c r="H927" s="4"/>
      <c r="I927" s="4"/>
      <c r="J927" s="4"/>
      <c r="K927" s="4"/>
      <c r="L927" s="4"/>
      <c r="M927" s="4"/>
      <c r="N927" s="4"/>
      <c r="O927" s="4"/>
      <c r="P927" s="4"/>
      <c r="Q927" s="4"/>
      <c r="R927" s="4"/>
      <c r="S927" s="4"/>
      <c r="T927" s="4"/>
      <c r="U927" s="4"/>
      <c r="V927" s="4"/>
      <c r="W927" s="4"/>
      <c r="X927" s="4"/>
      <c r="Y927" s="4"/>
      <c r="Z927" s="4"/>
    </row>
    <row r="928" ht="14.25" customHeight="1">
      <c r="A928" s="2"/>
      <c r="B928" s="4"/>
      <c r="C928" s="2"/>
      <c r="D928" s="2"/>
      <c r="E928" s="4"/>
      <c r="F928" s="2"/>
      <c r="G928" s="4"/>
      <c r="H928" s="4"/>
      <c r="I928" s="4"/>
      <c r="J928" s="4"/>
      <c r="K928" s="4"/>
      <c r="L928" s="4"/>
      <c r="M928" s="4"/>
      <c r="N928" s="4"/>
      <c r="O928" s="4"/>
      <c r="P928" s="4"/>
      <c r="Q928" s="4"/>
      <c r="R928" s="4"/>
      <c r="S928" s="4"/>
      <c r="T928" s="4"/>
      <c r="U928" s="4"/>
      <c r="V928" s="4"/>
      <c r="W928" s="4"/>
      <c r="X928" s="4"/>
      <c r="Y928" s="4"/>
      <c r="Z928" s="4"/>
    </row>
    <row r="929" ht="14.25" customHeight="1">
      <c r="A929" s="2"/>
      <c r="B929" s="4"/>
      <c r="C929" s="2"/>
      <c r="D929" s="2"/>
      <c r="E929" s="4"/>
      <c r="F929" s="2"/>
      <c r="G929" s="4"/>
      <c r="H929" s="4"/>
      <c r="I929" s="4"/>
      <c r="J929" s="4"/>
      <c r="K929" s="4"/>
      <c r="L929" s="4"/>
      <c r="M929" s="4"/>
      <c r="N929" s="4"/>
      <c r="O929" s="4"/>
      <c r="P929" s="4"/>
      <c r="Q929" s="4"/>
      <c r="R929" s="4"/>
      <c r="S929" s="4"/>
      <c r="T929" s="4"/>
      <c r="U929" s="4"/>
      <c r="V929" s="4"/>
      <c r="W929" s="4"/>
      <c r="X929" s="4"/>
      <c r="Y929" s="4"/>
      <c r="Z929" s="4"/>
    </row>
    <row r="930" ht="14.25" customHeight="1">
      <c r="A930" s="2"/>
      <c r="B930" s="4"/>
      <c r="C930" s="2"/>
      <c r="D930" s="2"/>
      <c r="E930" s="4"/>
      <c r="F930" s="2"/>
      <c r="G930" s="4"/>
      <c r="H930" s="4"/>
      <c r="I930" s="4"/>
      <c r="J930" s="4"/>
      <c r="K930" s="4"/>
      <c r="L930" s="4"/>
      <c r="M930" s="4"/>
      <c r="N930" s="4"/>
      <c r="O930" s="4"/>
      <c r="P930" s="4"/>
      <c r="Q930" s="4"/>
      <c r="R930" s="4"/>
      <c r="S930" s="4"/>
      <c r="T930" s="4"/>
      <c r="U930" s="4"/>
      <c r="V930" s="4"/>
      <c r="W930" s="4"/>
      <c r="X930" s="4"/>
      <c r="Y930" s="4"/>
      <c r="Z930" s="4"/>
    </row>
    <row r="931" ht="14.25" customHeight="1">
      <c r="A931" s="2"/>
      <c r="B931" s="4"/>
      <c r="C931" s="2"/>
      <c r="D931" s="2"/>
      <c r="E931" s="4"/>
      <c r="F931" s="2"/>
      <c r="G931" s="4"/>
      <c r="H931" s="4"/>
      <c r="I931" s="4"/>
      <c r="J931" s="4"/>
      <c r="K931" s="4"/>
      <c r="L931" s="4"/>
      <c r="M931" s="4"/>
      <c r="N931" s="4"/>
      <c r="O931" s="4"/>
      <c r="P931" s="4"/>
      <c r="Q931" s="4"/>
      <c r="R931" s="4"/>
      <c r="S931" s="4"/>
      <c r="T931" s="4"/>
      <c r="U931" s="4"/>
      <c r="V931" s="4"/>
      <c r="W931" s="4"/>
      <c r="X931" s="4"/>
      <c r="Y931" s="4"/>
      <c r="Z931" s="4"/>
    </row>
    <row r="932" ht="14.25" customHeight="1">
      <c r="A932" s="2"/>
      <c r="B932" s="4"/>
      <c r="C932" s="2"/>
      <c r="D932" s="2"/>
      <c r="E932" s="4"/>
      <c r="F932" s="2"/>
      <c r="G932" s="4"/>
      <c r="H932" s="4"/>
      <c r="I932" s="4"/>
      <c r="J932" s="4"/>
      <c r="K932" s="4"/>
      <c r="L932" s="4"/>
      <c r="M932" s="4"/>
      <c r="N932" s="4"/>
      <c r="O932" s="4"/>
      <c r="P932" s="4"/>
      <c r="Q932" s="4"/>
      <c r="R932" s="4"/>
      <c r="S932" s="4"/>
      <c r="T932" s="4"/>
      <c r="U932" s="4"/>
      <c r="V932" s="4"/>
      <c r="W932" s="4"/>
      <c r="X932" s="4"/>
      <c r="Y932" s="4"/>
      <c r="Z932" s="4"/>
    </row>
    <row r="933" ht="14.25" customHeight="1">
      <c r="A933" s="2"/>
      <c r="B933" s="4"/>
      <c r="C933" s="2"/>
      <c r="D933" s="2"/>
      <c r="E933" s="4"/>
      <c r="F933" s="2"/>
      <c r="G933" s="4"/>
      <c r="H933" s="4"/>
      <c r="I933" s="4"/>
      <c r="J933" s="4"/>
      <c r="K933" s="4"/>
      <c r="L933" s="4"/>
      <c r="M933" s="4"/>
      <c r="N933" s="4"/>
      <c r="O933" s="4"/>
      <c r="P933" s="4"/>
      <c r="Q933" s="4"/>
      <c r="R933" s="4"/>
      <c r="S933" s="4"/>
      <c r="T933" s="4"/>
      <c r="U933" s="4"/>
      <c r="V933" s="4"/>
      <c r="W933" s="4"/>
      <c r="X933" s="4"/>
      <c r="Y933" s="4"/>
      <c r="Z933" s="4"/>
    </row>
    <row r="934" ht="14.25" customHeight="1">
      <c r="A934" s="2"/>
      <c r="B934" s="4"/>
      <c r="C934" s="2"/>
      <c r="D934" s="2"/>
      <c r="E934" s="4"/>
      <c r="F934" s="2"/>
      <c r="G934" s="4"/>
      <c r="H934" s="4"/>
      <c r="I934" s="4"/>
      <c r="J934" s="4"/>
      <c r="K934" s="4"/>
      <c r="L934" s="4"/>
      <c r="M934" s="4"/>
      <c r="N934" s="4"/>
      <c r="O934" s="4"/>
      <c r="P934" s="4"/>
      <c r="Q934" s="4"/>
      <c r="R934" s="4"/>
      <c r="S934" s="4"/>
      <c r="T934" s="4"/>
      <c r="U934" s="4"/>
      <c r="V934" s="4"/>
      <c r="W934" s="4"/>
      <c r="X934" s="4"/>
      <c r="Y934" s="4"/>
      <c r="Z934" s="4"/>
    </row>
    <row r="935" ht="14.25" customHeight="1">
      <c r="A935" s="2"/>
      <c r="B935" s="4"/>
      <c r="C935" s="2"/>
      <c r="D935" s="2"/>
      <c r="E935" s="4"/>
      <c r="F935" s="2"/>
      <c r="G935" s="4"/>
      <c r="H935" s="4"/>
      <c r="I935" s="4"/>
      <c r="J935" s="4"/>
      <c r="K935" s="4"/>
      <c r="L935" s="4"/>
      <c r="M935" s="4"/>
      <c r="N935" s="4"/>
      <c r="O935" s="4"/>
      <c r="P935" s="4"/>
      <c r="Q935" s="4"/>
      <c r="R935" s="4"/>
      <c r="S935" s="4"/>
      <c r="T935" s="4"/>
      <c r="U935" s="4"/>
      <c r="V935" s="4"/>
      <c r="W935" s="4"/>
      <c r="X935" s="4"/>
      <c r="Y935" s="4"/>
      <c r="Z935" s="4"/>
    </row>
    <row r="936" ht="14.25" customHeight="1">
      <c r="A936" s="2"/>
      <c r="B936" s="4"/>
      <c r="C936" s="2"/>
      <c r="D936" s="2"/>
      <c r="E936" s="4"/>
      <c r="F936" s="2"/>
      <c r="G936" s="4"/>
      <c r="H936" s="4"/>
      <c r="I936" s="4"/>
      <c r="J936" s="4"/>
      <c r="K936" s="4"/>
      <c r="L936" s="4"/>
      <c r="M936" s="4"/>
      <c r="N936" s="4"/>
      <c r="O936" s="4"/>
      <c r="P936" s="4"/>
      <c r="Q936" s="4"/>
      <c r="R936" s="4"/>
      <c r="S936" s="4"/>
      <c r="T936" s="4"/>
      <c r="U936" s="4"/>
      <c r="V936" s="4"/>
      <c r="W936" s="4"/>
      <c r="X936" s="4"/>
      <c r="Y936" s="4"/>
      <c r="Z936" s="4"/>
    </row>
    <row r="937" ht="14.25" customHeight="1">
      <c r="A937" s="2"/>
      <c r="B937" s="4"/>
      <c r="C937" s="2"/>
      <c r="D937" s="2"/>
      <c r="E937" s="4"/>
      <c r="F937" s="2"/>
      <c r="G937" s="4"/>
      <c r="H937" s="4"/>
      <c r="I937" s="4"/>
      <c r="J937" s="4"/>
      <c r="K937" s="4"/>
      <c r="L937" s="4"/>
      <c r="M937" s="4"/>
      <c r="N937" s="4"/>
      <c r="O937" s="4"/>
      <c r="P937" s="4"/>
      <c r="Q937" s="4"/>
      <c r="R937" s="4"/>
      <c r="S937" s="4"/>
      <c r="T937" s="4"/>
      <c r="U937" s="4"/>
      <c r="V937" s="4"/>
      <c r="W937" s="4"/>
      <c r="X937" s="4"/>
      <c r="Y937" s="4"/>
      <c r="Z937" s="4"/>
    </row>
    <row r="938" ht="14.25" customHeight="1">
      <c r="A938" s="2"/>
      <c r="B938" s="4"/>
      <c r="C938" s="2"/>
      <c r="D938" s="2"/>
      <c r="E938" s="4"/>
      <c r="F938" s="2"/>
      <c r="G938" s="4"/>
      <c r="H938" s="4"/>
      <c r="I938" s="4"/>
      <c r="J938" s="4"/>
      <c r="K938" s="4"/>
      <c r="L938" s="4"/>
      <c r="M938" s="4"/>
      <c r="N938" s="4"/>
      <c r="O938" s="4"/>
      <c r="P938" s="4"/>
      <c r="Q938" s="4"/>
      <c r="R938" s="4"/>
      <c r="S938" s="4"/>
      <c r="T938" s="4"/>
      <c r="U938" s="4"/>
      <c r="V938" s="4"/>
      <c r="W938" s="4"/>
      <c r="X938" s="4"/>
      <c r="Y938" s="4"/>
      <c r="Z938" s="4"/>
    </row>
    <row r="939" ht="14.25" customHeight="1">
      <c r="A939" s="2"/>
      <c r="B939" s="4"/>
      <c r="C939" s="2"/>
      <c r="D939" s="2"/>
      <c r="E939" s="4"/>
      <c r="F939" s="2"/>
      <c r="G939" s="4"/>
      <c r="H939" s="4"/>
      <c r="I939" s="4"/>
      <c r="J939" s="4"/>
      <c r="K939" s="4"/>
      <c r="L939" s="4"/>
      <c r="M939" s="4"/>
      <c r="N939" s="4"/>
      <c r="O939" s="4"/>
      <c r="P939" s="4"/>
      <c r="Q939" s="4"/>
      <c r="R939" s="4"/>
      <c r="S939" s="4"/>
      <c r="T939" s="4"/>
      <c r="U939" s="4"/>
      <c r="V939" s="4"/>
      <c r="W939" s="4"/>
      <c r="X939" s="4"/>
      <c r="Y939" s="4"/>
      <c r="Z939" s="4"/>
    </row>
    <row r="940" ht="14.25" customHeight="1">
      <c r="A940" s="2"/>
      <c r="B940" s="4"/>
      <c r="C940" s="2"/>
      <c r="D940" s="2"/>
      <c r="E940" s="4"/>
      <c r="F940" s="2"/>
      <c r="G940" s="4"/>
      <c r="H940" s="4"/>
      <c r="I940" s="4"/>
      <c r="J940" s="4"/>
      <c r="K940" s="4"/>
      <c r="L940" s="4"/>
      <c r="M940" s="4"/>
      <c r="N940" s="4"/>
      <c r="O940" s="4"/>
      <c r="P940" s="4"/>
      <c r="Q940" s="4"/>
      <c r="R940" s="4"/>
      <c r="S940" s="4"/>
      <c r="T940" s="4"/>
      <c r="U940" s="4"/>
      <c r="V940" s="4"/>
      <c r="W940" s="4"/>
      <c r="X940" s="4"/>
      <c r="Y940" s="4"/>
      <c r="Z940" s="4"/>
    </row>
    <row r="941" ht="14.25" customHeight="1">
      <c r="A941" s="2"/>
      <c r="B941" s="4"/>
      <c r="C941" s="2"/>
      <c r="D941" s="2"/>
      <c r="E941" s="4"/>
      <c r="F941" s="2"/>
      <c r="G941" s="4"/>
      <c r="H941" s="4"/>
      <c r="I941" s="4"/>
      <c r="J941" s="4"/>
      <c r="K941" s="4"/>
      <c r="L941" s="4"/>
      <c r="M941" s="4"/>
      <c r="N941" s="4"/>
      <c r="O941" s="4"/>
      <c r="P941" s="4"/>
      <c r="Q941" s="4"/>
      <c r="R941" s="4"/>
      <c r="S941" s="4"/>
      <c r="T941" s="4"/>
      <c r="U941" s="4"/>
      <c r="V941" s="4"/>
      <c r="W941" s="4"/>
      <c r="X941" s="4"/>
      <c r="Y941" s="4"/>
      <c r="Z941" s="4"/>
    </row>
    <row r="942" ht="14.25" customHeight="1">
      <c r="A942" s="2"/>
      <c r="B942" s="4"/>
      <c r="C942" s="2"/>
      <c r="D942" s="2"/>
      <c r="E942" s="4"/>
      <c r="F942" s="2"/>
      <c r="G942" s="4"/>
      <c r="H942" s="4"/>
      <c r="I942" s="4"/>
      <c r="J942" s="4"/>
      <c r="K942" s="4"/>
      <c r="L942" s="4"/>
      <c r="M942" s="4"/>
      <c r="N942" s="4"/>
      <c r="O942" s="4"/>
      <c r="P942" s="4"/>
      <c r="Q942" s="4"/>
      <c r="R942" s="4"/>
      <c r="S942" s="4"/>
      <c r="T942" s="4"/>
      <c r="U942" s="4"/>
      <c r="V942" s="4"/>
      <c r="W942" s="4"/>
      <c r="X942" s="4"/>
      <c r="Y942" s="4"/>
      <c r="Z942" s="4"/>
    </row>
    <row r="943" ht="14.25" customHeight="1">
      <c r="A943" s="2"/>
      <c r="B943" s="4"/>
      <c r="C943" s="2"/>
      <c r="D943" s="2"/>
      <c r="E943" s="4"/>
      <c r="F943" s="2"/>
      <c r="G943" s="4"/>
      <c r="H943" s="4"/>
      <c r="I943" s="4"/>
      <c r="J943" s="4"/>
      <c r="K943" s="4"/>
      <c r="L943" s="4"/>
      <c r="M943" s="4"/>
      <c r="N943" s="4"/>
      <c r="O943" s="4"/>
      <c r="P943" s="4"/>
      <c r="Q943" s="4"/>
      <c r="R943" s="4"/>
      <c r="S943" s="4"/>
      <c r="T943" s="4"/>
      <c r="U943" s="4"/>
      <c r="V943" s="4"/>
      <c r="W943" s="4"/>
      <c r="X943" s="4"/>
      <c r="Y943" s="4"/>
      <c r="Z943" s="4"/>
    </row>
    <row r="944" ht="14.25" customHeight="1">
      <c r="A944" s="2"/>
      <c r="B944" s="4"/>
      <c r="C944" s="2"/>
      <c r="D944" s="2"/>
      <c r="E944" s="4"/>
      <c r="F944" s="2"/>
      <c r="G944" s="4"/>
      <c r="H944" s="4"/>
      <c r="I944" s="4"/>
      <c r="J944" s="4"/>
      <c r="K944" s="4"/>
      <c r="L944" s="4"/>
      <c r="M944" s="4"/>
      <c r="N944" s="4"/>
      <c r="O944" s="4"/>
      <c r="P944" s="4"/>
      <c r="Q944" s="4"/>
      <c r="R944" s="4"/>
      <c r="S944" s="4"/>
      <c r="T944" s="4"/>
      <c r="U944" s="4"/>
      <c r="V944" s="4"/>
      <c r="W944" s="4"/>
      <c r="X944" s="4"/>
      <c r="Y944" s="4"/>
      <c r="Z944" s="4"/>
    </row>
    <row r="945" ht="14.25" customHeight="1">
      <c r="A945" s="2"/>
      <c r="B945" s="4"/>
      <c r="C945" s="2"/>
      <c r="D945" s="2"/>
      <c r="E945" s="4"/>
      <c r="F945" s="2"/>
      <c r="G945" s="4"/>
      <c r="H945" s="4"/>
      <c r="I945" s="4"/>
      <c r="J945" s="4"/>
      <c r="K945" s="4"/>
      <c r="L945" s="4"/>
      <c r="M945" s="4"/>
      <c r="N945" s="4"/>
      <c r="O945" s="4"/>
      <c r="P945" s="4"/>
      <c r="Q945" s="4"/>
      <c r="R945" s="4"/>
      <c r="S945" s="4"/>
      <c r="T945" s="4"/>
      <c r="U945" s="4"/>
      <c r="V945" s="4"/>
      <c r="W945" s="4"/>
      <c r="X945" s="4"/>
      <c r="Y945" s="4"/>
      <c r="Z945" s="4"/>
    </row>
    <row r="946" ht="14.25" customHeight="1">
      <c r="A946" s="2"/>
      <c r="B946" s="4"/>
      <c r="C946" s="2"/>
      <c r="D946" s="2"/>
      <c r="E946" s="4"/>
      <c r="F946" s="2"/>
      <c r="G946" s="4"/>
      <c r="H946" s="4"/>
      <c r="I946" s="4"/>
      <c r="J946" s="4"/>
      <c r="K946" s="4"/>
      <c r="L946" s="4"/>
      <c r="M946" s="4"/>
      <c r="N946" s="4"/>
      <c r="O946" s="4"/>
      <c r="P946" s="4"/>
      <c r="Q946" s="4"/>
      <c r="R946" s="4"/>
      <c r="S946" s="4"/>
      <c r="T946" s="4"/>
      <c r="U946" s="4"/>
      <c r="V946" s="4"/>
      <c r="W946" s="4"/>
      <c r="X946" s="4"/>
      <c r="Y946" s="4"/>
      <c r="Z946" s="4"/>
    </row>
    <row r="947" ht="14.25" customHeight="1">
      <c r="A947" s="2"/>
      <c r="B947" s="4"/>
      <c r="C947" s="2"/>
      <c r="D947" s="2"/>
      <c r="E947" s="4"/>
      <c r="F947" s="2"/>
      <c r="G947" s="4"/>
      <c r="H947" s="4"/>
      <c r="I947" s="4"/>
      <c r="J947" s="4"/>
      <c r="K947" s="4"/>
      <c r="L947" s="4"/>
      <c r="M947" s="4"/>
      <c r="N947" s="4"/>
      <c r="O947" s="4"/>
      <c r="P947" s="4"/>
      <c r="Q947" s="4"/>
      <c r="R947" s="4"/>
      <c r="S947" s="4"/>
      <c r="T947" s="4"/>
      <c r="U947" s="4"/>
      <c r="V947" s="4"/>
      <c r="W947" s="4"/>
      <c r="X947" s="4"/>
      <c r="Y947" s="4"/>
      <c r="Z947" s="4"/>
    </row>
    <row r="948" ht="14.25" customHeight="1">
      <c r="A948" s="2"/>
      <c r="B948" s="4"/>
      <c r="C948" s="2"/>
      <c r="D948" s="2"/>
      <c r="E948" s="4"/>
      <c r="F948" s="2"/>
      <c r="G948" s="4"/>
      <c r="H948" s="4"/>
      <c r="I948" s="4"/>
      <c r="J948" s="4"/>
      <c r="K948" s="4"/>
      <c r="L948" s="4"/>
      <c r="M948" s="4"/>
      <c r="N948" s="4"/>
      <c r="O948" s="4"/>
      <c r="P948" s="4"/>
      <c r="Q948" s="4"/>
      <c r="R948" s="4"/>
      <c r="S948" s="4"/>
      <c r="T948" s="4"/>
      <c r="U948" s="4"/>
      <c r="V948" s="4"/>
      <c r="W948" s="4"/>
      <c r="X948" s="4"/>
      <c r="Y948" s="4"/>
      <c r="Z948" s="4"/>
    </row>
    <row r="949" ht="14.25" customHeight="1">
      <c r="A949" s="2"/>
      <c r="B949" s="4"/>
      <c r="C949" s="2"/>
      <c r="D949" s="2"/>
      <c r="E949" s="4"/>
      <c r="F949" s="2"/>
      <c r="G949" s="4"/>
      <c r="H949" s="4"/>
      <c r="I949" s="4"/>
      <c r="J949" s="4"/>
      <c r="K949" s="4"/>
      <c r="L949" s="4"/>
      <c r="M949" s="4"/>
      <c r="N949" s="4"/>
      <c r="O949" s="4"/>
      <c r="P949" s="4"/>
      <c r="Q949" s="4"/>
      <c r="R949" s="4"/>
      <c r="S949" s="4"/>
      <c r="T949" s="4"/>
      <c r="U949" s="4"/>
      <c r="V949" s="4"/>
      <c r="W949" s="4"/>
      <c r="X949" s="4"/>
      <c r="Y949" s="4"/>
      <c r="Z949" s="4"/>
    </row>
    <row r="950" ht="14.25" customHeight="1">
      <c r="A950" s="2"/>
      <c r="B950" s="4"/>
      <c r="C950" s="2"/>
      <c r="D950" s="2"/>
      <c r="E950" s="4"/>
      <c r="F950" s="2"/>
      <c r="G950" s="4"/>
      <c r="H950" s="4"/>
      <c r="I950" s="4"/>
      <c r="J950" s="4"/>
      <c r="K950" s="4"/>
      <c r="L950" s="4"/>
      <c r="M950" s="4"/>
      <c r="N950" s="4"/>
      <c r="O950" s="4"/>
      <c r="P950" s="4"/>
      <c r="Q950" s="4"/>
      <c r="R950" s="4"/>
      <c r="S950" s="4"/>
      <c r="T950" s="4"/>
      <c r="U950" s="4"/>
      <c r="V950" s="4"/>
      <c r="W950" s="4"/>
      <c r="X950" s="4"/>
      <c r="Y950" s="4"/>
      <c r="Z950" s="4"/>
    </row>
    <row r="951" ht="14.25" customHeight="1">
      <c r="A951" s="2"/>
      <c r="B951" s="4"/>
      <c r="C951" s="2"/>
      <c r="D951" s="2"/>
      <c r="E951" s="4"/>
      <c r="F951" s="2"/>
      <c r="G951" s="4"/>
      <c r="H951" s="4"/>
      <c r="I951" s="4"/>
      <c r="J951" s="4"/>
      <c r="K951" s="4"/>
      <c r="L951" s="4"/>
      <c r="M951" s="4"/>
      <c r="N951" s="4"/>
      <c r="O951" s="4"/>
      <c r="P951" s="4"/>
      <c r="Q951" s="4"/>
      <c r="R951" s="4"/>
      <c r="S951" s="4"/>
      <c r="T951" s="4"/>
      <c r="U951" s="4"/>
      <c r="V951" s="4"/>
      <c r="W951" s="4"/>
      <c r="X951" s="4"/>
      <c r="Y951" s="4"/>
      <c r="Z951" s="4"/>
    </row>
    <row r="952" ht="14.25" customHeight="1">
      <c r="A952" s="2"/>
      <c r="B952" s="4"/>
      <c r="C952" s="2"/>
      <c r="D952" s="2"/>
      <c r="E952" s="4"/>
      <c r="F952" s="2"/>
      <c r="G952" s="4"/>
      <c r="H952" s="4"/>
      <c r="I952" s="4"/>
      <c r="J952" s="4"/>
      <c r="K952" s="4"/>
      <c r="L952" s="4"/>
      <c r="M952" s="4"/>
      <c r="N952" s="4"/>
      <c r="O952" s="4"/>
      <c r="P952" s="4"/>
      <c r="Q952" s="4"/>
      <c r="R952" s="4"/>
      <c r="S952" s="4"/>
      <c r="T952" s="4"/>
      <c r="U952" s="4"/>
      <c r="V952" s="4"/>
      <c r="W952" s="4"/>
      <c r="X952" s="4"/>
      <c r="Y952" s="4"/>
      <c r="Z952" s="4"/>
    </row>
    <row r="953" ht="14.25" customHeight="1">
      <c r="A953" s="2"/>
      <c r="B953" s="4"/>
      <c r="C953" s="2"/>
      <c r="D953" s="2"/>
      <c r="E953" s="4"/>
      <c r="F953" s="2"/>
      <c r="G953" s="4"/>
      <c r="H953" s="4"/>
      <c r="I953" s="4"/>
      <c r="J953" s="4"/>
      <c r="K953" s="4"/>
      <c r="L953" s="4"/>
      <c r="M953" s="4"/>
      <c r="N953" s="4"/>
      <c r="O953" s="4"/>
      <c r="P953" s="4"/>
      <c r="Q953" s="4"/>
      <c r="R953" s="4"/>
      <c r="S953" s="4"/>
      <c r="T953" s="4"/>
      <c r="U953" s="4"/>
      <c r="V953" s="4"/>
      <c r="W953" s="4"/>
      <c r="X953" s="4"/>
      <c r="Y953" s="4"/>
      <c r="Z953" s="4"/>
    </row>
    <row r="954" ht="14.25" customHeight="1">
      <c r="A954" s="2"/>
      <c r="B954" s="4"/>
      <c r="C954" s="2"/>
      <c r="D954" s="2"/>
      <c r="E954" s="4"/>
      <c r="F954" s="2"/>
      <c r="G954" s="4"/>
      <c r="H954" s="4"/>
      <c r="I954" s="4"/>
      <c r="J954" s="4"/>
      <c r="K954" s="4"/>
      <c r="L954" s="4"/>
      <c r="M954" s="4"/>
      <c r="N954" s="4"/>
      <c r="O954" s="4"/>
      <c r="P954" s="4"/>
      <c r="Q954" s="4"/>
      <c r="R954" s="4"/>
      <c r="S954" s="4"/>
      <c r="T954" s="4"/>
      <c r="U954" s="4"/>
      <c r="V954" s="4"/>
      <c r="W954" s="4"/>
      <c r="X954" s="4"/>
      <c r="Y954" s="4"/>
      <c r="Z954" s="4"/>
    </row>
    <row r="955" ht="14.25" customHeight="1">
      <c r="A955" s="2"/>
      <c r="B955" s="4"/>
      <c r="C955" s="2"/>
      <c r="D955" s="2"/>
      <c r="E955" s="4"/>
      <c r="F955" s="2"/>
      <c r="G955" s="4"/>
      <c r="H955" s="4"/>
      <c r="I955" s="4"/>
      <c r="J955" s="4"/>
      <c r="K955" s="4"/>
      <c r="L955" s="4"/>
      <c r="M955" s="4"/>
      <c r="N955" s="4"/>
      <c r="O955" s="4"/>
      <c r="P955" s="4"/>
      <c r="Q955" s="4"/>
      <c r="R955" s="4"/>
      <c r="S955" s="4"/>
      <c r="T955" s="4"/>
      <c r="U955" s="4"/>
      <c r="V955" s="4"/>
      <c r="W955" s="4"/>
      <c r="X955" s="4"/>
      <c r="Y955" s="4"/>
      <c r="Z955" s="4"/>
    </row>
    <row r="956" ht="14.25" customHeight="1">
      <c r="A956" s="2"/>
      <c r="B956" s="4"/>
      <c r="C956" s="2"/>
      <c r="D956" s="2"/>
      <c r="E956" s="4"/>
      <c r="F956" s="2"/>
      <c r="G956" s="4"/>
      <c r="H956" s="4"/>
      <c r="I956" s="4"/>
      <c r="J956" s="4"/>
      <c r="K956" s="4"/>
      <c r="L956" s="4"/>
      <c r="M956" s="4"/>
      <c r="N956" s="4"/>
      <c r="O956" s="4"/>
      <c r="P956" s="4"/>
      <c r="Q956" s="4"/>
      <c r="R956" s="4"/>
      <c r="S956" s="4"/>
      <c r="T956" s="4"/>
      <c r="U956" s="4"/>
      <c r="V956" s="4"/>
      <c r="W956" s="4"/>
      <c r="X956" s="4"/>
      <c r="Y956" s="4"/>
      <c r="Z956" s="4"/>
    </row>
    <row r="957" ht="14.25" customHeight="1">
      <c r="A957" s="2"/>
      <c r="B957" s="4"/>
      <c r="C957" s="2"/>
      <c r="D957" s="2"/>
      <c r="E957" s="4"/>
      <c r="F957" s="2"/>
      <c r="G957" s="4"/>
      <c r="H957" s="4"/>
      <c r="I957" s="4"/>
      <c r="J957" s="4"/>
      <c r="K957" s="4"/>
      <c r="L957" s="4"/>
      <c r="M957" s="4"/>
      <c r="N957" s="4"/>
      <c r="O957" s="4"/>
      <c r="P957" s="4"/>
      <c r="Q957" s="4"/>
      <c r="R957" s="4"/>
      <c r="S957" s="4"/>
      <c r="T957" s="4"/>
      <c r="U957" s="4"/>
      <c r="V957" s="4"/>
      <c r="W957" s="4"/>
      <c r="X957" s="4"/>
      <c r="Y957" s="4"/>
      <c r="Z957" s="4"/>
    </row>
    <row r="958" ht="14.25" customHeight="1">
      <c r="A958" s="2"/>
      <c r="B958" s="4"/>
      <c r="C958" s="2"/>
      <c r="D958" s="2"/>
      <c r="E958" s="4"/>
      <c r="F958" s="2"/>
      <c r="G958" s="4"/>
      <c r="H958" s="4"/>
      <c r="I958" s="4"/>
      <c r="J958" s="4"/>
      <c r="K958" s="4"/>
      <c r="L958" s="4"/>
      <c r="M958" s="4"/>
      <c r="N958" s="4"/>
      <c r="O958" s="4"/>
      <c r="P958" s="4"/>
      <c r="Q958" s="4"/>
      <c r="R958" s="4"/>
      <c r="S958" s="4"/>
      <c r="T958" s="4"/>
      <c r="U958" s="4"/>
      <c r="V958" s="4"/>
      <c r="W958" s="4"/>
      <c r="X958" s="4"/>
      <c r="Y958" s="4"/>
      <c r="Z958" s="4"/>
    </row>
    <row r="959" ht="14.25" customHeight="1">
      <c r="A959" s="2"/>
      <c r="B959" s="4"/>
      <c r="C959" s="2"/>
      <c r="D959" s="2"/>
      <c r="E959" s="4"/>
      <c r="F959" s="2"/>
      <c r="G959" s="4"/>
      <c r="H959" s="4"/>
      <c r="I959" s="4"/>
      <c r="J959" s="4"/>
      <c r="K959" s="4"/>
      <c r="L959" s="4"/>
      <c r="M959" s="4"/>
      <c r="N959" s="4"/>
      <c r="O959" s="4"/>
      <c r="P959" s="4"/>
      <c r="Q959" s="4"/>
      <c r="R959" s="4"/>
      <c r="S959" s="4"/>
      <c r="T959" s="4"/>
      <c r="U959" s="4"/>
      <c r="V959" s="4"/>
      <c r="W959" s="4"/>
      <c r="X959" s="4"/>
      <c r="Y959" s="4"/>
      <c r="Z959" s="4"/>
    </row>
    <row r="960" ht="14.25" customHeight="1">
      <c r="A960" s="2"/>
      <c r="B960" s="4"/>
      <c r="C960" s="2"/>
      <c r="D960" s="2"/>
      <c r="E960" s="4"/>
      <c r="F960" s="2"/>
      <c r="G960" s="4"/>
      <c r="H960" s="4"/>
      <c r="I960" s="4"/>
      <c r="J960" s="4"/>
      <c r="K960" s="4"/>
      <c r="L960" s="4"/>
      <c r="M960" s="4"/>
      <c r="N960" s="4"/>
      <c r="O960" s="4"/>
      <c r="P960" s="4"/>
      <c r="Q960" s="4"/>
      <c r="R960" s="4"/>
      <c r="S960" s="4"/>
      <c r="T960" s="4"/>
      <c r="U960" s="4"/>
      <c r="V960" s="4"/>
      <c r="W960" s="4"/>
      <c r="X960" s="4"/>
      <c r="Y960" s="4"/>
      <c r="Z960" s="4"/>
    </row>
    <row r="961" ht="14.25" customHeight="1">
      <c r="A961" s="2"/>
      <c r="B961" s="4"/>
      <c r="C961" s="2"/>
      <c r="D961" s="2"/>
      <c r="E961" s="4"/>
      <c r="F961" s="2"/>
      <c r="G961" s="4"/>
      <c r="H961" s="4"/>
      <c r="I961" s="4"/>
      <c r="J961" s="4"/>
      <c r="K961" s="4"/>
      <c r="L961" s="4"/>
      <c r="M961" s="4"/>
      <c r="N961" s="4"/>
      <c r="O961" s="4"/>
      <c r="P961" s="4"/>
      <c r="Q961" s="4"/>
      <c r="R961" s="4"/>
      <c r="S961" s="4"/>
      <c r="T961" s="4"/>
      <c r="U961" s="4"/>
      <c r="V961" s="4"/>
      <c r="W961" s="4"/>
      <c r="X961" s="4"/>
      <c r="Y961" s="4"/>
      <c r="Z961" s="4"/>
    </row>
    <row r="962" ht="14.25" customHeight="1">
      <c r="A962" s="2"/>
      <c r="B962" s="4"/>
      <c r="C962" s="2"/>
      <c r="D962" s="2"/>
      <c r="E962" s="4"/>
      <c r="F962" s="2"/>
      <c r="G962" s="4"/>
      <c r="H962" s="4"/>
      <c r="I962" s="4"/>
      <c r="J962" s="4"/>
      <c r="K962" s="4"/>
      <c r="L962" s="4"/>
      <c r="M962" s="4"/>
      <c r="N962" s="4"/>
      <c r="O962" s="4"/>
      <c r="P962" s="4"/>
      <c r="Q962" s="4"/>
      <c r="R962" s="4"/>
      <c r="S962" s="4"/>
      <c r="T962" s="4"/>
      <c r="U962" s="4"/>
      <c r="V962" s="4"/>
      <c r="W962" s="4"/>
      <c r="X962" s="4"/>
      <c r="Y962" s="4"/>
      <c r="Z962" s="4"/>
    </row>
    <row r="963" ht="14.25" customHeight="1">
      <c r="A963" s="2"/>
      <c r="B963" s="4"/>
      <c r="C963" s="2"/>
      <c r="D963" s="2"/>
      <c r="E963" s="4"/>
      <c r="F963" s="2"/>
      <c r="G963" s="4"/>
      <c r="H963" s="4"/>
      <c r="I963" s="4"/>
      <c r="J963" s="4"/>
      <c r="K963" s="4"/>
      <c r="L963" s="4"/>
      <c r="M963" s="4"/>
      <c r="N963" s="4"/>
      <c r="O963" s="4"/>
      <c r="P963" s="4"/>
      <c r="Q963" s="4"/>
      <c r="R963" s="4"/>
      <c r="S963" s="4"/>
      <c r="T963" s="4"/>
      <c r="U963" s="4"/>
      <c r="V963" s="4"/>
      <c r="W963" s="4"/>
      <c r="X963" s="4"/>
      <c r="Y963" s="4"/>
      <c r="Z963" s="4"/>
    </row>
    <row r="964" ht="14.25" customHeight="1">
      <c r="A964" s="2"/>
      <c r="B964" s="4"/>
      <c r="C964" s="2"/>
      <c r="D964" s="2"/>
      <c r="E964" s="4"/>
      <c r="F964" s="2"/>
      <c r="G964" s="4"/>
      <c r="H964" s="4"/>
      <c r="I964" s="4"/>
      <c r="J964" s="4"/>
      <c r="K964" s="4"/>
      <c r="L964" s="4"/>
      <c r="M964" s="4"/>
      <c r="N964" s="4"/>
      <c r="O964" s="4"/>
      <c r="P964" s="4"/>
      <c r="Q964" s="4"/>
      <c r="R964" s="4"/>
      <c r="S964" s="4"/>
      <c r="T964" s="4"/>
      <c r="U964" s="4"/>
      <c r="V964" s="4"/>
      <c r="W964" s="4"/>
      <c r="X964" s="4"/>
      <c r="Y964" s="4"/>
      <c r="Z964" s="4"/>
    </row>
    <row r="965" ht="14.25" customHeight="1">
      <c r="A965" s="2"/>
      <c r="B965" s="4"/>
      <c r="C965" s="2"/>
      <c r="D965" s="2"/>
      <c r="E965" s="4"/>
      <c r="F965" s="2"/>
      <c r="G965" s="4"/>
      <c r="H965" s="4"/>
      <c r="I965" s="4"/>
      <c r="J965" s="4"/>
      <c r="K965" s="4"/>
      <c r="L965" s="4"/>
      <c r="M965" s="4"/>
      <c r="N965" s="4"/>
      <c r="O965" s="4"/>
      <c r="P965" s="4"/>
      <c r="Q965" s="4"/>
      <c r="R965" s="4"/>
      <c r="S965" s="4"/>
      <c r="T965" s="4"/>
      <c r="U965" s="4"/>
      <c r="V965" s="4"/>
      <c r="W965" s="4"/>
      <c r="X965" s="4"/>
      <c r="Y965" s="4"/>
      <c r="Z965" s="4"/>
    </row>
    <row r="966" ht="14.25" customHeight="1">
      <c r="A966" s="2"/>
      <c r="B966" s="4"/>
      <c r="C966" s="2"/>
      <c r="D966" s="2"/>
      <c r="E966" s="4"/>
      <c r="F966" s="2"/>
      <c r="G966" s="4"/>
      <c r="H966" s="4"/>
      <c r="I966" s="4"/>
      <c r="J966" s="4"/>
      <c r="K966" s="4"/>
      <c r="L966" s="4"/>
      <c r="M966" s="4"/>
      <c r="N966" s="4"/>
      <c r="O966" s="4"/>
      <c r="P966" s="4"/>
      <c r="Q966" s="4"/>
      <c r="R966" s="4"/>
      <c r="S966" s="4"/>
      <c r="T966" s="4"/>
      <c r="U966" s="4"/>
      <c r="V966" s="4"/>
      <c r="W966" s="4"/>
      <c r="X966" s="4"/>
      <c r="Y966" s="4"/>
      <c r="Z966" s="4"/>
    </row>
    <row r="967" ht="14.25" customHeight="1">
      <c r="A967" s="2"/>
      <c r="B967" s="4"/>
      <c r="C967" s="2"/>
      <c r="D967" s="2"/>
      <c r="E967" s="4"/>
      <c r="F967" s="2"/>
      <c r="G967" s="4"/>
      <c r="H967" s="4"/>
      <c r="I967" s="4"/>
      <c r="J967" s="4"/>
      <c r="K967" s="4"/>
      <c r="L967" s="4"/>
      <c r="M967" s="4"/>
      <c r="N967" s="4"/>
      <c r="O967" s="4"/>
      <c r="P967" s="4"/>
      <c r="Q967" s="4"/>
      <c r="R967" s="4"/>
      <c r="S967" s="4"/>
      <c r="T967" s="4"/>
      <c r="U967" s="4"/>
      <c r="V967" s="4"/>
      <c r="W967" s="4"/>
      <c r="X967" s="4"/>
      <c r="Y967" s="4"/>
      <c r="Z967" s="4"/>
    </row>
    <row r="968" ht="14.25" customHeight="1">
      <c r="A968" s="2"/>
      <c r="B968" s="4"/>
      <c r="C968" s="2"/>
      <c r="D968" s="2"/>
      <c r="E968" s="4"/>
      <c r="F968" s="2"/>
      <c r="G968" s="4"/>
      <c r="H968" s="4"/>
      <c r="I968" s="4"/>
      <c r="J968" s="4"/>
      <c r="K968" s="4"/>
      <c r="L968" s="4"/>
      <c r="M968" s="4"/>
      <c r="N968" s="4"/>
      <c r="O968" s="4"/>
      <c r="P968" s="4"/>
      <c r="Q968" s="4"/>
      <c r="R968" s="4"/>
      <c r="S968" s="4"/>
      <c r="T968" s="4"/>
      <c r="U968" s="4"/>
      <c r="V968" s="4"/>
      <c r="W968" s="4"/>
      <c r="X968" s="4"/>
      <c r="Y968" s="4"/>
      <c r="Z968" s="4"/>
    </row>
    <row r="969" ht="14.25" customHeight="1">
      <c r="A969" s="2"/>
      <c r="B969" s="4"/>
      <c r="C969" s="2"/>
      <c r="D969" s="2"/>
      <c r="E969" s="4"/>
      <c r="F969" s="2"/>
      <c r="G969" s="4"/>
      <c r="H969" s="4"/>
      <c r="I969" s="4"/>
      <c r="J969" s="4"/>
      <c r="K969" s="4"/>
      <c r="L969" s="4"/>
      <c r="M969" s="4"/>
      <c r="N969" s="4"/>
      <c r="O969" s="4"/>
      <c r="P969" s="4"/>
      <c r="Q969" s="4"/>
      <c r="R969" s="4"/>
      <c r="S969" s="4"/>
      <c r="T969" s="4"/>
      <c r="U969" s="4"/>
      <c r="V969" s="4"/>
      <c r="W969" s="4"/>
      <c r="X969" s="4"/>
      <c r="Y969" s="4"/>
      <c r="Z969" s="4"/>
    </row>
    <row r="970" ht="14.25" customHeight="1">
      <c r="A970" s="2"/>
      <c r="B970" s="4"/>
      <c r="C970" s="2"/>
      <c r="D970" s="2"/>
      <c r="E970" s="4"/>
      <c r="F970" s="2"/>
      <c r="G970" s="4"/>
      <c r="H970" s="4"/>
      <c r="I970" s="4"/>
      <c r="J970" s="4"/>
      <c r="K970" s="4"/>
      <c r="L970" s="4"/>
      <c r="M970" s="4"/>
      <c r="N970" s="4"/>
      <c r="O970" s="4"/>
      <c r="P970" s="4"/>
      <c r="Q970" s="4"/>
      <c r="R970" s="4"/>
      <c r="S970" s="4"/>
      <c r="T970" s="4"/>
      <c r="U970" s="4"/>
      <c r="V970" s="4"/>
      <c r="W970" s="4"/>
      <c r="X970" s="4"/>
      <c r="Y970" s="4"/>
      <c r="Z970" s="4"/>
    </row>
    <row r="971" ht="14.25" customHeight="1">
      <c r="A971" s="2"/>
      <c r="B971" s="4"/>
      <c r="C971" s="2"/>
      <c r="D971" s="2"/>
      <c r="E971" s="4"/>
      <c r="F971" s="2"/>
      <c r="G971" s="4"/>
      <c r="H971" s="4"/>
      <c r="I971" s="4"/>
      <c r="J971" s="4"/>
      <c r="K971" s="4"/>
      <c r="L971" s="4"/>
      <c r="M971" s="4"/>
      <c r="N971" s="4"/>
      <c r="O971" s="4"/>
      <c r="P971" s="4"/>
      <c r="Q971" s="4"/>
      <c r="R971" s="4"/>
      <c r="S971" s="4"/>
      <c r="T971" s="4"/>
      <c r="U971" s="4"/>
      <c r="V971" s="4"/>
      <c r="W971" s="4"/>
      <c r="X971" s="4"/>
      <c r="Y971" s="4"/>
      <c r="Z971" s="4"/>
    </row>
    <row r="972" ht="14.25" customHeight="1">
      <c r="A972" s="2"/>
      <c r="B972" s="4"/>
      <c r="C972" s="2"/>
      <c r="D972" s="2"/>
      <c r="E972" s="4"/>
      <c r="F972" s="2"/>
      <c r="G972" s="4"/>
      <c r="H972" s="4"/>
      <c r="I972" s="4"/>
      <c r="J972" s="4"/>
      <c r="K972" s="4"/>
      <c r="L972" s="4"/>
      <c r="M972" s="4"/>
      <c r="N972" s="4"/>
      <c r="O972" s="4"/>
      <c r="P972" s="4"/>
      <c r="Q972" s="4"/>
      <c r="R972" s="4"/>
      <c r="S972" s="4"/>
      <c r="T972" s="4"/>
      <c r="U972" s="4"/>
      <c r="V972" s="4"/>
      <c r="W972" s="4"/>
      <c r="X972" s="4"/>
      <c r="Y972" s="4"/>
      <c r="Z972" s="4"/>
    </row>
    <row r="973" ht="14.25" customHeight="1">
      <c r="A973" s="2"/>
      <c r="B973" s="4"/>
      <c r="C973" s="2"/>
      <c r="D973" s="2"/>
      <c r="E973" s="4"/>
      <c r="F973" s="2"/>
      <c r="G973" s="4"/>
      <c r="H973" s="4"/>
      <c r="I973" s="4"/>
      <c r="J973" s="4"/>
      <c r="K973" s="4"/>
      <c r="L973" s="4"/>
      <c r="M973" s="4"/>
      <c r="N973" s="4"/>
      <c r="O973" s="4"/>
      <c r="P973" s="4"/>
      <c r="Q973" s="4"/>
      <c r="R973" s="4"/>
      <c r="S973" s="4"/>
      <c r="T973" s="4"/>
      <c r="U973" s="4"/>
      <c r="V973" s="4"/>
      <c r="W973" s="4"/>
      <c r="X973" s="4"/>
      <c r="Y973" s="4"/>
      <c r="Z973" s="4"/>
    </row>
    <row r="974" ht="14.25" customHeight="1">
      <c r="A974" s="2"/>
      <c r="B974" s="4"/>
      <c r="C974" s="2"/>
      <c r="D974" s="2"/>
      <c r="E974" s="4"/>
      <c r="F974" s="2"/>
      <c r="G974" s="4"/>
      <c r="H974" s="4"/>
      <c r="I974" s="4"/>
      <c r="J974" s="4"/>
      <c r="K974" s="4"/>
      <c r="L974" s="4"/>
      <c r="M974" s="4"/>
      <c r="N974" s="4"/>
      <c r="O974" s="4"/>
      <c r="P974" s="4"/>
      <c r="Q974" s="4"/>
      <c r="R974" s="4"/>
      <c r="S974" s="4"/>
      <c r="T974" s="4"/>
      <c r="U974" s="4"/>
      <c r="V974" s="4"/>
      <c r="W974" s="4"/>
      <c r="X974" s="4"/>
      <c r="Y974" s="4"/>
      <c r="Z974" s="4"/>
    </row>
    <row r="975" ht="14.25" customHeight="1">
      <c r="A975" s="2"/>
      <c r="B975" s="4"/>
      <c r="C975" s="2"/>
      <c r="D975" s="2"/>
      <c r="E975" s="4"/>
      <c r="F975" s="2"/>
      <c r="G975" s="4"/>
      <c r="H975" s="4"/>
      <c r="I975" s="4"/>
      <c r="J975" s="4"/>
      <c r="K975" s="4"/>
      <c r="L975" s="4"/>
      <c r="M975" s="4"/>
      <c r="N975" s="4"/>
      <c r="O975" s="4"/>
      <c r="P975" s="4"/>
      <c r="Q975" s="4"/>
      <c r="R975" s="4"/>
      <c r="S975" s="4"/>
      <c r="T975" s="4"/>
      <c r="U975" s="4"/>
      <c r="V975" s="4"/>
      <c r="W975" s="4"/>
      <c r="X975" s="4"/>
      <c r="Y975" s="4"/>
      <c r="Z975" s="4"/>
    </row>
    <row r="976" ht="14.25" customHeight="1">
      <c r="A976" s="2"/>
      <c r="B976" s="4"/>
      <c r="C976" s="2"/>
      <c r="D976" s="2"/>
      <c r="E976" s="4"/>
      <c r="F976" s="2"/>
      <c r="G976" s="4"/>
      <c r="H976" s="4"/>
      <c r="I976" s="4"/>
      <c r="J976" s="4"/>
      <c r="K976" s="4"/>
      <c r="L976" s="4"/>
      <c r="M976" s="4"/>
      <c r="N976" s="4"/>
      <c r="O976" s="4"/>
      <c r="P976" s="4"/>
      <c r="Q976" s="4"/>
      <c r="R976" s="4"/>
      <c r="S976" s="4"/>
      <c r="T976" s="4"/>
      <c r="U976" s="4"/>
      <c r="V976" s="4"/>
      <c r="W976" s="4"/>
      <c r="X976" s="4"/>
      <c r="Y976" s="4"/>
      <c r="Z976" s="4"/>
    </row>
    <row r="977" ht="14.25" customHeight="1">
      <c r="A977" s="2"/>
      <c r="B977" s="4"/>
      <c r="C977" s="2"/>
      <c r="D977" s="2"/>
      <c r="E977" s="4"/>
      <c r="F977" s="2"/>
      <c r="G977" s="4"/>
      <c r="H977" s="4"/>
      <c r="I977" s="4"/>
      <c r="J977" s="4"/>
      <c r="K977" s="4"/>
      <c r="L977" s="4"/>
      <c r="M977" s="4"/>
      <c r="N977" s="4"/>
      <c r="O977" s="4"/>
      <c r="P977" s="4"/>
      <c r="Q977" s="4"/>
      <c r="R977" s="4"/>
      <c r="S977" s="4"/>
      <c r="T977" s="4"/>
      <c r="U977" s="4"/>
      <c r="V977" s="4"/>
      <c r="W977" s="4"/>
      <c r="X977" s="4"/>
      <c r="Y977" s="4"/>
      <c r="Z977" s="4"/>
    </row>
    <row r="978" ht="14.25" customHeight="1">
      <c r="A978" s="2"/>
      <c r="B978" s="4"/>
      <c r="C978" s="2"/>
      <c r="D978" s="2"/>
      <c r="E978" s="4"/>
      <c r="F978" s="2"/>
      <c r="G978" s="4"/>
      <c r="H978" s="4"/>
      <c r="I978" s="4"/>
      <c r="J978" s="4"/>
      <c r="K978" s="4"/>
      <c r="L978" s="4"/>
      <c r="M978" s="4"/>
      <c r="N978" s="4"/>
      <c r="O978" s="4"/>
      <c r="P978" s="4"/>
      <c r="Q978" s="4"/>
      <c r="R978" s="4"/>
      <c r="S978" s="4"/>
      <c r="T978" s="4"/>
      <c r="U978" s="4"/>
      <c r="V978" s="4"/>
      <c r="W978" s="4"/>
      <c r="X978" s="4"/>
      <c r="Y978" s="4"/>
      <c r="Z978" s="4"/>
    </row>
    <row r="979" ht="14.25" customHeight="1">
      <c r="A979" s="2"/>
      <c r="B979" s="4"/>
      <c r="C979" s="2"/>
      <c r="D979" s="2"/>
      <c r="E979" s="4"/>
      <c r="F979" s="2"/>
      <c r="G979" s="4"/>
      <c r="H979" s="4"/>
      <c r="I979" s="4"/>
      <c r="J979" s="4"/>
      <c r="K979" s="4"/>
      <c r="L979" s="4"/>
      <c r="M979" s="4"/>
      <c r="N979" s="4"/>
      <c r="O979" s="4"/>
      <c r="P979" s="4"/>
      <c r="Q979" s="4"/>
      <c r="R979" s="4"/>
      <c r="S979" s="4"/>
      <c r="T979" s="4"/>
      <c r="U979" s="4"/>
      <c r="V979" s="4"/>
      <c r="W979" s="4"/>
      <c r="X979" s="4"/>
      <c r="Y979" s="4"/>
      <c r="Z979" s="4"/>
    </row>
    <row r="980" ht="14.25" customHeight="1">
      <c r="A980" s="2"/>
      <c r="B980" s="4"/>
      <c r="C980" s="2"/>
      <c r="D980" s="2"/>
      <c r="E980" s="4"/>
      <c r="F980" s="2"/>
      <c r="G980" s="4"/>
      <c r="H980" s="4"/>
      <c r="I980" s="4"/>
      <c r="J980" s="4"/>
      <c r="K980" s="4"/>
      <c r="L980" s="4"/>
      <c r="M980" s="4"/>
      <c r="N980" s="4"/>
      <c r="O980" s="4"/>
      <c r="P980" s="4"/>
      <c r="Q980" s="4"/>
      <c r="R980" s="4"/>
      <c r="S980" s="4"/>
      <c r="T980" s="4"/>
      <c r="U980" s="4"/>
      <c r="V980" s="4"/>
      <c r="W980" s="4"/>
      <c r="X980" s="4"/>
      <c r="Y980" s="4"/>
      <c r="Z980" s="4"/>
    </row>
    <row r="981" ht="14.25" customHeight="1">
      <c r="A981" s="2"/>
      <c r="B981" s="4"/>
      <c r="C981" s="2"/>
      <c r="D981" s="2"/>
      <c r="E981" s="4"/>
      <c r="F981" s="2"/>
      <c r="G981" s="4"/>
      <c r="H981" s="4"/>
      <c r="I981" s="4"/>
      <c r="J981" s="4"/>
      <c r="K981" s="4"/>
      <c r="L981" s="4"/>
      <c r="M981" s="4"/>
      <c r="N981" s="4"/>
      <c r="O981" s="4"/>
      <c r="P981" s="4"/>
      <c r="Q981" s="4"/>
      <c r="R981" s="4"/>
      <c r="S981" s="4"/>
      <c r="T981" s="4"/>
      <c r="U981" s="4"/>
      <c r="V981" s="4"/>
      <c r="W981" s="4"/>
      <c r="X981" s="4"/>
      <c r="Y981" s="4"/>
      <c r="Z981" s="4"/>
    </row>
    <row r="982" ht="14.25" customHeight="1">
      <c r="A982" s="2"/>
      <c r="B982" s="4"/>
      <c r="C982" s="2"/>
      <c r="D982" s="2"/>
      <c r="E982" s="4"/>
      <c r="F982" s="2"/>
      <c r="G982" s="4"/>
      <c r="H982" s="4"/>
      <c r="I982" s="4"/>
      <c r="J982" s="4"/>
      <c r="K982" s="4"/>
      <c r="L982" s="4"/>
      <c r="M982" s="4"/>
      <c r="N982" s="4"/>
      <c r="O982" s="4"/>
      <c r="P982" s="4"/>
      <c r="Q982" s="4"/>
      <c r="R982" s="4"/>
      <c r="S982" s="4"/>
      <c r="T982" s="4"/>
      <c r="U982" s="4"/>
      <c r="V982" s="4"/>
      <c r="W982" s="4"/>
      <c r="X982" s="4"/>
      <c r="Y982" s="4"/>
      <c r="Z982" s="4"/>
    </row>
    <row r="983" ht="14.25" customHeight="1">
      <c r="A983" s="2"/>
      <c r="B983" s="4"/>
      <c r="C983" s="2"/>
      <c r="D983" s="2"/>
      <c r="E983" s="4"/>
      <c r="F983" s="2"/>
      <c r="G983" s="4"/>
      <c r="H983" s="4"/>
      <c r="I983" s="4"/>
      <c r="J983" s="4"/>
      <c r="K983" s="4"/>
      <c r="L983" s="4"/>
      <c r="M983" s="4"/>
      <c r="N983" s="4"/>
      <c r="O983" s="4"/>
      <c r="P983" s="4"/>
      <c r="Q983" s="4"/>
      <c r="R983" s="4"/>
      <c r="S983" s="4"/>
      <c r="T983" s="4"/>
      <c r="U983" s="4"/>
      <c r="V983" s="4"/>
      <c r="W983" s="4"/>
      <c r="X983" s="4"/>
      <c r="Y983" s="4"/>
      <c r="Z983" s="4"/>
    </row>
    <row r="984" ht="14.25" customHeight="1">
      <c r="A984" s="2"/>
      <c r="B984" s="4"/>
      <c r="C984" s="2"/>
      <c r="D984" s="2"/>
      <c r="E984" s="4"/>
      <c r="F984" s="2"/>
      <c r="G984" s="4"/>
      <c r="H984" s="4"/>
      <c r="I984" s="4"/>
      <c r="J984" s="4"/>
      <c r="K984" s="4"/>
      <c r="L984" s="4"/>
      <c r="M984" s="4"/>
      <c r="N984" s="4"/>
      <c r="O984" s="4"/>
      <c r="P984" s="4"/>
      <c r="Q984" s="4"/>
      <c r="R984" s="4"/>
      <c r="S984" s="4"/>
      <c r="T984" s="4"/>
      <c r="U984" s="4"/>
      <c r="V984" s="4"/>
      <c r="W984" s="4"/>
      <c r="X984" s="4"/>
      <c r="Y984" s="4"/>
      <c r="Z984" s="4"/>
    </row>
    <row r="985" ht="14.25" customHeight="1">
      <c r="A985" s="2"/>
      <c r="B985" s="4"/>
      <c r="C985" s="2"/>
      <c r="D985" s="2"/>
      <c r="E985" s="4"/>
      <c r="F985" s="2"/>
      <c r="G985" s="4"/>
      <c r="H985" s="4"/>
      <c r="I985" s="4"/>
      <c r="J985" s="4"/>
      <c r="K985" s="4"/>
      <c r="L985" s="4"/>
      <c r="M985" s="4"/>
      <c r="N985" s="4"/>
      <c r="O985" s="4"/>
      <c r="P985" s="4"/>
      <c r="Q985" s="4"/>
      <c r="R985" s="4"/>
      <c r="S985" s="4"/>
      <c r="T985" s="4"/>
      <c r="U985" s="4"/>
      <c r="V985" s="4"/>
      <c r="W985" s="4"/>
      <c r="X985" s="4"/>
      <c r="Y985" s="4"/>
      <c r="Z985" s="4"/>
    </row>
    <row r="986" ht="14.25" customHeight="1">
      <c r="A986" s="2"/>
      <c r="B986" s="4"/>
      <c r="C986" s="2"/>
      <c r="D986" s="2"/>
      <c r="E986" s="4"/>
      <c r="F986" s="2"/>
      <c r="G986" s="4"/>
      <c r="H986" s="4"/>
      <c r="I986" s="4"/>
      <c r="J986" s="4"/>
      <c r="K986" s="4"/>
      <c r="L986" s="4"/>
      <c r="M986" s="4"/>
      <c r="N986" s="4"/>
      <c r="O986" s="4"/>
      <c r="P986" s="4"/>
      <c r="Q986" s="4"/>
      <c r="R986" s="4"/>
      <c r="S986" s="4"/>
      <c r="T986" s="4"/>
      <c r="U986" s="4"/>
      <c r="V986" s="4"/>
      <c r="W986" s="4"/>
      <c r="X986" s="4"/>
      <c r="Y986" s="4"/>
      <c r="Z986" s="4"/>
    </row>
    <row r="987" ht="14.25" customHeight="1">
      <c r="A987" s="2"/>
      <c r="B987" s="4"/>
      <c r="C987" s="2"/>
      <c r="D987" s="2"/>
      <c r="E987" s="4"/>
      <c r="F987" s="2"/>
      <c r="G987" s="4"/>
      <c r="H987" s="4"/>
      <c r="I987" s="4"/>
      <c r="J987" s="4"/>
      <c r="K987" s="4"/>
      <c r="L987" s="4"/>
      <c r="M987" s="4"/>
      <c r="N987" s="4"/>
      <c r="O987" s="4"/>
      <c r="P987" s="4"/>
      <c r="Q987" s="4"/>
      <c r="R987" s="4"/>
      <c r="S987" s="4"/>
      <c r="T987" s="4"/>
      <c r="U987" s="4"/>
      <c r="V987" s="4"/>
      <c r="W987" s="4"/>
      <c r="X987" s="4"/>
      <c r="Y987" s="4"/>
      <c r="Z987" s="4"/>
    </row>
    <row r="988" ht="14.25" customHeight="1">
      <c r="A988" s="2"/>
      <c r="B988" s="4"/>
      <c r="C988" s="2"/>
      <c r="D988" s="2"/>
      <c r="E988" s="4"/>
      <c r="F988" s="2"/>
      <c r="G988" s="4"/>
      <c r="H988" s="4"/>
      <c r="I988" s="4"/>
      <c r="J988" s="4"/>
      <c r="K988" s="4"/>
      <c r="L988" s="4"/>
      <c r="M988" s="4"/>
      <c r="N988" s="4"/>
      <c r="O988" s="4"/>
      <c r="P988" s="4"/>
      <c r="Q988" s="4"/>
      <c r="R988" s="4"/>
      <c r="S988" s="4"/>
      <c r="T988" s="4"/>
      <c r="U988" s="4"/>
      <c r="V988" s="4"/>
      <c r="W988" s="4"/>
      <c r="X988" s="4"/>
      <c r="Y988" s="4"/>
      <c r="Z988" s="4"/>
    </row>
    <row r="989" ht="14.25" customHeight="1">
      <c r="A989" s="2"/>
      <c r="B989" s="4"/>
      <c r="C989" s="2"/>
      <c r="D989" s="2"/>
      <c r="E989" s="4"/>
      <c r="F989" s="2"/>
      <c r="G989" s="4"/>
      <c r="H989" s="4"/>
      <c r="I989" s="4"/>
      <c r="J989" s="4"/>
      <c r="K989" s="4"/>
      <c r="L989" s="4"/>
      <c r="M989" s="4"/>
      <c r="N989" s="4"/>
      <c r="O989" s="4"/>
      <c r="P989" s="4"/>
      <c r="Q989" s="4"/>
      <c r="R989" s="4"/>
      <c r="S989" s="4"/>
      <c r="T989" s="4"/>
      <c r="U989" s="4"/>
      <c r="V989" s="4"/>
      <c r="W989" s="4"/>
      <c r="X989" s="4"/>
      <c r="Y989" s="4"/>
      <c r="Z989" s="4"/>
    </row>
    <row r="990" ht="14.25" customHeight="1">
      <c r="A990" s="2"/>
      <c r="B990" s="4"/>
      <c r="C990" s="2"/>
      <c r="D990" s="2"/>
      <c r="E990" s="4"/>
      <c r="F990" s="2"/>
      <c r="G990" s="4"/>
      <c r="H990" s="4"/>
      <c r="I990" s="4"/>
      <c r="J990" s="4"/>
      <c r="K990" s="4"/>
      <c r="L990" s="4"/>
      <c r="M990" s="4"/>
      <c r="N990" s="4"/>
      <c r="O990" s="4"/>
      <c r="P990" s="4"/>
      <c r="Q990" s="4"/>
      <c r="R990" s="4"/>
      <c r="S990" s="4"/>
      <c r="T990" s="4"/>
      <c r="U990" s="4"/>
      <c r="V990" s="4"/>
      <c r="W990" s="4"/>
      <c r="X990" s="4"/>
      <c r="Y990" s="4"/>
      <c r="Z990" s="4"/>
    </row>
    <row r="991" ht="14.25" customHeight="1">
      <c r="A991" s="2"/>
      <c r="B991" s="4"/>
      <c r="C991" s="2"/>
      <c r="D991" s="2"/>
      <c r="E991" s="4"/>
      <c r="F991" s="2"/>
      <c r="G991" s="4"/>
      <c r="H991" s="4"/>
      <c r="I991" s="4"/>
      <c r="J991" s="4"/>
      <c r="K991" s="4"/>
      <c r="L991" s="4"/>
      <c r="M991" s="4"/>
      <c r="N991" s="4"/>
      <c r="O991" s="4"/>
      <c r="P991" s="4"/>
      <c r="Q991" s="4"/>
      <c r="R991" s="4"/>
      <c r="S991" s="4"/>
      <c r="T991" s="4"/>
      <c r="U991" s="4"/>
      <c r="V991" s="4"/>
      <c r="W991" s="4"/>
      <c r="X991" s="4"/>
      <c r="Y991" s="4"/>
      <c r="Z991" s="4"/>
    </row>
    <row r="992" ht="14.25" customHeight="1">
      <c r="A992" s="2"/>
      <c r="B992" s="4"/>
      <c r="C992" s="2"/>
      <c r="D992" s="2"/>
      <c r="E992" s="4"/>
      <c r="F992" s="2"/>
      <c r="G992" s="4"/>
      <c r="H992" s="4"/>
      <c r="I992" s="4"/>
      <c r="J992" s="4"/>
      <c r="K992" s="4"/>
      <c r="L992" s="4"/>
      <c r="M992" s="4"/>
      <c r="N992" s="4"/>
      <c r="O992" s="4"/>
      <c r="P992" s="4"/>
      <c r="Q992" s="4"/>
      <c r="R992" s="4"/>
      <c r="S992" s="4"/>
      <c r="T992" s="4"/>
      <c r="U992" s="4"/>
      <c r="V992" s="4"/>
      <c r="W992" s="4"/>
      <c r="X992" s="4"/>
      <c r="Y992" s="4"/>
      <c r="Z992" s="4"/>
    </row>
    <row r="993" ht="14.25" customHeight="1">
      <c r="A993" s="2"/>
      <c r="B993" s="4"/>
      <c r="C993" s="2"/>
      <c r="D993" s="2"/>
      <c r="E993" s="4"/>
      <c r="F993" s="2"/>
      <c r="G993" s="4"/>
      <c r="H993" s="4"/>
      <c r="I993" s="4"/>
      <c r="J993" s="4"/>
      <c r="K993" s="4"/>
      <c r="L993" s="4"/>
      <c r="M993" s="4"/>
      <c r="N993" s="4"/>
      <c r="O993" s="4"/>
      <c r="P993" s="4"/>
      <c r="Q993" s="4"/>
      <c r="R993" s="4"/>
      <c r="S993" s="4"/>
      <c r="T993" s="4"/>
      <c r="U993" s="4"/>
      <c r="V993" s="4"/>
      <c r="W993" s="4"/>
      <c r="X993" s="4"/>
      <c r="Y993" s="4"/>
      <c r="Z993" s="4"/>
    </row>
    <row r="994" ht="14.25" customHeight="1">
      <c r="A994" s="2"/>
      <c r="B994" s="4"/>
      <c r="C994" s="2"/>
      <c r="D994" s="2"/>
      <c r="E994" s="4"/>
      <c r="F994" s="2"/>
      <c r="G994" s="4"/>
      <c r="H994" s="4"/>
      <c r="I994" s="4"/>
      <c r="J994" s="4"/>
      <c r="K994" s="4"/>
      <c r="L994" s="4"/>
      <c r="M994" s="4"/>
      <c r="N994" s="4"/>
      <c r="O994" s="4"/>
      <c r="P994" s="4"/>
      <c r="Q994" s="4"/>
      <c r="R994" s="4"/>
      <c r="S994" s="4"/>
      <c r="T994" s="4"/>
      <c r="U994" s="4"/>
      <c r="V994" s="4"/>
      <c r="W994" s="4"/>
      <c r="X994" s="4"/>
      <c r="Y994" s="4"/>
      <c r="Z994" s="4"/>
    </row>
    <row r="995" ht="14.25" customHeight="1">
      <c r="A995" s="2"/>
      <c r="B995" s="4"/>
      <c r="C995" s="2"/>
      <c r="D995" s="2"/>
      <c r="E995" s="4"/>
      <c r="F995" s="2"/>
      <c r="G995" s="4"/>
      <c r="H995" s="4"/>
      <c r="I995" s="4"/>
      <c r="J995" s="4"/>
      <c r="K995" s="4"/>
      <c r="L995" s="4"/>
      <c r="M995" s="4"/>
      <c r="N995" s="4"/>
      <c r="O995" s="4"/>
      <c r="P995" s="4"/>
      <c r="Q995" s="4"/>
      <c r="R995" s="4"/>
      <c r="S995" s="4"/>
      <c r="T995" s="4"/>
      <c r="U995" s="4"/>
      <c r="V995" s="4"/>
      <c r="W995" s="4"/>
      <c r="X995" s="4"/>
      <c r="Y995" s="4"/>
      <c r="Z995" s="4"/>
    </row>
    <row r="996" ht="14.25" customHeight="1">
      <c r="A996" s="2"/>
      <c r="B996" s="4"/>
      <c r="C996" s="2"/>
      <c r="D996" s="2"/>
      <c r="E996" s="4"/>
      <c r="F996" s="2"/>
      <c r="G996" s="4"/>
      <c r="H996" s="4"/>
      <c r="I996" s="4"/>
      <c r="J996" s="4"/>
      <c r="K996" s="4"/>
      <c r="L996" s="4"/>
      <c r="M996" s="4"/>
      <c r="N996" s="4"/>
      <c r="O996" s="4"/>
      <c r="P996" s="4"/>
      <c r="Q996" s="4"/>
      <c r="R996" s="4"/>
      <c r="S996" s="4"/>
      <c r="T996" s="4"/>
      <c r="U996" s="4"/>
      <c r="V996" s="4"/>
      <c r="W996" s="4"/>
      <c r="X996" s="4"/>
      <c r="Y996" s="4"/>
      <c r="Z996" s="4"/>
    </row>
    <row r="997" ht="14.25" customHeight="1">
      <c r="A997" s="2"/>
      <c r="B997" s="4"/>
      <c r="C997" s="2"/>
      <c r="D997" s="2"/>
      <c r="E997" s="4"/>
      <c r="F997" s="2"/>
      <c r="G997" s="4"/>
      <c r="H997" s="4"/>
      <c r="I997" s="4"/>
      <c r="J997" s="4"/>
      <c r="K997" s="4"/>
      <c r="L997" s="4"/>
      <c r="M997" s="4"/>
      <c r="N997" s="4"/>
      <c r="O997" s="4"/>
      <c r="P997" s="4"/>
      <c r="Q997" s="4"/>
      <c r="R997" s="4"/>
      <c r="S997" s="4"/>
      <c r="T997" s="4"/>
      <c r="U997" s="4"/>
      <c r="V997" s="4"/>
      <c r="W997" s="4"/>
      <c r="X997" s="4"/>
      <c r="Y997" s="4"/>
      <c r="Z997" s="4"/>
    </row>
    <row r="998" ht="14.25" customHeight="1">
      <c r="A998" s="2"/>
      <c r="B998" s="4"/>
      <c r="C998" s="2"/>
      <c r="D998" s="2"/>
      <c r="E998" s="4"/>
      <c r="F998" s="2"/>
      <c r="G998" s="4"/>
      <c r="H998" s="4"/>
      <c r="I998" s="4"/>
      <c r="J998" s="4"/>
      <c r="K998" s="4"/>
      <c r="L998" s="4"/>
      <c r="M998" s="4"/>
      <c r="N998" s="4"/>
      <c r="O998" s="4"/>
      <c r="P998" s="4"/>
      <c r="Q998" s="4"/>
      <c r="R998" s="4"/>
      <c r="S998" s="4"/>
      <c r="T998" s="4"/>
      <c r="U998" s="4"/>
      <c r="V998" s="4"/>
      <c r="W998" s="4"/>
      <c r="X998" s="4"/>
      <c r="Y998" s="4"/>
      <c r="Z998" s="4"/>
    </row>
    <row r="999" ht="14.25" customHeight="1">
      <c r="A999" s="2"/>
      <c r="B999" s="4"/>
      <c r="C999" s="2"/>
      <c r="D999" s="2"/>
      <c r="E999" s="4"/>
      <c r="F999" s="2"/>
      <c r="G999" s="4"/>
      <c r="H999" s="4"/>
      <c r="I999" s="4"/>
      <c r="J999" s="4"/>
      <c r="K999" s="4"/>
      <c r="L999" s="4"/>
      <c r="M999" s="4"/>
      <c r="N999" s="4"/>
      <c r="O999" s="4"/>
      <c r="P999" s="4"/>
      <c r="Q999" s="4"/>
      <c r="R999" s="4"/>
      <c r="S999" s="4"/>
      <c r="T999" s="4"/>
      <c r="U999" s="4"/>
      <c r="V999" s="4"/>
      <c r="W999" s="4"/>
      <c r="X999" s="4"/>
      <c r="Y999" s="4"/>
      <c r="Z999" s="4"/>
    </row>
    <row r="1000" ht="14.25" customHeight="1">
      <c r="A1000" s="2"/>
      <c r="B1000" s="4"/>
      <c r="C1000" s="2"/>
      <c r="D1000" s="2"/>
      <c r="E1000" s="4"/>
      <c r="F1000" s="2"/>
      <c r="G1000" s="4"/>
      <c r="H1000" s="4"/>
      <c r="I1000" s="4"/>
      <c r="J1000" s="4"/>
      <c r="K1000" s="4"/>
      <c r="L1000" s="4"/>
      <c r="M1000" s="4"/>
      <c r="N1000" s="4"/>
      <c r="O1000" s="4"/>
      <c r="P1000" s="4"/>
      <c r="Q1000" s="4"/>
      <c r="R1000" s="4"/>
      <c r="S1000" s="4"/>
      <c r="T1000" s="4"/>
      <c r="U1000" s="4"/>
      <c r="V1000" s="4"/>
      <c r="W1000" s="4"/>
      <c r="X1000" s="4"/>
      <c r="Y1000" s="4"/>
      <c r="Z1000" s="4"/>
    </row>
  </sheetData>
  <mergeCells count="51">
    <mergeCell ref="A2:G2"/>
    <mergeCell ref="A15:G15"/>
    <mergeCell ref="A18:C18"/>
    <mergeCell ref="D18:F18"/>
    <mergeCell ref="A19:C19"/>
    <mergeCell ref="D19:F19"/>
    <mergeCell ref="D20:F20"/>
    <mergeCell ref="E25:F25"/>
    <mergeCell ref="E26:F26"/>
    <mergeCell ref="A20:C20"/>
    <mergeCell ref="A21:C21"/>
    <mergeCell ref="D21:F21"/>
    <mergeCell ref="A22:C22"/>
    <mergeCell ref="D22:F22"/>
    <mergeCell ref="B25:C25"/>
    <mergeCell ref="B26:C26"/>
    <mergeCell ref="B30:C30"/>
    <mergeCell ref="B31:C31"/>
    <mergeCell ref="B32:C32"/>
    <mergeCell ref="B33:C33"/>
    <mergeCell ref="B34:C34"/>
    <mergeCell ref="B35:C35"/>
    <mergeCell ref="B27:C27"/>
    <mergeCell ref="E27:F27"/>
    <mergeCell ref="B28:C28"/>
    <mergeCell ref="E28:F28"/>
    <mergeCell ref="B29:C29"/>
    <mergeCell ref="E29:F29"/>
    <mergeCell ref="E30:F30"/>
    <mergeCell ref="A38:B38"/>
    <mergeCell ref="A39:B39"/>
    <mergeCell ref="A40:B40"/>
    <mergeCell ref="A41:B41"/>
    <mergeCell ref="A42:B42"/>
    <mergeCell ref="A47:B47"/>
    <mergeCell ref="A48:B48"/>
    <mergeCell ref="E39:F39"/>
    <mergeCell ref="E40:F40"/>
    <mergeCell ref="E41:F41"/>
    <mergeCell ref="E42:F42"/>
    <mergeCell ref="A43:G44"/>
    <mergeCell ref="D47:E47"/>
    <mergeCell ref="D48:E48"/>
    <mergeCell ref="A49:G50"/>
    <mergeCell ref="E31:F31"/>
    <mergeCell ref="E32:F32"/>
    <mergeCell ref="E33:F33"/>
    <mergeCell ref="E34:F34"/>
    <mergeCell ref="E35:F35"/>
    <mergeCell ref="A37:G37"/>
    <mergeCell ref="E38:F38"/>
  </mergeCells>
  <printOptions/>
  <pageMargins bottom="0.75" footer="0.0" header="0.0" left="0.25" right="0.25" top="0.75"/>
  <pageSetup fitToHeight="0" orientation="portrait"/>
  <headerFooter>
    <oddHeader>&amp;RSP-IL IDR</oddHeader>
  </headerFooter>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fitToPage="1"/>
  </sheetPr>
  <sheetViews>
    <sheetView workbookViewId="0"/>
  </sheetViews>
  <sheetFormatPr customHeight="1" defaultColWidth="14.43" defaultRowHeight="15.0"/>
  <cols>
    <col customWidth="1" min="1" max="1" width="8.57"/>
    <col customWidth="1" min="2" max="2" width="8.43"/>
    <col customWidth="1" min="3" max="3" width="14.43"/>
    <col customWidth="1" min="4" max="4" width="13.29"/>
    <col customWidth="1" min="5" max="5" width="13.43"/>
    <col customWidth="1" min="6" max="14" width="16.43"/>
    <col customWidth="1" min="15" max="26" width="8.71"/>
  </cols>
  <sheetData>
    <row r="1" ht="14.25" customHeight="1">
      <c r="A1" s="3" t="s">
        <v>0</v>
      </c>
      <c r="B1" s="5"/>
      <c r="C1" s="5"/>
      <c r="D1" s="5"/>
      <c r="E1" s="5"/>
      <c r="F1" s="5"/>
      <c r="G1" s="5"/>
      <c r="H1" s="5"/>
      <c r="I1" s="5"/>
      <c r="J1" s="5"/>
      <c r="K1" s="5"/>
      <c r="L1" s="5"/>
      <c r="M1" s="5"/>
      <c r="N1" s="8"/>
      <c r="O1" s="4"/>
      <c r="P1" s="4"/>
      <c r="Q1" s="4"/>
      <c r="R1" s="4"/>
      <c r="S1" s="4"/>
      <c r="T1" s="4"/>
      <c r="U1" s="4"/>
      <c r="V1" s="4"/>
      <c r="W1" s="4"/>
      <c r="X1" s="4"/>
      <c r="Y1" s="4"/>
      <c r="Z1" s="4"/>
    </row>
    <row r="2" ht="14.25" customHeight="1">
      <c r="A2" s="12"/>
      <c r="B2" s="14"/>
      <c r="C2" s="14"/>
      <c r="D2" s="14"/>
      <c r="E2" s="14"/>
      <c r="F2" s="16" t="s">
        <v>4</v>
      </c>
      <c r="G2" s="19"/>
      <c r="H2" s="19"/>
      <c r="I2" s="19"/>
      <c r="J2" s="19"/>
      <c r="K2" s="19"/>
      <c r="L2" s="22"/>
      <c r="M2" s="14"/>
      <c r="N2" s="23" t="s">
        <v>5</v>
      </c>
      <c r="O2" s="4"/>
      <c r="P2" s="4"/>
      <c r="Q2" s="4"/>
      <c r="R2" s="4"/>
      <c r="S2" s="4"/>
      <c r="T2" s="4"/>
      <c r="U2" s="4"/>
      <c r="V2" s="4"/>
      <c r="W2" s="4"/>
      <c r="X2" s="4"/>
      <c r="Y2" s="4"/>
      <c r="Z2" s="4"/>
    </row>
    <row r="3" ht="13.5" customHeight="1">
      <c r="A3" s="27" t="s">
        <v>9</v>
      </c>
      <c r="B3" s="27" t="s">
        <v>11</v>
      </c>
      <c r="C3" s="30" t="s">
        <v>12</v>
      </c>
      <c r="D3" s="32" t="s">
        <v>13</v>
      </c>
      <c r="E3" s="32" t="s">
        <v>15</v>
      </c>
      <c r="F3" s="36" t="s">
        <v>16</v>
      </c>
      <c r="G3" s="5"/>
      <c r="H3" s="5"/>
      <c r="I3" s="5"/>
      <c r="J3" s="5"/>
      <c r="K3" s="5"/>
      <c r="L3" s="5"/>
      <c r="M3" s="5"/>
      <c r="N3" s="8"/>
      <c r="O3" s="4"/>
      <c r="P3" s="4"/>
      <c r="Q3" s="4"/>
      <c r="R3" s="4"/>
      <c r="S3" s="4"/>
      <c r="T3" s="4"/>
      <c r="U3" s="4"/>
      <c r="V3" s="4"/>
      <c r="W3" s="4"/>
      <c r="X3" s="4"/>
      <c r="Y3" s="4"/>
      <c r="Z3" s="4"/>
    </row>
    <row r="4" ht="15.0" customHeight="1">
      <c r="A4" s="39"/>
      <c r="B4" s="39"/>
      <c r="C4" s="40"/>
      <c r="D4" s="39"/>
      <c r="E4" s="39"/>
      <c r="F4" s="36" t="s">
        <v>17</v>
      </c>
      <c r="G4" s="5"/>
      <c r="H4" s="8"/>
      <c r="I4" s="36" t="s">
        <v>19</v>
      </c>
      <c r="J4" s="5"/>
      <c r="K4" s="8"/>
      <c r="L4" s="36" t="s">
        <v>20</v>
      </c>
      <c r="M4" s="5"/>
      <c r="N4" s="8"/>
      <c r="O4" s="4"/>
      <c r="P4" s="4"/>
      <c r="Q4" s="4"/>
      <c r="R4" s="4"/>
      <c r="S4" s="4"/>
      <c r="T4" s="4"/>
      <c r="U4" s="4"/>
      <c r="V4" s="4"/>
      <c r="W4" s="4"/>
      <c r="X4" s="4"/>
      <c r="Y4" s="4"/>
      <c r="Z4" s="4"/>
    </row>
    <row r="5" ht="15.0" customHeight="1">
      <c r="A5" s="51"/>
      <c r="B5" s="51"/>
      <c r="C5" s="53"/>
      <c r="D5" s="51"/>
      <c r="E5" s="51"/>
      <c r="F5" s="54" t="s">
        <v>21</v>
      </c>
      <c r="G5" s="54" t="s">
        <v>23</v>
      </c>
      <c r="H5" s="54" t="s">
        <v>24</v>
      </c>
      <c r="I5" s="54" t="s">
        <v>21</v>
      </c>
      <c r="J5" s="54" t="s">
        <v>23</v>
      </c>
      <c r="K5" s="54" t="s">
        <v>24</v>
      </c>
      <c r="L5" s="54" t="s">
        <v>21</v>
      </c>
      <c r="M5" s="54" t="s">
        <v>23</v>
      </c>
      <c r="N5" s="54" t="s">
        <v>24</v>
      </c>
      <c r="O5" s="4"/>
      <c r="P5" s="4"/>
      <c r="Q5" s="4"/>
      <c r="R5" s="4"/>
      <c r="S5" s="4"/>
      <c r="T5" s="4"/>
      <c r="U5" s="4"/>
      <c r="V5" s="4"/>
      <c r="W5" s="4"/>
      <c r="X5" s="4"/>
      <c r="Y5" s="4"/>
      <c r="Z5" s="4"/>
    </row>
    <row r="6" ht="14.25" customHeight="1">
      <c r="A6" s="63">
        <f>output!B8</f>
        <v>1</v>
      </c>
      <c r="B6" s="67">
        <f>output!C8</f>
        <v>60</v>
      </c>
      <c r="C6" s="73">
        <f>IFERROR(output!D8/10^6,0)</f>
        <v>220.000778</v>
      </c>
      <c r="D6" s="78">
        <f>IFERROR(output!F8/10^6,0)</f>
        <v>100</v>
      </c>
      <c r="E6" s="78">
        <f>IFERROR(output!G8/10^6,0)</f>
        <v>0</v>
      </c>
      <c r="F6" s="78">
        <f>IFERROR(IF(output!P8&lt;0,"****",output!P8/10^6),0)</f>
        <v>296.613786</v>
      </c>
      <c r="G6" s="78">
        <f>IFERROR(IF(output!R8&lt;0,"****",output!R8/10^6),0)</f>
        <v>299.641919</v>
      </c>
      <c r="H6" s="78">
        <f>IFERROR(IF(output!T8&lt;0,"****",output!T8/10^6),0)</f>
        <v>319.480189</v>
      </c>
      <c r="I6" s="78">
        <f>IFERROR(IF(output!P8&lt;0,"****",output!$U8/10^6),0)</f>
        <v>626.614953</v>
      </c>
      <c r="J6" s="78">
        <f>IFERROR(IF(output!R8&lt;0,"****",output!$V8/10^6),0)</f>
        <v>629.643086</v>
      </c>
      <c r="K6" s="78">
        <f>IFERROR(IF(output!T8&lt;0,"****",output!$W8/10^6),0)</f>
        <v>649.481356</v>
      </c>
      <c r="L6" s="78">
        <f>IFERROR(IF(output!P8&lt;0,"****",output!$X8/10^6),0)</f>
        <v>281.7830967</v>
      </c>
      <c r="M6" s="78">
        <f>IFERROR(IF(output!R8&lt;0,"****",output!$Y8/10^6),0)</f>
        <v>284.6598231</v>
      </c>
      <c r="N6" s="78">
        <f>IFERROR(IF(output!T8&lt;0,"****",output!$Z8/10^6),0)</f>
        <v>303.5061796</v>
      </c>
      <c r="O6" s="4"/>
      <c r="P6" s="4"/>
      <c r="Q6" s="4"/>
      <c r="R6" s="4"/>
      <c r="S6" s="4"/>
      <c r="T6" s="4"/>
      <c r="U6" s="4"/>
      <c r="V6" s="4"/>
      <c r="W6" s="4"/>
      <c r="X6" s="4"/>
      <c r="Y6" s="4"/>
      <c r="Z6" s="4"/>
    </row>
    <row r="7" ht="14.25" customHeight="1">
      <c r="A7" s="63">
        <f>output!B9</f>
        <v>2</v>
      </c>
      <c r="B7" s="67">
        <f>output!C9</f>
        <v>61</v>
      </c>
      <c r="C7" s="73">
        <f>IFERROR(output!D9/10^6,0)</f>
        <v>0</v>
      </c>
      <c r="D7" s="78">
        <f>IFERROR(output!F9/10^6,0)</f>
        <v>0</v>
      </c>
      <c r="E7" s="78">
        <f>IFERROR(output!G9/10^6,0)</f>
        <v>0</v>
      </c>
      <c r="F7" s="78">
        <f>IFERROR(IF(output!P9&lt;0,"****",output!P9/10^6),0)</f>
        <v>287.301001</v>
      </c>
      <c r="G7" s="78">
        <f>IFERROR(IF(output!R9&lt;0,"****",output!R9/10^6),0)</f>
        <v>293.263299</v>
      </c>
      <c r="H7" s="78">
        <f>IFERROR(IF(output!T9&lt;0,"****",output!T9/10^6),0)</f>
        <v>333.893214</v>
      </c>
      <c r="I7" s="78">
        <f>IFERROR(IF(output!P9&lt;0,"****",output!$U9/10^6),0)</f>
        <v>617.302168</v>
      </c>
      <c r="J7" s="78">
        <f>IFERROR(IF(output!R9&lt;0,"****",output!$V9/10^6),0)</f>
        <v>623.264466</v>
      </c>
      <c r="K7" s="78">
        <f>IFERROR(IF(output!T9&lt;0,"****",output!$W9/10^6),0)</f>
        <v>663.894381</v>
      </c>
      <c r="L7" s="78">
        <f>IFERROR(IF(output!P9&lt;0,"****",output!$X9/10^6),0)</f>
        <v>275.808961</v>
      </c>
      <c r="M7" s="78">
        <f>IFERROR(IF(output!R9&lt;0,"****",output!$Y9/10^6),0)</f>
        <v>281.532767</v>
      </c>
      <c r="N7" s="78">
        <f>IFERROR(IF(output!T9&lt;0,"****",output!$Z9/10^6),0)</f>
        <v>320.5374854</v>
      </c>
      <c r="O7" s="4"/>
      <c r="P7" s="4"/>
      <c r="Q7" s="4"/>
      <c r="R7" s="4"/>
      <c r="S7" s="4"/>
      <c r="T7" s="4"/>
      <c r="U7" s="4"/>
      <c r="V7" s="4"/>
      <c r="W7" s="4"/>
      <c r="X7" s="4"/>
      <c r="Y7" s="4"/>
      <c r="Z7" s="4"/>
    </row>
    <row r="8" ht="14.25" customHeight="1">
      <c r="A8" s="63">
        <f>output!B10</f>
        <v>3</v>
      </c>
      <c r="B8" s="67">
        <f>output!C10</f>
        <v>62</v>
      </c>
      <c r="C8" s="73">
        <f>IFERROR(output!D10/10^6,0)</f>
        <v>0</v>
      </c>
      <c r="D8" s="78">
        <f>IFERROR(output!F10/10^6,0)</f>
        <v>0</v>
      </c>
      <c r="E8" s="78">
        <f>IFERROR(output!G10/10^6,0)</f>
        <v>0</v>
      </c>
      <c r="F8" s="78">
        <f>IFERROR(IF(output!P10&lt;0,"****",output!P10/10^6),0)</f>
        <v>278.061642</v>
      </c>
      <c r="G8" s="78">
        <f>IFERROR(IF(output!R10&lt;0,"****",output!R10/10^6),0)</f>
        <v>286.864878</v>
      </c>
      <c r="H8" s="78">
        <f>IFERROR(IF(output!T10&lt;0,"****",output!T10/10^6),0)</f>
        <v>349.30818</v>
      </c>
      <c r="I8" s="78">
        <f>IFERROR(IF(output!P10&lt;0,"****",output!$U10/10^6),0)</f>
        <v>608.062809</v>
      </c>
      <c r="J8" s="78">
        <f>IFERROR(IF(output!R10&lt;0,"****",output!$V10/10^6),0)</f>
        <v>616.866045</v>
      </c>
      <c r="K8" s="78">
        <f>IFERROR(IF(output!T10&lt;0,"****",output!$W10/10^6),0)</f>
        <v>679.309347</v>
      </c>
      <c r="L8" s="78">
        <f>IFERROR(IF(output!P10&lt;0,"****",output!$X10/10^6),0)</f>
        <v>269.7197927</v>
      </c>
      <c r="M8" s="78">
        <f>IFERROR(IF(output!R10&lt;0,"****",output!$Y10/10^6),0)</f>
        <v>278.2589317</v>
      </c>
      <c r="N8" s="78">
        <f>IFERROR(IF(output!T10&lt;0,"****",output!$Z10/10^6),0)</f>
        <v>338.8289346</v>
      </c>
      <c r="O8" s="4"/>
      <c r="P8" s="4"/>
      <c r="Q8" s="4"/>
      <c r="R8" s="4"/>
      <c r="S8" s="4"/>
      <c r="T8" s="4"/>
      <c r="U8" s="4"/>
      <c r="V8" s="4"/>
      <c r="W8" s="4"/>
      <c r="X8" s="4"/>
      <c r="Y8" s="4"/>
      <c r="Z8" s="4"/>
    </row>
    <row r="9" ht="14.25" customHeight="1">
      <c r="A9" s="63">
        <f>output!B11</f>
        <v>4</v>
      </c>
      <c r="B9" s="67">
        <f>output!C11</f>
        <v>63</v>
      </c>
      <c r="C9" s="73">
        <f>IFERROR(output!D11/10^6,0)</f>
        <v>0</v>
      </c>
      <c r="D9" s="78">
        <f>IFERROR(output!F11/10^6,0)</f>
        <v>0</v>
      </c>
      <c r="E9" s="78">
        <f>IFERROR(output!G11/10^6,0)</f>
        <v>0</v>
      </c>
      <c r="F9" s="78">
        <f>IFERROR(IF(output!P11&lt;0,"****",output!P11/10^6),0)</f>
        <v>268.894975</v>
      </c>
      <c r="G9" s="78">
        <f>IFERROR(IF(output!R11&lt;0,"****",output!R11/10^6),0)</f>
        <v>280.446657</v>
      </c>
      <c r="H9" s="78">
        <f>IFERROR(IF(output!T11&lt;0,"****",output!T11/10^6),0)</f>
        <v>365.798568</v>
      </c>
      <c r="I9" s="78">
        <f>IFERROR(IF(output!P11&lt;0,"****",output!$U11/10^6),0)</f>
        <v>598.896142</v>
      </c>
      <c r="J9" s="78">
        <f>IFERROR(IF(output!R11&lt;0,"****",output!$V11/10^6),0)</f>
        <v>610.447824</v>
      </c>
      <c r="K9" s="78">
        <f>IFERROR(IF(output!T11&lt;0,"****",output!$W11/10^6),0)</f>
        <v>695.799735</v>
      </c>
      <c r="L9" s="78">
        <f>IFERROR(IF(output!P11&lt;0,"****",output!$X11/10^6),0)</f>
        <v>263.5170755</v>
      </c>
      <c r="M9" s="78">
        <f>IFERROR(IF(output!R11&lt;0,"****",output!$Y11/10^6),0)</f>
        <v>274.8377239</v>
      </c>
      <c r="N9" s="78">
        <f>IFERROR(IF(output!T11&lt;0,"****",output!$Z11/10^6),0)</f>
        <v>358.4825966</v>
      </c>
      <c r="O9" s="4"/>
      <c r="P9" s="4"/>
      <c r="Q9" s="4"/>
      <c r="R9" s="4"/>
      <c r="S9" s="4"/>
      <c r="T9" s="4"/>
      <c r="U9" s="4"/>
      <c r="V9" s="4"/>
      <c r="W9" s="4"/>
      <c r="X9" s="4"/>
      <c r="Y9" s="4"/>
      <c r="Z9" s="4"/>
    </row>
    <row r="10" ht="14.25" customHeight="1">
      <c r="A10" s="63">
        <f>output!B12</f>
        <v>5</v>
      </c>
      <c r="B10" s="67">
        <f>output!C12</f>
        <v>64</v>
      </c>
      <c r="C10" s="73">
        <f>IFERROR(output!D12/10^6,0)</f>
        <v>0</v>
      </c>
      <c r="D10" s="78">
        <f>IFERROR(output!F12/10^6,0)</f>
        <v>0</v>
      </c>
      <c r="E10" s="78">
        <f>IFERROR(output!G12/10^6,0)</f>
        <v>0</v>
      </c>
      <c r="F10" s="78">
        <f>IFERROR(IF(output!P12&lt;0,"****",output!P12/10^6),0)</f>
        <v>259.800275</v>
      </c>
      <c r="G10" s="78">
        <f>IFERROR(IF(output!R12&lt;0,"****",output!R12/10^6),0)</f>
        <v>274.008636</v>
      </c>
      <c r="H10" s="78">
        <f>IFERROR(IF(output!T12&lt;0,"****",output!T12/10^6),0)</f>
        <v>383.443363</v>
      </c>
      <c r="I10" s="78">
        <f>IFERROR(IF(output!P12&lt;0,"****",output!$U12/10^6),0)</f>
        <v>589.801442</v>
      </c>
      <c r="J10" s="78">
        <f>IFERROR(IF(output!R12&lt;0,"****",output!$V12/10^6),0)</f>
        <v>604.009803</v>
      </c>
      <c r="K10" s="78">
        <f>IFERROR(IF(output!T12&lt;0,"****",output!$W12/10^6),0)</f>
        <v>713.44453</v>
      </c>
      <c r="L10" s="78">
        <f>IFERROR(IF(output!P12&lt;0,"****",output!$X12/10^6),0)</f>
        <v>257.2022723</v>
      </c>
      <c r="M10" s="78">
        <f>IFERROR(IF(output!R12&lt;0,"****",output!$Y12/10^6),0)</f>
        <v>271.2685496</v>
      </c>
      <c r="N10" s="78">
        <f>IFERROR(IF(output!T12&lt;0,"****",output!$Z12/10^6),0)</f>
        <v>379.6089294</v>
      </c>
      <c r="O10" s="4"/>
      <c r="P10" s="4"/>
      <c r="Q10" s="4"/>
      <c r="R10" s="4"/>
      <c r="S10" s="4"/>
      <c r="T10" s="4"/>
      <c r="U10" s="4"/>
      <c r="V10" s="4"/>
      <c r="W10" s="4"/>
      <c r="X10" s="4"/>
      <c r="Y10" s="4"/>
      <c r="Z10" s="4"/>
    </row>
    <row r="11" ht="14.25" customHeight="1">
      <c r="A11" s="63">
        <f>output!B13</f>
        <v>6</v>
      </c>
      <c r="B11" s="67">
        <f>output!C13</f>
        <v>65</v>
      </c>
      <c r="C11" s="73">
        <f>IFERROR(output!D13/10^6,0)</f>
        <v>0</v>
      </c>
      <c r="D11" s="78">
        <f>IFERROR(output!F13/10^6,0)</f>
        <v>0</v>
      </c>
      <c r="E11" s="78">
        <f>IFERROR(output!G13/10^6,0)</f>
        <v>0</v>
      </c>
      <c r="F11" s="78">
        <f>IFERROR(IF(output!P13&lt;0,"****",output!P13/10^6),0)</f>
        <v>251.052632</v>
      </c>
      <c r="G11" s="78">
        <f>IFERROR(IF(output!R13&lt;0,"****",output!R13/10^6),0)</f>
        <v>267.828016</v>
      </c>
      <c r="H11" s="78">
        <f>IFERROR(IF(output!T13&lt;0,"****",output!T13/10^6),0)</f>
        <v>402.613599</v>
      </c>
      <c r="I11" s="78">
        <f>IFERROR(IF(output!P13&lt;0,"****",output!$U13/10^6),0)</f>
        <v>581.053799</v>
      </c>
      <c r="J11" s="78">
        <f>IFERROR(IF(output!R13&lt;0,"****",output!$V13/10^6),0)</f>
        <v>597.829183</v>
      </c>
      <c r="K11" s="78">
        <f>IFERROR(IF(output!T13&lt;0,"****",output!$W13/10^6),0)</f>
        <v>732.614766</v>
      </c>
      <c r="L11" s="78">
        <f>IFERROR(IF(output!P13&lt;0,"****",output!$X13/10^6),0)</f>
        <v>251.052632</v>
      </c>
      <c r="M11" s="78">
        <f>IFERROR(IF(output!R13&lt;0,"****",output!$Y13/10^6),0)</f>
        <v>267.828016</v>
      </c>
      <c r="N11" s="78">
        <f>IFERROR(IF(output!T13&lt;0,"****",output!$Z13/10^6),0)</f>
        <v>402.613599</v>
      </c>
      <c r="O11" s="4"/>
      <c r="P11" s="4"/>
      <c r="Q11" s="4"/>
      <c r="R11" s="4"/>
      <c r="S11" s="4"/>
      <c r="T11" s="4"/>
      <c r="U11" s="4"/>
      <c r="V11" s="4"/>
      <c r="W11" s="4"/>
      <c r="X11" s="4"/>
      <c r="Y11" s="4"/>
      <c r="Z11" s="4"/>
    </row>
    <row r="12" ht="14.25" customHeight="1">
      <c r="A12" s="63">
        <f>output!B14</f>
        <v>7</v>
      </c>
      <c r="B12" s="67">
        <f>output!C14</f>
        <v>66</v>
      </c>
      <c r="C12" s="73">
        <f>IFERROR(output!D14/10^6,0)</f>
        <v>0</v>
      </c>
      <c r="D12" s="78">
        <f>IFERROR(output!F14/10^6,0)</f>
        <v>0</v>
      </c>
      <c r="E12" s="78">
        <f>IFERROR(output!G14/10^6,0)</f>
        <v>0</v>
      </c>
      <c r="F12" s="78">
        <f>IFERROR(IF(output!P14&lt;0,"****",output!P14/10^6),0)</f>
        <v>242.120592</v>
      </c>
      <c r="G12" s="78">
        <f>IFERROR(IF(output!R14&lt;0,"****",output!R14/10^6),0)</f>
        <v>261.374155</v>
      </c>
      <c r="H12" s="78">
        <f>IFERROR(IF(output!T14&lt;0,"****",output!T14/10^6),0)</f>
        <v>422.871599</v>
      </c>
      <c r="I12" s="78">
        <f>IFERROR(IF(output!P14&lt;0,"****",output!$U14/10^6),0)</f>
        <v>572.121759</v>
      </c>
      <c r="J12" s="78">
        <f>IFERROR(IF(output!R14&lt;0,"****",output!$V14/10^6),0)</f>
        <v>591.375322</v>
      </c>
      <c r="K12" s="78">
        <f>IFERROR(IF(output!T14&lt;0,"****",output!$W14/10^6),0)</f>
        <v>752.872766</v>
      </c>
      <c r="L12" s="78">
        <f>IFERROR(IF(output!P14&lt;0,"****",output!$X14/10^6),0)</f>
        <v>242.120592</v>
      </c>
      <c r="M12" s="78">
        <f>IFERROR(IF(output!R14&lt;0,"****",output!$Y14/10^6),0)</f>
        <v>261.374155</v>
      </c>
      <c r="N12" s="78">
        <f>IFERROR(IF(output!T14&lt;0,"****",output!$Z14/10^6),0)</f>
        <v>422.871599</v>
      </c>
      <c r="O12" s="4"/>
      <c r="P12" s="4"/>
      <c r="Q12" s="4"/>
      <c r="R12" s="4"/>
      <c r="S12" s="4"/>
      <c r="T12" s="4"/>
      <c r="U12" s="4"/>
      <c r="V12" s="4"/>
      <c r="W12" s="4"/>
      <c r="X12" s="4"/>
      <c r="Y12" s="4"/>
      <c r="Z12" s="4"/>
    </row>
    <row r="13" ht="14.25" customHeight="1">
      <c r="A13" s="63">
        <f>output!B15</f>
        <v>8</v>
      </c>
      <c r="B13" s="67">
        <f>output!C15</f>
        <v>67</v>
      </c>
      <c r="C13" s="73">
        <f>IFERROR(output!D15/10^6,0)</f>
        <v>0</v>
      </c>
      <c r="D13" s="78">
        <f>IFERROR(output!F15/10^6,0)</f>
        <v>0</v>
      </c>
      <c r="E13" s="78">
        <f>IFERROR(output!G15/10^6,0)</f>
        <v>0</v>
      </c>
      <c r="F13" s="78">
        <f>IFERROR(IF(output!P15&lt;0,"****",output!P15/10^6),0)</f>
        <v>232.966601</v>
      </c>
      <c r="G13" s="78">
        <f>IFERROR(IF(output!R15&lt;0,"****",output!R15/10^6),0)</f>
        <v>254.607452</v>
      </c>
      <c r="H13" s="78">
        <f>IFERROR(IF(output!T15&lt;0,"****",output!T15/10^6),0)</f>
        <v>444.258754</v>
      </c>
      <c r="I13" s="78">
        <f>IFERROR(IF(output!P15&lt;0,"****",output!$U15/10^6),0)</f>
        <v>562.967768</v>
      </c>
      <c r="J13" s="78">
        <f>IFERROR(IF(output!R15&lt;0,"****",output!$V15/10^6),0)</f>
        <v>584.608619</v>
      </c>
      <c r="K13" s="78">
        <f>IFERROR(IF(output!T15&lt;0,"****",output!$W15/10^6),0)</f>
        <v>774.259921</v>
      </c>
      <c r="L13" s="78">
        <f>IFERROR(IF(output!P15&lt;0,"****",output!$X15/10^6),0)</f>
        <v>232.966601</v>
      </c>
      <c r="M13" s="78">
        <f>IFERROR(IF(output!R15&lt;0,"****",output!$Y15/10^6),0)</f>
        <v>254.607452</v>
      </c>
      <c r="N13" s="78">
        <f>IFERROR(IF(output!T15&lt;0,"****",output!$Z15/10^6),0)</f>
        <v>444.258754</v>
      </c>
      <c r="O13" s="4"/>
      <c r="P13" s="4"/>
      <c r="Q13" s="4"/>
      <c r="R13" s="4"/>
      <c r="S13" s="4"/>
      <c r="T13" s="4"/>
      <c r="U13" s="4"/>
      <c r="V13" s="4"/>
      <c r="W13" s="4"/>
      <c r="X13" s="4"/>
      <c r="Y13" s="4"/>
      <c r="Z13" s="4"/>
    </row>
    <row r="14" ht="14.25" customHeight="1">
      <c r="A14" s="63">
        <f>output!B16</f>
        <v>9</v>
      </c>
      <c r="B14" s="67">
        <f>output!C16</f>
        <v>68</v>
      </c>
      <c r="C14" s="73">
        <f>IFERROR(output!D16/10^6,0)</f>
        <v>0</v>
      </c>
      <c r="D14" s="78">
        <f>IFERROR(output!F16/10^6,0)</f>
        <v>0</v>
      </c>
      <c r="E14" s="78">
        <f>IFERROR(output!G16/10^6,0)</f>
        <v>0</v>
      </c>
      <c r="F14" s="78">
        <f>IFERROR(IF(output!P16&lt;0,"****",output!P16/10^6),0)</f>
        <v>223.553477</v>
      </c>
      <c r="G14" s="78">
        <f>IFERROR(IF(output!R16&lt;0,"****",output!R16/10^6),0)</f>
        <v>247.488307</v>
      </c>
      <c r="H14" s="78">
        <f>IFERROR(IF(output!T16&lt;0,"****",output!T16/10^6),0)</f>
        <v>466.820062</v>
      </c>
      <c r="I14" s="78">
        <f>IFERROR(IF(output!P16&lt;0,"****",output!$U16/10^6),0)</f>
        <v>553.554644</v>
      </c>
      <c r="J14" s="78">
        <f>IFERROR(IF(output!R16&lt;0,"****",output!$V16/10^6),0)</f>
        <v>577.489474</v>
      </c>
      <c r="K14" s="78">
        <f>IFERROR(IF(output!T16&lt;0,"****",output!$W16/10^6),0)</f>
        <v>796.821229</v>
      </c>
      <c r="L14" s="78">
        <f>IFERROR(IF(output!P16&lt;0,"****",output!$X16/10^6),0)</f>
        <v>223.553477</v>
      </c>
      <c r="M14" s="78">
        <f>IFERROR(IF(output!R16&lt;0,"****",output!$Y16/10^6),0)</f>
        <v>247.488307</v>
      </c>
      <c r="N14" s="78">
        <f>IFERROR(IF(output!T16&lt;0,"****",output!$Z16/10^6),0)</f>
        <v>466.820062</v>
      </c>
      <c r="O14" s="4"/>
      <c r="P14" s="4"/>
      <c r="Q14" s="4"/>
      <c r="R14" s="4"/>
      <c r="S14" s="4"/>
      <c r="T14" s="4"/>
      <c r="U14" s="4"/>
      <c r="V14" s="4"/>
      <c r="W14" s="4"/>
      <c r="X14" s="4"/>
      <c r="Y14" s="4"/>
      <c r="Z14" s="4"/>
    </row>
    <row r="15" ht="14.25" customHeight="1">
      <c r="A15" s="63">
        <f>output!B17</f>
        <v>10</v>
      </c>
      <c r="B15" s="67">
        <f>output!C17</f>
        <v>69</v>
      </c>
      <c r="C15" s="73">
        <f>IFERROR(output!D17/10^6,0)</f>
        <v>0</v>
      </c>
      <c r="D15" s="78">
        <f>IFERROR(output!F17/10^6,0)</f>
        <v>0</v>
      </c>
      <c r="E15" s="78">
        <f>IFERROR(output!G17/10^6,0)</f>
        <v>0</v>
      </c>
      <c r="F15" s="78">
        <f>IFERROR(IF(output!P17&lt;0,"****",output!P17/10^6),0)</f>
        <v>213.844408</v>
      </c>
      <c r="G15" s="78">
        <f>IFERROR(IF(output!R17&lt;0,"****",output!R17/10^6),0)</f>
        <v>239.977122</v>
      </c>
      <c r="H15" s="78">
        <f>IFERROR(IF(output!T17&lt;0,"****",output!T17/10^6),0)</f>
        <v>490.604423</v>
      </c>
      <c r="I15" s="78">
        <f>IFERROR(IF(output!P17&lt;0,"****",output!$U17/10^6),0)</f>
        <v>543.845575</v>
      </c>
      <c r="J15" s="78">
        <f>IFERROR(IF(output!R17&lt;0,"****",output!$V17/10^6),0)</f>
        <v>569.978289</v>
      </c>
      <c r="K15" s="78">
        <f>IFERROR(IF(output!T17&lt;0,"****",output!$W17/10^6),0)</f>
        <v>820.60559</v>
      </c>
      <c r="L15" s="78">
        <f>IFERROR(IF(output!P17&lt;0,"****",output!$X17/10^6),0)</f>
        <v>213.844408</v>
      </c>
      <c r="M15" s="78">
        <f>IFERROR(IF(output!R17&lt;0,"****",output!$Y17/10^6),0)</f>
        <v>239.977122</v>
      </c>
      <c r="N15" s="78">
        <f>IFERROR(IF(output!T17&lt;0,"****",output!$Z17/10^6),0)</f>
        <v>490.604423</v>
      </c>
      <c r="O15" s="4"/>
      <c r="P15" s="4"/>
      <c r="Q15" s="4"/>
      <c r="R15" s="4"/>
      <c r="S15" s="4"/>
      <c r="T15" s="4"/>
      <c r="U15" s="4"/>
      <c r="V15" s="4"/>
      <c r="W15" s="4"/>
      <c r="X15" s="4"/>
      <c r="Y15" s="4"/>
      <c r="Z15" s="4"/>
    </row>
    <row r="16" ht="14.25" customHeight="1">
      <c r="A16" s="63">
        <f>output!B18</f>
        <v>11</v>
      </c>
      <c r="B16" s="67">
        <f>output!C18</f>
        <v>70</v>
      </c>
      <c r="C16" s="73">
        <f>IFERROR(output!D18/10^6,0)</f>
        <v>0</v>
      </c>
      <c r="D16" s="78">
        <f>IFERROR(output!F18/10^6,0)</f>
        <v>0</v>
      </c>
      <c r="E16" s="78">
        <f>IFERROR(output!G18/10^6,0)</f>
        <v>0</v>
      </c>
      <c r="F16" s="78">
        <f>IFERROR(IF(output!P18&lt;0,"****",output!P18/10^6),0)</f>
        <v>203.822653</v>
      </c>
      <c r="G16" s="78">
        <f>IFERROR(IF(output!R18&lt;0,"****",output!R18/10^6),0)</f>
        <v>232.054095</v>
      </c>
      <c r="H16" s="78">
        <f>IFERROR(IF(output!T18&lt;0,"****",output!T18/10^6),0)</f>
        <v>515.685399</v>
      </c>
      <c r="I16" s="78">
        <f>IFERROR(IF(output!P18&lt;0,"****",output!$U18/10^6),0)</f>
        <v>533.82382</v>
      </c>
      <c r="J16" s="78">
        <f>IFERROR(IF(output!R18&lt;0,"****",output!$V18/10^6),0)</f>
        <v>562.055262</v>
      </c>
      <c r="K16" s="78">
        <f>IFERROR(IF(output!T18&lt;0,"****",output!$W18/10^6),0)</f>
        <v>845.686566</v>
      </c>
      <c r="L16" s="78">
        <f>IFERROR(IF(output!P18&lt;0,"****",output!$X18/10^6),0)</f>
        <v>203.822653</v>
      </c>
      <c r="M16" s="78">
        <f>IFERROR(IF(output!R18&lt;0,"****",output!$Y18/10^6),0)</f>
        <v>232.054095</v>
      </c>
      <c r="N16" s="78">
        <f>IFERROR(IF(output!T18&lt;0,"****",output!$Z18/10^6),0)</f>
        <v>515.685399</v>
      </c>
      <c r="O16" s="4"/>
      <c r="P16" s="4"/>
      <c r="Q16" s="4"/>
      <c r="R16" s="4"/>
      <c r="S16" s="4"/>
      <c r="T16" s="4"/>
      <c r="U16" s="4"/>
      <c r="V16" s="4"/>
      <c r="W16" s="4"/>
      <c r="X16" s="4"/>
      <c r="Y16" s="4"/>
      <c r="Z16" s="4"/>
    </row>
    <row r="17" ht="14.25" customHeight="1">
      <c r="A17" s="63">
        <f>output!B19</f>
        <v>12</v>
      </c>
      <c r="B17" s="67">
        <f>output!C19</f>
        <v>71</v>
      </c>
      <c r="C17" s="73">
        <f>IFERROR(output!D19/10^6,0)</f>
        <v>0</v>
      </c>
      <c r="D17" s="78">
        <f>IFERROR(output!F19/10^6,0)</f>
        <v>0</v>
      </c>
      <c r="E17" s="78">
        <f>IFERROR(output!G19/10^6,0)</f>
        <v>0</v>
      </c>
      <c r="F17" s="78">
        <f>IFERROR(IF(output!P19&lt;0,"****",output!P19/10^6),0)</f>
        <v>193.447995</v>
      </c>
      <c r="G17" s="78">
        <f>IFERROR(IF(output!R19&lt;0,"****",output!R19/10^6),0)</f>
        <v>223.675666</v>
      </c>
      <c r="H17" s="78">
        <f>IFERROR(IF(output!T19&lt;0,"****",output!T19/10^6),0)</f>
        <v>542.117941</v>
      </c>
      <c r="I17" s="78">
        <f>IFERROR(IF(output!P19&lt;0,"****",output!$U19/10^6),0)</f>
        <v>523.449162</v>
      </c>
      <c r="J17" s="78">
        <f>IFERROR(IF(output!R19&lt;0,"****",output!$V19/10^6),0)</f>
        <v>553.676833</v>
      </c>
      <c r="K17" s="78">
        <f>IFERROR(IF(output!T19&lt;0,"****",output!$W19/10^6),0)</f>
        <v>872.119108</v>
      </c>
      <c r="L17" s="78">
        <f>IFERROR(IF(output!P19&lt;0,"****",output!$X19/10^6),0)</f>
        <v>193.447995</v>
      </c>
      <c r="M17" s="78">
        <f>IFERROR(IF(output!R19&lt;0,"****",output!$Y19/10^6),0)</f>
        <v>223.675666</v>
      </c>
      <c r="N17" s="78">
        <f>IFERROR(IF(output!T19&lt;0,"****",output!$Z19/10^6),0)</f>
        <v>542.117941</v>
      </c>
      <c r="O17" s="4"/>
      <c r="P17" s="4"/>
      <c r="Q17" s="4"/>
      <c r="R17" s="4"/>
      <c r="S17" s="4"/>
      <c r="T17" s="4"/>
      <c r="U17" s="4"/>
      <c r="V17" s="4"/>
      <c r="W17" s="4"/>
      <c r="X17" s="4"/>
      <c r="Y17" s="4"/>
      <c r="Z17" s="4"/>
    </row>
    <row r="18" ht="14.25" customHeight="1">
      <c r="A18" s="63">
        <f>output!B20</f>
        <v>13</v>
      </c>
      <c r="B18" s="67">
        <f>output!C20</f>
        <v>72</v>
      </c>
      <c r="C18" s="73">
        <f>IFERROR(output!D20/10^6,0)</f>
        <v>0</v>
      </c>
      <c r="D18" s="78">
        <f>IFERROR(output!F20/10^6,0)</f>
        <v>0</v>
      </c>
      <c r="E18" s="78">
        <f>IFERROR(output!G20/10^6,0)</f>
        <v>0</v>
      </c>
      <c r="F18" s="78">
        <f>IFERROR(IF(output!P20&lt;0,"****",output!P20/10^6),0)</f>
        <v>182.688504</v>
      </c>
      <c r="G18" s="78">
        <f>IFERROR(IF(output!R20&lt;0,"****",output!R20/10^6),0)</f>
        <v>214.806197</v>
      </c>
      <c r="H18" s="78">
        <f>IFERROR(IF(output!T20&lt;0,"****",output!T20/10^6),0)</f>
        <v>569.969945</v>
      </c>
      <c r="I18" s="78">
        <f>IFERROR(IF(output!P20&lt;0,"****",output!$U20/10^6),0)</f>
        <v>512.689671</v>
      </c>
      <c r="J18" s="78">
        <f>IFERROR(IF(output!R20&lt;0,"****",output!$V20/10^6),0)</f>
        <v>544.807364</v>
      </c>
      <c r="K18" s="78">
        <f>IFERROR(IF(output!T20&lt;0,"****",output!$W20/10^6),0)</f>
        <v>899.971112</v>
      </c>
      <c r="L18" s="78">
        <f>IFERROR(IF(output!P20&lt;0,"****",output!$X20/10^6),0)</f>
        <v>182.688504</v>
      </c>
      <c r="M18" s="78">
        <f>IFERROR(IF(output!R20&lt;0,"****",output!$Y20/10^6),0)</f>
        <v>214.806197</v>
      </c>
      <c r="N18" s="78">
        <f>IFERROR(IF(output!T20&lt;0,"****",output!$Z20/10^6),0)</f>
        <v>569.969945</v>
      </c>
      <c r="O18" s="4"/>
      <c r="P18" s="4"/>
      <c r="Q18" s="4"/>
      <c r="R18" s="4"/>
      <c r="S18" s="4"/>
      <c r="T18" s="4"/>
      <c r="U18" s="4"/>
      <c r="V18" s="4"/>
      <c r="W18" s="4"/>
      <c r="X18" s="4"/>
      <c r="Y18" s="4"/>
      <c r="Z18" s="4"/>
    </row>
    <row r="19" ht="14.25" customHeight="1">
      <c r="A19" s="63">
        <f>output!B21</f>
        <v>14</v>
      </c>
      <c r="B19" s="67">
        <f>output!C21</f>
        <v>73</v>
      </c>
      <c r="C19" s="73">
        <f>IFERROR(output!D21/10^6,0)</f>
        <v>0</v>
      </c>
      <c r="D19" s="78">
        <f>IFERROR(output!F21/10^6,0)</f>
        <v>0</v>
      </c>
      <c r="E19" s="78">
        <f>IFERROR(output!G21/10^6,0)</f>
        <v>0</v>
      </c>
      <c r="F19" s="78">
        <f>IFERROR(IF(output!P21&lt;0,"****",output!P21/10^6),0)</f>
        <v>171.488926</v>
      </c>
      <c r="G19" s="78">
        <f>IFERROR(IF(output!R21&lt;0,"****",output!R21/10^6),0)</f>
        <v>205.386285</v>
      </c>
      <c r="H19" s="78">
        <f>IFERROR(IF(output!T21&lt;0,"****",output!T21/10^6),0)</f>
        <v>599.290492</v>
      </c>
      <c r="I19" s="78">
        <f>IFERROR(IF(output!P21&lt;0,"****",output!$U21/10^6),0)</f>
        <v>501.490093</v>
      </c>
      <c r="J19" s="78">
        <f>IFERROR(IF(output!R21&lt;0,"****",output!$V21/10^6),0)</f>
        <v>535.387452</v>
      </c>
      <c r="K19" s="78">
        <f>IFERROR(IF(output!T21&lt;0,"****",output!$W21/10^6),0)</f>
        <v>929.291659</v>
      </c>
      <c r="L19" s="78">
        <f>IFERROR(IF(output!P21&lt;0,"****",output!$X21/10^6),0)</f>
        <v>171.488926</v>
      </c>
      <c r="M19" s="78">
        <f>IFERROR(IF(output!R21&lt;0,"****",output!$Y21/10^6),0)</f>
        <v>205.386285</v>
      </c>
      <c r="N19" s="78">
        <f>IFERROR(IF(output!T21&lt;0,"****",output!$Z21/10^6),0)</f>
        <v>599.290492</v>
      </c>
      <c r="O19" s="4"/>
      <c r="P19" s="4"/>
      <c r="Q19" s="4"/>
      <c r="R19" s="4"/>
      <c r="S19" s="4"/>
      <c r="T19" s="4"/>
      <c r="U19" s="4"/>
      <c r="V19" s="4"/>
      <c r="W19" s="4"/>
      <c r="X19" s="4"/>
      <c r="Y19" s="4"/>
      <c r="Z19" s="4"/>
    </row>
    <row r="20" ht="14.25" customHeight="1">
      <c r="A20" s="63">
        <f>output!B22</f>
        <v>15</v>
      </c>
      <c r="B20" s="67">
        <f>output!C22</f>
        <v>74</v>
      </c>
      <c r="C20" s="73">
        <f>IFERROR(output!D22/10^6,0)</f>
        <v>0</v>
      </c>
      <c r="D20" s="78">
        <f>IFERROR(output!F22/10^6,0)</f>
        <v>0</v>
      </c>
      <c r="E20" s="78">
        <f>IFERROR(output!G22/10^6,0)</f>
        <v>0</v>
      </c>
      <c r="F20" s="78">
        <f>IFERROR(IF(output!P22&lt;0,"****",output!P22/10^6),0)</f>
        <v>159.798498</v>
      </c>
      <c r="G20" s="78">
        <f>IFERROR(IF(output!R22&lt;0,"****",output!R22/10^6),0)</f>
        <v>195.360491</v>
      </c>
      <c r="H20" s="78">
        <f>IFERROR(IF(output!T22&lt;0,"****",output!T22/10^6),0)</f>
        <v>630.137308</v>
      </c>
      <c r="I20" s="78">
        <f>IFERROR(IF(output!P22&lt;0,"****",output!$U22/10^6),0)</f>
        <v>489.799665</v>
      </c>
      <c r="J20" s="78">
        <f>IFERROR(IF(output!R22&lt;0,"****",output!$V22/10^6),0)</f>
        <v>525.361658</v>
      </c>
      <c r="K20" s="78">
        <f>IFERROR(IF(output!T22&lt;0,"****",output!$W22/10^6),0)</f>
        <v>960.138475</v>
      </c>
      <c r="L20" s="78">
        <f>IFERROR(IF(output!P22&lt;0,"****",output!$X22/10^6),0)</f>
        <v>159.798498</v>
      </c>
      <c r="M20" s="78">
        <f>IFERROR(IF(output!R22&lt;0,"****",output!$Y22/10^6),0)</f>
        <v>195.360491</v>
      </c>
      <c r="N20" s="78">
        <f>IFERROR(IF(output!T22&lt;0,"****",output!$Z22/10^6),0)</f>
        <v>630.137308</v>
      </c>
      <c r="O20" s="4"/>
      <c r="P20" s="4"/>
      <c r="Q20" s="4"/>
      <c r="R20" s="4"/>
      <c r="S20" s="4"/>
      <c r="T20" s="4"/>
      <c r="U20" s="4"/>
      <c r="V20" s="4"/>
      <c r="W20" s="4"/>
      <c r="X20" s="4"/>
      <c r="Y20" s="4"/>
      <c r="Z20" s="4"/>
    </row>
    <row r="21" ht="14.25" customHeight="1">
      <c r="A21" s="63">
        <f>output!B23</f>
        <v>16</v>
      </c>
      <c r="B21" s="67">
        <f>output!C23</f>
        <v>75</v>
      </c>
      <c r="C21" s="73">
        <f>IFERROR(output!D23/10^6,0)</f>
        <v>0</v>
      </c>
      <c r="D21" s="78">
        <f>IFERROR(output!F23/10^6,0)</f>
        <v>0</v>
      </c>
      <c r="E21" s="78">
        <f>IFERROR(output!G23/10^6,0)</f>
        <v>0</v>
      </c>
      <c r="F21" s="78">
        <f>IFERROR(IF(output!P23&lt;0,"****",output!P23/10^6),0)</f>
        <v>147.555146</v>
      </c>
      <c r="G21" s="78">
        <f>IFERROR(IF(output!R23&lt;0,"****",output!R23/10^6),0)</f>
        <v>184.661494</v>
      </c>
      <c r="H21" s="78">
        <f>IFERROR(IF(output!T23&lt;0,"****",output!T23/10^6),0)</f>
        <v>662.561078</v>
      </c>
      <c r="I21" s="78">
        <f>IFERROR(IF(output!P23&lt;0,"****",output!$U23/10^6),0)</f>
        <v>477.556313</v>
      </c>
      <c r="J21" s="78">
        <f>IFERROR(IF(output!R23&lt;0,"****",output!$V23/10^6),0)</f>
        <v>514.662661</v>
      </c>
      <c r="K21" s="78">
        <f>IFERROR(IF(output!T23&lt;0,"****",output!$W23/10^6),0)</f>
        <v>992.562245</v>
      </c>
      <c r="L21" s="78">
        <f>IFERROR(IF(output!P23&lt;0,"****",output!$X23/10^6),0)</f>
        <v>147.555146</v>
      </c>
      <c r="M21" s="78">
        <f>IFERROR(IF(output!R23&lt;0,"****",output!$Y23/10^6),0)</f>
        <v>184.661494</v>
      </c>
      <c r="N21" s="78">
        <f>IFERROR(IF(output!T23&lt;0,"****",output!$Z23/10^6),0)</f>
        <v>662.561078</v>
      </c>
      <c r="O21" s="4"/>
      <c r="P21" s="4"/>
      <c r="Q21" s="4"/>
      <c r="R21" s="4"/>
      <c r="S21" s="4"/>
      <c r="T21" s="4"/>
      <c r="U21" s="4"/>
      <c r="V21" s="4"/>
      <c r="W21" s="4"/>
      <c r="X21" s="4"/>
      <c r="Y21" s="4"/>
      <c r="Z21" s="4"/>
    </row>
    <row r="22" ht="14.25" customHeight="1">
      <c r="A22" s="63">
        <f>output!B24</f>
        <v>17</v>
      </c>
      <c r="B22" s="67">
        <f>output!C24</f>
        <v>76</v>
      </c>
      <c r="C22" s="73">
        <f>IFERROR(output!D24/10^6,0)</f>
        <v>0</v>
      </c>
      <c r="D22" s="78">
        <f>IFERROR(output!F24/10^6,0)</f>
        <v>0</v>
      </c>
      <c r="E22" s="78">
        <f>IFERROR(output!G24/10^6,0)</f>
        <v>0</v>
      </c>
      <c r="F22" s="78">
        <f>IFERROR(IF(output!P24&lt;0,"****",output!P24/10^6),0)</f>
        <v>133.684794</v>
      </c>
      <c r="G22" s="78">
        <f>IFERROR(IF(output!R24&lt;0,"****",output!R24/10^6),0)</f>
        <v>172.204251</v>
      </c>
      <c r="H22" s="78">
        <f>IFERROR(IF(output!T24&lt;0,"****",output!T24/10^6),0)</f>
        <v>695.56684</v>
      </c>
      <c r="I22" s="78">
        <f>IFERROR(IF(output!P24&lt;0,"****",output!$U24/10^6),0)</f>
        <v>463.685961</v>
      </c>
      <c r="J22" s="78">
        <f>IFERROR(IF(output!R24&lt;0,"****",output!$V24/10^6),0)</f>
        <v>502.205418</v>
      </c>
      <c r="K22" s="78">
        <f>IFERROR(IF(output!T24&lt;0,"****",output!$W24/10^6),0)</f>
        <v>1025.568007</v>
      </c>
      <c r="L22" s="78">
        <f>IFERROR(IF(output!P24&lt;0,"****",output!$X24/10^6),0)</f>
        <v>133.684794</v>
      </c>
      <c r="M22" s="78">
        <f>IFERROR(IF(output!R24&lt;0,"****",output!$Y24/10^6),0)</f>
        <v>172.204251</v>
      </c>
      <c r="N22" s="78">
        <f>IFERROR(IF(output!T24&lt;0,"****",output!$Z24/10^6),0)</f>
        <v>695.56684</v>
      </c>
      <c r="O22" s="4"/>
      <c r="P22" s="4"/>
      <c r="Q22" s="4"/>
      <c r="R22" s="4"/>
      <c r="S22" s="4"/>
      <c r="T22" s="4"/>
      <c r="U22" s="4"/>
      <c r="V22" s="4"/>
      <c r="W22" s="4"/>
      <c r="X22" s="4"/>
      <c r="Y22" s="4"/>
      <c r="Z22" s="4"/>
    </row>
    <row r="23" ht="14.25" customHeight="1">
      <c r="A23" s="63">
        <f>output!B25</f>
        <v>18</v>
      </c>
      <c r="B23" s="67">
        <f>output!C25</f>
        <v>77</v>
      </c>
      <c r="C23" s="73">
        <f>IFERROR(output!D25/10^6,0)</f>
        <v>0</v>
      </c>
      <c r="D23" s="78">
        <f>IFERROR(output!F25/10^6,0)</f>
        <v>0</v>
      </c>
      <c r="E23" s="78">
        <f>IFERROR(output!G25/10^6,0)</f>
        <v>0</v>
      </c>
      <c r="F23" s="78">
        <f>IFERROR(IF(output!P25&lt;0,"****",output!P25/10^6),0)</f>
        <v>118.069748</v>
      </c>
      <c r="G23" s="78">
        <f>IFERROR(IF(output!R25&lt;0,"****",output!R25/10^6),0)</f>
        <v>157.854122</v>
      </c>
      <c r="H23" s="78">
        <f>IFERROR(IF(output!T25&lt;0,"****",output!T25/10^6),0)</f>
        <v>729.076999</v>
      </c>
      <c r="I23" s="78">
        <f>IFERROR(IF(output!P25&lt;0,"****",output!$U25/10^6),0)</f>
        <v>448.070915</v>
      </c>
      <c r="J23" s="78">
        <f>IFERROR(IF(output!R25&lt;0,"****",output!$V25/10^6),0)</f>
        <v>487.855289</v>
      </c>
      <c r="K23" s="78">
        <f>IFERROR(IF(output!T25&lt;0,"****",output!$W25/10^6),0)</f>
        <v>1059.078166</v>
      </c>
      <c r="L23" s="78">
        <f>IFERROR(IF(output!P25&lt;0,"****",output!$X25/10^6),0)</f>
        <v>118.069748</v>
      </c>
      <c r="M23" s="78">
        <f>IFERROR(IF(output!R25&lt;0,"****",output!$Y25/10^6),0)</f>
        <v>157.854122</v>
      </c>
      <c r="N23" s="78">
        <f>IFERROR(IF(output!T25&lt;0,"****",output!$Z25/10^6),0)</f>
        <v>729.076999</v>
      </c>
      <c r="O23" s="4"/>
      <c r="P23" s="4"/>
      <c r="Q23" s="4"/>
      <c r="R23" s="4"/>
      <c r="S23" s="4"/>
      <c r="T23" s="4"/>
      <c r="U23" s="4"/>
      <c r="V23" s="4"/>
      <c r="W23" s="4"/>
      <c r="X23" s="4"/>
      <c r="Y23" s="4"/>
      <c r="Z23" s="4"/>
    </row>
    <row r="24" ht="14.25" customHeight="1">
      <c r="A24" s="63">
        <f>output!B26</f>
        <v>19</v>
      </c>
      <c r="B24" s="67">
        <f>output!C26</f>
        <v>78</v>
      </c>
      <c r="C24" s="73">
        <f>IFERROR(output!D26/10^6,0)</f>
        <v>0</v>
      </c>
      <c r="D24" s="78">
        <f>IFERROR(output!F26/10^6,0)</f>
        <v>0</v>
      </c>
      <c r="E24" s="78">
        <f>IFERROR(output!G26/10^6,0)</f>
        <v>0</v>
      </c>
      <c r="F24" s="78">
        <f>IFERROR(IF(output!P26&lt;0,"****",output!P26/10^6),0)</f>
        <v>100.609248</v>
      </c>
      <c r="G24" s="78">
        <f>IFERROR(IF(output!R26&lt;0,"****",output!R26/10^6),0)</f>
        <v>141.492305</v>
      </c>
      <c r="H24" s="78">
        <f>IFERROR(IF(output!T26&lt;0,"****",output!T26/10^6),0)</f>
        <v>763.026718</v>
      </c>
      <c r="I24" s="78">
        <f>IFERROR(IF(output!P26&lt;0,"****",output!$U26/10^6),0)</f>
        <v>430.610415</v>
      </c>
      <c r="J24" s="78">
        <f>IFERROR(IF(output!R26&lt;0,"****",output!$V26/10^6),0)</f>
        <v>471.493472</v>
      </c>
      <c r="K24" s="78">
        <f>IFERROR(IF(output!T26&lt;0,"****",output!$W26/10^6),0)</f>
        <v>1093.027885</v>
      </c>
      <c r="L24" s="78">
        <f>IFERROR(IF(output!P26&lt;0,"****",output!$X26/10^6),0)</f>
        <v>100.609248</v>
      </c>
      <c r="M24" s="78">
        <f>IFERROR(IF(output!R26&lt;0,"****",output!$Y26/10^6),0)</f>
        <v>141.492305</v>
      </c>
      <c r="N24" s="78">
        <f>IFERROR(IF(output!T26&lt;0,"****",output!$Z26/10^6),0)</f>
        <v>763.026718</v>
      </c>
      <c r="O24" s="4"/>
      <c r="P24" s="4"/>
      <c r="Q24" s="4"/>
      <c r="R24" s="4"/>
      <c r="S24" s="4"/>
      <c r="T24" s="4"/>
      <c r="U24" s="4"/>
      <c r="V24" s="4"/>
      <c r="W24" s="4"/>
      <c r="X24" s="4"/>
      <c r="Y24" s="4"/>
      <c r="Z24" s="4"/>
    </row>
    <row r="25" ht="14.25" customHeight="1">
      <c r="A25" s="63">
        <f>output!B27</f>
        <v>20</v>
      </c>
      <c r="B25" s="67">
        <f>output!C27</f>
        <v>79</v>
      </c>
      <c r="C25" s="73">
        <f>IFERROR(output!D27/10^6,0)</f>
        <v>0</v>
      </c>
      <c r="D25" s="78">
        <f>IFERROR(output!F27/10^6,0)</f>
        <v>0</v>
      </c>
      <c r="E25" s="78">
        <f>IFERROR(output!G27/10^6,0)</f>
        <v>0</v>
      </c>
      <c r="F25" s="78">
        <f>IFERROR(IF(output!P27&lt;0,"****",output!P27/10^6),0)</f>
        <v>80.447034</v>
      </c>
      <c r="G25" s="78">
        <f>IFERROR(IF(output!R27&lt;0,"****",output!R27/10^6),0)</f>
        <v>122.239678</v>
      </c>
      <c r="H25" s="78">
        <f>IFERROR(IF(output!T27&lt;0,"****",output!T27/10^6),0)</f>
        <v>796.563661</v>
      </c>
      <c r="I25" s="78">
        <f>IFERROR(IF(output!P27&lt;0,"****",output!$U27/10^6),0)</f>
        <v>410.448201</v>
      </c>
      <c r="J25" s="78">
        <f>IFERROR(IF(output!R27&lt;0,"****",output!$V27/10^6),0)</f>
        <v>452.240845</v>
      </c>
      <c r="K25" s="78">
        <f>IFERROR(IF(output!T27&lt;0,"****",output!$W27/10^6),0)</f>
        <v>1126.564828</v>
      </c>
      <c r="L25" s="78">
        <f>IFERROR(IF(output!P27&lt;0,"****",output!$X27/10^6),0)</f>
        <v>80.447034</v>
      </c>
      <c r="M25" s="78">
        <f>IFERROR(IF(output!R27&lt;0,"****",output!$Y27/10^6),0)</f>
        <v>122.239678</v>
      </c>
      <c r="N25" s="78">
        <f>IFERROR(IF(output!T27&lt;0,"****",output!$Z27/10^6),0)</f>
        <v>796.563661</v>
      </c>
      <c r="O25" s="4"/>
      <c r="P25" s="4"/>
      <c r="Q25" s="4"/>
      <c r="R25" s="4"/>
      <c r="S25" s="4"/>
      <c r="T25" s="4"/>
      <c r="U25" s="4"/>
      <c r="V25" s="4"/>
      <c r="W25" s="4"/>
      <c r="X25" s="4"/>
      <c r="Y25" s="4"/>
      <c r="Z25" s="4"/>
    </row>
    <row r="26" ht="14.25" customHeight="1">
      <c r="A26" s="63" t="str">
        <f>output!B28</f>
        <v/>
      </c>
      <c r="B26" s="67" t="str">
        <f>output!C28</f>
        <v/>
      </c>
      <c r="C26" s="73">
        <f>IFERROR(output!D28/10^6,0)</f>
        <v>0</v>
      </c>
      <c r="D26" s="78">
        <f>IFERROR(output!F28/10^6,0)</f>
        <v>0</v>
      </c>
      <c r="E26" s="78">
        <f>IFERROR(output!G28/10^6,0)</f>
        <v>0</v>
      </c>
      <c r="F26" s="78">
        <f>IFERROR(IF(output!P28&lt;0,"****",output!P28/10^6),0)</f>
        <v>0</v>
      </c>
      <c r="G26" s="78">
        <f>IFERROR(IF(output!R28&lt;0,"****",output!R28/10^6),0)</f>
        <v>0</v>
      </c>
      <c r="H26" s="78">
        <f>IFERROR(IF(output!T28&lt;0,"****",output!T28/10^6),0)</f>
        <v>0</v>
      </c>
      <c r="I26" s="78">
        <f>IFERROR(IF(output!P28&lt;0,"****",output!$U28/10^6),0)</f>
        <v>0</v>
      </c>
      <c r="J26" s="78">
        <f>IFERROR(IF(output!R28&lt;0,"****",output!$V28/10^6),0)</f>
        <v>0</v>
      </c>
      <c r="K26" s="78">
        <f>IFERROR(IF(output!T28&lt;0,"****",output!$W28/10^6),0)</f>
        <v>0</v>
      </c>
      <c r="L26" s="78">
        <f>IFERROR(IF(output!P28&lt;0,"****",output!$X28/10^6),0)</f>
        <v>0</v>
      </c>
      <c r="M26" s="78">
        <f>IFERROR(IF(output!R28&lt;0,"****",output!$Y28/10^6),0)</f>
        <v>0</v>
      </c>
      <c r="N26" s="78">
        <f>IFERROR(IF(output!T28&lt;0,"****",output!$Z28/10^6),0)</f>
        <v>0</v>
      </c>
      <c r="O26" s="4"/>
      <c r="P26" s="4"/>
      <c r="Q26" s="4"/>
      <c r="R26" s="4"/>
      <c r="S26" s="4"/>
      <c r="T26" s="4"/>
      <c r="U26" s="4"/>
      <c r="V26" s="4"/>
      <c r="W26" s="4"/>
      <c r="X26" s="4"/>
      <c r="Y26" s="4"/>
      <c r="Z26" s="4"/>
    </row>
    <row r="27" ht="14.25" customHeight="1">
      <c r="A27" s="63" t="str">
        <f>output!B29</f>
        <v/>
      </c>
      <c r="B27" s="67" t="str">
        <f>output!C29</f>
        <v/>
      </c>
      <c r="C27" s="73">
        <f>IFERROR(output!D29/10^6,0)</f>
        <v>0</v>
      </c>
      <c r="D27" s="78">
        <f>IFERROR(output!F29/10^6,0)</f>
        <v>0</v>
      </c>
      <c r="E27" s="78">
        <f>IFERROR(output!G29/10^6,0)</f>
        <v>0</v>
      </c>
      <c r="F27" s="78">
        <f>IFERROR(IF(output!P29&lt;0,"****",output!P29/10^6),0)</f>
        <v>0</v>
      </c>
      <c r="G27" s="78">
        <f>IFERROR(IF(output!R29&lt;0,"****",output!R29/10^6),0)</f>
        <v>0</v>
      </c>
      <c r="H27" s="78">
        <f>IFERROR(IF(output!T29&lt;0,"****",output!T29/10^6),0)</f>
        <v>0</v>
      </c>
      <c r="I27" s="78">
        <f>IFERROR(IF(output!P29&lt;0,"****",output!$U29/10^6),0)</f>
        <v>0</v>
      </c>
      <c r="J27" s="78">
        <f>IFERROR(IF(output!R29&lt;0,"****",output!$V29/10^6),0)</f>
        <v>0</v>
      </c>
      <c r="K27" s="78">
        <f>IFERROR(IF(output!T29&lt;0,"****",output!$W29/10^6),0)</f>
        <v>0</v>
      </c>
      <c r="L27" s="78">
        <f>IFERROR(IF(output!P29&lt;0,"****",output!$X29/10^6),0)</f>
        <v>0</v>
      </c>
      <c r="M27" s="78">
        <f>IFERROR(IF(output!R29&lt;0,"****",output!$Y29/10^6),0)</f>
        <v>0</v>
      </c>
      <c r="N27" s="78">
        <f>IFERROR(IF(output!T29&lt;0,"****",output!$Z29/10^6),0)</f>
        <v>0</v>
      </c>
      <c r="O27" s="4"/>
      <c r="P27" s="4"/>
      <c r="Q27" s="4"/>
      <c r="R27" s="4"/>
      <c r="S27" s="4"/>
      <c r="T27" s="4"/>
      <c r="U27" s="4"/>
      <c r="V27" s="4"/>
      <c r="W27" s="4"/>
      <c r="X27" s="4"/>
      <c r="Y27" s="4"/>
      <c r="Z27" s="4"/>
    </row>
    <row r="28" ht="14.25" customHeight="1">
      <c r="A28" s="63" t="str">
        <f>output!B30</f>
        <v/>
      </c>
      <c r="B28" s="67" t="str">
        <f>output!C30</f>
        <v/>
      </c>
      <c r="C28" s="73">
        <f>IFERROR(output!D30/10^6,0)</f>
        <v>0</v>
      </c>
      <c r="D28" s="78">
        <f>IFERROR(output!F30/10^6,0)</f>
        <v>0</v>
      </c>
      <c r="E28" s="78">
        <f>IFERROR(output!G30/10^6,0)</f>
        <v>0</v>
      </c>
      <c r="F28" s="78">
        <f>IFERROR(IF(output!P30&lt;0,"****",output!P30/10^6),0)</f>
        <v>0</v>
      </c>
      <c r="G28" s="78">
        <f>IFERROR(IF(output!R30&lt;0,"****",output!R30/10^6),0)</f>
        <v>0</v>
      </c>
      <c r="H28" s="78">
        <f>IFERROR(IF(output!T30&lt;0,"****",output!T30/10^6),0)</f>
        <v>0</v>
      </c>
      <c r="I28" s="78">
        <f>IFERROR(IF(output!P30&lt;0,"****",output!$U30/10^6),0)</f>
        <v>0</v>
      </c>
      <c r="J28" s="78">
        <f>IFERROR(IF(output!R30&lt;0,"****",output!$V30/10^6),0)</f>
        <v>0</v>
      </c>
      <c r="K28" s="78">
        <f>IFERROR(IF(output!T30&lt;0,"****",output!$W30/10^6),0)</f>
        <v>0</v>
      </c>
      <c r="L28" s="78">
        <f>IFERROR(IF(output!P30&lt;0,"****",output!$X30/10^6),0)</f>
        <v>0</v>
      </c>
      <c r="M28" s="78">
        <f>IFERROR(IF(output!R30&lt;0,"****",output!$Y30/10^6),0)</f>
        <v>0</v>
      </c>
      <c r="N28" s="78">
        <f>IFERROR(IF(output!T30&lt;0,"****",output!$Z30/10^6),0)</f>
        <v>0</v>
      </c>
      <c r="O28" s="4"/>
      <c r="P28" s="4"/>
      <c r="Q28" s="4"/>
      <c r="R28" s="4"/>
      <c r="S28" s="4"/>
      <c r="T28" s="4"/>
      <c r="U28" s="4"/>
      <c r="V28" s="4"/>
      <c r="W28" s="4"/>
      <c r="X28" s="4"/>
      <c r="Y28" s="4"/>
      <c r="Z28" s="4"/>
    </row>
    <row r="29" ht="14.25" customHeight="1">
      <c r="A29" s="63" t="str">
        <f>output!B31</f>
        <v/>
      </c>
      <c r="B29" s="67" t="str">
        <f>output!C31</f>
        <v/>
      </c>
      <c r="C29" s="73">
        <f>IFERROR(output!D31/10^6,0)</f>
        <v>0</v>
      </c>
      <c r="D29" s="78">
        <f>IFERROR(output!F31/10^6,0)</f>
        <v>0</v>
      </c>
      <c r="E29" s="78">
        <f>IFERROR(output!G31/10^6,0)</f>
        <v>0</v>
      </c>
      <c r="F29" s="78">
        <f>IFERROR(IF(output!P31&lt;0,"****",output!P31/10^6),0)</f>
        <v>0</v>
      </c>
      <c r="G29" s="78">
        <f>IFERROR(IF(output!R31&lt;0,"****",output!R31/10^6),0)</f>
        <v>0</v>
      </c>
      <c r="H29" s="78">
        <f>IFERROR(IF(output!T31&lt;0,"****",output!T31/10^6),0)</f>
        <v>0</v>
      </c>
      <c r="I29" s="78">
        <f>IFERROR(IF(output!P31&lt;0,"****",output!$U31/10^6),0)</f>
        <v>0</v>
      </c>
      <c r="J29" s="78">
        <f>IFERROR(IF(output!R31&lt;0,"****",output!$V31/10^6),0)</f>
        <v>0</v>
      </c>
      <c r="K29" s="78">
        <f>IFERROR(IF(output!T31&lt;0,"****",output!$W31/10^6),0)</f>
        <v>0</v>
      </c>
      <c r="L29" s="78">
        <f>IFERROR(IF(output!P31&lt;0,"****",output!$X31/10^6),0)</f>
        <v>0</v>
      </c>
      <c r="M29" s="78">
        <f>IFERROR(IF(output!R31&lt;0,"****",output!$Y31/10^6),0)</f>
        <v>0</v>
      </c>
      <c r="N29" s="78">
        <f>IFERROR(IF(output!T31&lt;0,"****",output!$Z31/10^6),0)</f>
        <v>0</v>
      </c>
      <c r="O29" s="4"/>
      <c r="P29" s="4"/>
      <c r="Q29" s="4"/>
      <c r="R29" s="4"/>
      <c r="S29" s="4"/>
      <c r="T29" s="4"/>
      <c r="U29" s="4"/>
      <c r="V29" s="4"/>
      <c r="W29" s="4"/>
      <c r="X29" s="4"/>
      <c r="Y29" s="4"/>
      <c r="Z29" s="4"/>
    </row>
    <row r="30" ht="14.25" customHeight="1">
      <c r="A30" s="63" t="str">
        <f>output!B32</f>
        <v/>
      </c>
      <c r="B30" s="67" t="str">
        <f>output!C32</f>
        <v/>
      </c>
      <c r="C30" s="73">
        <f>IFERROR(output!D32/10^6,0)</f>
        <v>0</v>
      </c>
      <c r="D30" s="78">
        <f>IFERROR(output!F32/10^6,0)</f>
        <v>0</v>
      </c>
      <c r="E30" s="78">
        <f>IFERROR(output!G32/10^6,0)</f>
        <v>0</v>
      </c>
      <c r="F30" s="78">
        <f>IFERROR(IF(output!P32&lt;0,"****",output!P32/10^6),0)</f>
        <v>0</v>
      </c>
      <c r="G30" s="78">
        <f>IFERROR(IF(output!R32&lt;0,"****",output!R32/10^6),0)</f>
        <v>0</v>
      </c>
      <c r="H30" s="78">
        <f>IFERROR(IF(output!T32&lt;0,"****",output!T32/10^6),0)</f>
        <v>0</v>
      </c>
      <c r="I30" s="78">
        <f>IFERROR(IF(output!P32&lt;0,"****",output!$U32/10^6),0)</f>
        <v>0</v>
      </c>
      <c r="J30" s="78">
        <f>IFERROR(IF(output!R32&lt;0,"****",output!$V32/10^6),0)</f>
        <v>0</v>
      </c>
      <c r="K30" s="78">
        <f>IFERROR(IF(output!T32&lt;0,"****",output!$W32/10^6),0)</f>
        <v>0</v>
      </c>
      <c r="L30" s="78">
        <f>IFERROR(IF(output!P32&lt;0,"****",output!$X32/10^6),0)</f>
        <v>0</v>
      </c>
      <c r="M30" s="78">
        <f>IFERROR(IF(output!R32&lt;0,"****",output!$Y32/10^6),0)</f>
        <v>0</v>
      </c>
      <c r="N30" s="78">
        <f>IFERROR(IF(output!T32&lt;0,"****",output!$Z32/10^6),0)</f>
        <v>0</v>
      </c>
      <c r="O30" s="4"/>
      <c r="P30" s="4"/>
      <c r="Q30" s="4"/>
      <c r="R30" s="4"/>
      <c r="S30" s="4"/>
      <c r="T30" s="4"/>
      <c r="U30" s="4"/>
      <c r="V30" s="4"/>
      <c r="W30" s="4"/>
      <c r="X30" s="4"/>
      <c r="Y30" s="4"/>
      <c r="Z30" s="4"/>
    </row>
    <row r="31" ht="14.25" customHeight="1">
      <c r="A31" s="63" t="str">
        <f>output!B33</f>
        <v/>
      </c>
      <c r="B31" s="67" t="str">
        <f>output!C33</f>
        <v/>
      </c>
      <c r="C31" s="73">
        <f>IFERROR(output!D33/10^6,0)</f>
        <v>0</v>
      </c>
      <c r="D31" s="78">
        <f>IFERROR(output!F33/10^6,0)</f>
        <v>0</v>
      </c>
      <c r="E31" s="78">
        <f>IFERROR(output!G33/10^6,0)</f>
        <v>0</v>
      </c>
      <c r="F31" s="78">
        <f>IFERROR(IF(output!P33&lt;0,"****",output!P33/10^6),0)</f>
        <v>0</v>
      </c>
      <c r="G31" s="78">
        <f>IFERROR(IF(output!R33&lt;0,"****",output!R33/10^6),0)</f>
        <v>0</v>
      </c>
      <c r="H31" s="78">
        <f>IFERROR(IF(output!T33&lt;0,"****",output!T33/10^6),0)</f>
        <v>0</v>
      </c>
      <c r="I31" s="78">
        <f>IFERROR(IF(output!P33&lt;0,"****",output!$U33/10^6),0)</f>
        <v>0</v>
      </c>
      <c r="J31" s="78">
        <f>IFERROR(IF(output!R33&lt;0,"****",output!$V33/10^6),0)</f>
        <v>0</v>
      </c>
      <c r="K31" s="78">
        <f>IFERROR(IF(output!T33&lt;0,"****",output!$W33/10^6),0)</f>
        <v>0</v>
      </c>
      <c r="L31" s="78">
        <f>IFERROR(IF(output!P33&lt;0,"****",output!$X33/10^6),0)</f>
        <v>0</v>
      </c>
      <c r="M31" s="78">
        <f>IFERROR(IF(output!R33&lt;0,"****",output!$Y33/10^6),0)</f>
        <v>0</v>
      </c>
      <c r="N31" s="78">
        <f>IFERROR(IF(output!T33&lt;0,"****",output!$Z33/10^6),0)</f>
        <v>0</v>
      </c>
      <c r="O31" s="4"/>
      <c r="P31" s="4"/>
      <c r="Q31" s="4"/>
      <c r="R31" s="4"/>
      <c r="S31" s="4"/>
      <c r="T31" s="4"/>
      <c r="U31" s="4"/>
      <c r="V31" s="4"/>
      <c r="W31" s="4"/>
      <c r="X31" s="4"/>
      <c r="Y31" s="4"/>
      <c r="Z31" s="4"/>
    </row>
    <row r="32" ht="14.25" customHeight="1">
      <c r="A32" s="63" t="str">
        <f>output!B34</f>
        <v/>
      </c>
      <c r="B32" s="67" t="str">
        <f>output!C34</f>
        <v/>
      </c>
      <c r="C32" s="73">
        <f>IFERROR(output!D34/10^6,0)</f>
        <v>0</v>
      </c>
      <c r="D32" s="78">
        <f>IFERROR(output!F34/10^6,0)</f>
        <v>0</v>
      </c>
      <c r="E32" s="78">
        <f>IFERROR(output!G34/10^6,0)</f>
        <v>0</v>
      </c>
      <c r="F32" s="78">
        <f>IFERROR(IF(output!P34&lt;0,"****",output!P34/10^6),0)</f>
        <v>0</v>
      </c>
      <c r="G32" s="78">
        <f>IFERROR(IF(output!R34&lt;0,"****",output!R34/10^6),0)</f>
        <v>0</v>
      </c>
      <c r="H32" s="78">
        <f>IFERROR(IF(output!T34&lt;0,"****",output!T34/10^6),0)</f>
        <v>0</v>
      </c>
      <c r="I32" s="78">
        <f>IFERROR(IF(output!P34&lt;0,"****",output!$U34/10^6),0)</f>
        <v>0</v>
      </c>
      <c r="J32" s="78">
        <f>IFERROR(IF(output!R34&lt;0,"****",output!$V34/10^6),0)</f>
        <v>0</v>
      </c>
      <c r="K32" s="78">
        <f>IFERROR(IF(output!T34&lt;0,"****",output!$W34/10^6),0)</f>
        <v>0</v>
      </c>
      <c r="L32" s="78">
        <f>IFERROR(IF(output!P34&lt;0,"****",output!$X34/10^6),0)</f>
        <v>0</v>
      </c>
      <c r="M32" s="78">
        <f>IFERROR(IF(output!R34&lt;0,"****",output!$Y34/10^6),0)</f>
        <v>0</v>
      </c>
      <c r="N32" s="78">
        <f>IFERROR(IF(output!T34&lt;0,"****",output!$Z34/10^6),0)</f>
        <v>0</v>
      </c>
      <c r="O32" s="4"/>
      <c r="P32" s="4"/>
      <c r="Q32" s="4"/>
      <c r="R32" s="4"/>
      <c r="S32" s="4"/>
      <c r="T32" s="4"/>
      <c r="U32" s="4"/>
      <c r="V32" s="4"/>
      <c r="W32" s="4"/>
      <c r="X32" s="4"/>
      <c r="Y32" s="4"/>
      <c r="Z32" s="4"/>
    </row>
    <row r="33" ht="14.25" customHeight="1">
      <c r="A33" s="63" t="str">
        <f>output!B35</f>
        <v/>
      </c>
      <c r="B33" s="67" t="str">
        <f>output!C35</f>
        <v/>
      </c>
      <c r="C33" s="73">
        <f>IFERROR(output!D35/10^6,0)</f>
        <v>0</v>
      </c>
      <c r="D33" s="78">
        <f>IFERROR(output!F35/10^6,0)</f>
        <v>0</v>
      </c>
      <c r="E33" s="78">
        <f>IFERROR(output!G35/10^6,0)</f>
        <v>0</v>
      </c>
      <c r="F33" s="78">
        <f>IFERROR(IF(output!P35&lt;0,"****",output!P35/10^6),0)</f>
        <v>0</v>
      </c>
      <c r="G33" s="78">
        <f>IFERROR(IF(output!R35&lt;0,"****",output!R35/10^6),0)</f>
        <v>0</v>
      </c>
      <c r="H33" s="78">
        <f>IFERROR(IF(output!T35&lt;0,"****",output!T35/10^6),0)</f>
        <v>0</v>
      </c>
      <c r="I33" s="78">
        <f>IFERROR(IF(output!P35&lt;0,"****",output!$U35/10^6),0)</f>
        <v>0</v>
      </c>
      <c r="J33" s="78">
        <f>IFERROR(IF(output!R35&lt;0,"****",output!$V35/10^6),0)</f>
        <v>0</v>
      </c>
      <c r="K33" s="78">
        <f>IFERROR(IF(output!T35&lt;0,"****",output!$W35/10^6),0)</f>
        <v>0</v>
      </c>
      <c r="L33" s="78">
        <f>IFERROR(IF(output!P35&lt;0,"****",output!$X35/10^6),0)</f>
        <v>0</v>
      </c>
      <c r="M33" s="78">
        <f>IFERROR(IF(output!R35&lt;0,"****",output!$Y35/10^6),0)</f>
        <v>0</v>
      </c>
      <c r="N33" s="78">
        <f>IFERROR(IF(output!T35&lt;0,"****",output!$Z35/10^6),0)</f>
        <v>0</v>
      </c>
      <c r="O33" s="4"/>
      <c r="P33" s="4"/>
      <c r="Q33" s="4"/>
      <c r="R33" s="4"/>
      <c r="S33" s="4"/>
      <c r="T33" s="4"/>
      <c r="U33" s="4"/>
      <c r="V33" s="4"/>
      <c r="W33" s="4"/>
      <c r="X33" s="4"/>
      <c r="Y33" s="4"/>
      <c r="Z33" s="4"/>
    </row>
    <row r="34" ht="14.25" customHeight="1">
      <c r="A34" s="63" t="str">
        <f>output!B36</f>
        <v/>
      </c>
      <c r="B34" s="67" t="str">
        <f>output!C36</f>
        <v/>
      </c>
      <c r="C34" s="73">
        <f>IFERROR(output!D36/10^6,0)</f>
        <v>0</v>
      </c>
      <c r="D34" s="78">
        <f>IFERROR(output!F36/10^6,0)</f>
        <v>0</v>
      </c>
      <c r="E34" s="78">
        <f>IFERROR(output!G36/10^6,0)</f>
        <v>0</v>
      </c>
      <c r="F34" s="78">
        <f>IFERROR(IF(output!P36&lt;0,"****",output!P36/10^6),0)</f>
        <v>0</v>
      </c>
      <c r="G34" s="78">
        <f>IFERROR(IF(output!R36&lt;0,"****",output!R36/10^6),0)</f>
        <v>0</v>
      </c>
      <c r="H34" s="78">
        <f>IFERROR(IF(output!T36&lt;0,"****",output!T36/10^6),0)</f>
        <v>0</v>
      </c>
      <c r="I34" s="78">
        <f>IFERROR(IF(output!P36&lt;0,"****",output!$U36/10^6),0)</f>
        <v>0</v>
      </c>
      <c r="J34" s="78">
        <f>IFERROR(IF(output!R36&lt;0,"****",output!$V36/10^6),0)</f>
        <v>0</v>
      </c>
      <c r="K34" s="78">
        <f>IFERROR(IF(output!T36&lt;0,"****",output!$W36/10^6),0)</f>
        <v>0</v>
      </c>
      <c r="L34" s="78">
        <f>IFERROR(IF(output!P36&lt;0,"****",output!$X36/10^6),0)</f>
        <v>0</v>
      </c>
      <c r="M34" s="78">
        <f>IFERROR(IF(output!R36&lt;0,"****",output!$Y36/10^6),0)</f>
        <v>0</v>
      </c>
      <c r="N34" s="78">
        <f>IFERROR(IF(output!T36&lt;0,"****",output!$Z36/10^6),0)</f>
        <v>0</v>
      </c>
      <c r="O34" s="4"/>
      <c r="P34" s="4"/>
      <c r="Q34" s="4"/>
      <c r="R34" s="4"/>
      <c r="S34" s="4"/>
      <c r="T34" s="4"/>
      <c r="U34" s="4"/>
      <c r="V34" s="4"/>
      <c r="W34" s="4"/>
      <c r="X34" s="4"/>
      <c r="Y34" s="4"/>
      <c r="Z34" s="4"/>
    </row>
    <row r="35" ht="14.25" customHeight="1">
      <c r="A35" s="63" t="str">
        <f>output!B37</f>
        <v/>
      </c>
      <c r="B35" s="67" t="str">
        <f>output!C37</f>
        <v/>
      </c>
      <c r="C35" s="73">
        <f>IFERROR(output!D37/10^6,0)</f>
        <v>0</v>
      </c>
      <c r="D35" s="78">
        <f>IFERROR(output!F37/10^6,0)</f>
        <v>0</v>
      </c>
      <c r="E35" s="78">
        <f>IFERROR(output!G37/10^6,0)</f>
        <v>0</v>
      </c>
      <c r="F35" s="78">
        <f>IFERROR(IF(output!P37&lt;0,"****",output!P37/10^6),0)</f>
        <v>0</v>
      </c>
      <c r="G35" s="78">
        <f>IFERROR(IF(output!R37&lt;0,"****",output!R37/10^6),0)</f>
        <v>0</v>
      </c>
      <c r="H35" s="78">
        <f>IFERROR(IF(output!T37&lt;0,"****",output!T37/10^6),0)</f>
        <v>0</v>
      </c>
      <c r="I35" s="78">
        <f>IFERROR(IF(output!P37&lt;0,"****",output!$U37/10^6),0)</f>
        <v>0</v>
      </c>
      <c r="J35" s="78">
        <f>IFERROR(IF(output!R37&lt;0,"****",output!$V37/10^6),0)</f>
        <v>0</v>
      </c>
      <c r="K35" s="78">
        <f>IFERROR(IF(output!T37&lt;0,"****",output!$W37/10^6),0)</f>
        <v>0</v>
      </c>
      <c r="L35" s="78">
        <f>IFERROR(IF(output!P37&lt;0,"****",output!$X37/10^6),0)</f>
        <v>0</v>
      </c>
      <c r="M35" s="78">
        <f>IFERROR(IF(output!R37&lt;0,"****",output!$Y37/10^6),0)</f>
        <v>0</v>
      </c>
      <c r="N35" s="78">
        <f>IFERROR(IF(output!T37&lt;0,"****",output!$Z37/10^6),0)</f>
        <v>0</v>
      </c>
      <c r="O35" s="4"/>
      <c r="P35" s="4"/>
      <c r="Q35" s="4"/>
      <c r="R35" s="4"/>
      <c r="S35" s="4"/>
      <c r="T35" s="4"/>
      <c r="U35" s="4"/>
      <c r="V35" s="4"/>
      <c r="W35" s="4"/>
      <c r="X35" s="4"/>
      <c r="Y35" s="4"/>
      <c r="Z35" s="4"/>
    </row>
    <row r="36" ht="14.25" customHeight="1">
      <c r="A36" s="63" t="str">
        <f>output!B38</f>
        <v/>
      </c>
      <c r="B36" s="67" t="str">
        <f>output!C38</f>
        <v/>
      </c>
      <c r="C36" s="73">
        <f>IFERROR(output!D38/10^6,0)</f>
        <v>0</v>
      </c>
      <c r="D36" s="78">
        <f>IFERROR(output!F38/10^6,0)</f>
        <v>0</v>
      </c>
      <c r="E36" s="78">
        <f>IFERROR(output!G38/10^6,0)</f>
        <v>0</v>
      </c>
      <c r="F36" s="78">
        <f>IFERROR(IF(output!P38&lt;0,"****",output!P38/10^6),0)</f>
        <v>0</v>
      </c>
      <c r="G36" s="78">
        <f>IFERROR(IF(output!R38&lt;0,"****",output!R38/10^6),0)</f>
        <v>0</v>
      </c>
      <c r="H36" s="78">
        <f>IFERROR(IF(output!T38&lt;0,"****",output!T38/10^6),0)</f>
        <v>0</v>
      </c>
      <c r="I36" s="78">
        <f>IFERROR(IF(output!P38&lt;0,"****",output!$U38/10^6),0)</f>
        <v>0</v>
      </c>
      <c r="J36" s="78">
        <f>IFERROR(IF(output!R38&lt;0,"****",output!$V38/10^6),0)</f>
        <v>0</v>
      </c>
      <c r="K36" s="78">
        <f>IFERROR(IF(output!T38&lt;0,"****",output!$W38/10^6),0)</f>
        <v>0</v>
      </c>
      <c r="L36" s="78">
        <f>IFERROR(IF(output!P38&lt;0,"****",output!$X38/10^6),0)</f>
        <v>0</v>
      </c>
      <c r="M36" s="78">
        <f>IFERROR(IF(output!R38&lt;0,"****",output!$Y38/10^6),0)</f>
        <v>0</v>
      </c>
      <c r="N36" s="78">
        <f>IFERROR(IF(output!T38&lt;0,"****",output!$Z38/10^6),0)</f>
        <v>0</v>
      </c>
      <c r="O36" s="4"/>
      <c r="P36" s="4"/>
      <c r="Q36" s="4"/>
      <c r="R36" s="4"/>
      <c r="S36" s="4"/>
      <c r="T36" s="4"/>
      <c r="U36" s="4"/>
      <c r="V36" s="4"/>
      <c r="W36" s="4"/>
      <c r="X36" s="4"/>
      <c r="Y36" s="4"/>
      <c r="Z36" s="4"/>
    </row>
    <row r="37" ht="14.25" customHeight="1">
      <c r="A37" s="63" t="str">
        <f>output!B39</f>
        <v/>
      </c>
      <c r="B37" s="67" t="str">
        <f>output!C39</f>
        <v/>
      </c>
      <c r="C37" s="73">
        <f>IFERROR(output!D39/10^6,0)</f>
        <v>0</v>
      </c>
      <c r="D37" s="78">
        <f>IFERROR(output!F39/10^6,0)</f>
        <v>0</v>
      </c>
      <c r="E37" s="78">
        <f>IFERROR(output!G39/10^6,0)</f>
        <v>0</v>
      </c>
      <c r="F37" s="78">
        <f>IFERROR(IF(output!P39&lt;0,"****",output!P39/10^6),0)</f>
        <v>0</v>
      </c>
      <c r="G37" s="78">
        <f>IFERROR(IF(output!R39&lt;0,"****",output!R39/10^6),0)</f>
        <v>0</v>
      </c>
      <c r="H37" s="78">
        <f>IFERROR(IF(output!T39&lt;0,"****",output!T39/10^6),0)</f>
        <v>0</v>
      </c>
      <c r="I37" s="78">
        <f>IFERROR(IF(output!P39&lt;0,"****",output!$U39/10^6),0)</f>
        <v>0</v>
      </c>
      <c r="J37" s="78">
        <f>IFERROR(IF(output!R39&lt;0,"****",output!$V39/10^6),0)</f>
        <v>0</v>
      </c>
      <c r="K37" s="78">
        <f>IFERROR(IF(output!T39&lt;0,"****",output!$W39/10^6),0)</f>
        <v>0</v>
      </c>
      <c r="L37" s="78">
        <f>IFERROR(IF(output!P39&lt;0,"****",output!$X39/10^6),0)</f>
        <v>0</v>
      </c>
      <c r="M37" s="78">
        <f>IFERROR(IF(output!R39&lt;0,"****",output!$Y39/10^6),0)</f>
        <v>0</v>
      </c>
      <c r="N37" s="78">
        <f>IFERROR(IF(output!T39&lt;0,"****",output!$Z39/10^6),0)</f>
        <v>0</v>
      </c>
      <c r="O37" s="4"/>
      <c r="P37" s="4"/>
      <c r="Q37" s="4"/>
      <c r="R37" s="4"/>
      <c r="S37" s="4"/>
      <c r="T37" s="4"/>
      <c r="U37" s="4"/>
      <c r="V37" s="4"/>
      <c r="W37" s="4"/>
      <c r="X37" s="4"/>
      <c r="Y37" s="4"/>
      <c r="Z37" s="4"/>
    </row>
    <row r="38" ht="14.25" customHeight="1">
      <c r="A38" s="63" t="str">
        <f>output!B40</f>
        <v/>
      </c>
      <c r="B38" s="67" t="str">
        <f>output!C40</f>
        <v/>
      </c>
      <c r="C38" s="73">
        <f>IFERROR(output!D40/10^6,0)</f>
        <v>0</v>
      </c>
      <c r="D38" s="78">
        <f>IFERROR(output!F40/10^6,0)</f>
        <v>0</v>
      </c>
      <c r="E38" s="78">
        <f>IFERROR(output!G40/10^6,0)</f>
        <v>0</v>
      </c>
      <c r="F38" s="78">
        <f>IFERROR(IF(output!P40&lt;0,"****",output!P40/10^6),0)</f>
        <v>0</v>
      </c>
      <c r="G38" s="78">
        <f>IFERROR(IF(output!R40&lt;0,"****",output!R40/10^6),0)</f>
        <v>0</v>
      </c>
      <c r="H38" s="78">
        <f>IFERROR(IF(output!T40&lt;0,"****",output!T40/10^6),0)</f>
        <v>0</v>
      </c>
      <c r="I38" s="78">
        <f>IFERROR(IF(output!P40&lt;0,"****",output!$U40/10^6),0)</f>
        <v>0</v>
      </c>
      <c r="J38" s="78">
        <f>IFERROR(IF(output!R40&lt;0,"****",output!$V40/10^6),0)</f>
        <v>0</v>
      </c>
      <c r="K38" s="78">
        <f>IFERROR(IF(output!T40&lt;0,"****",output!$W40/10^6),0)</f>
        <v>0</v>
      </c>
      <c r="L38" s="78">
        <f>IFERROR(IF(output!P40&lt;0,"****",output!$X40/10^6),0)</f>
        <v>0</v>
      </c>
      <c r="M38" s="78">
        <f>IFERROR(IF(output!R40&lt;0,"****",output!$Y40/10^6),0)</f>
        <v>0</v>
      </c>
      <c r="N38" s="78">
        <f>IFERROR(IF(output!T40&lt;0,"****",output!$Z40/10^6),0)</f>
        <v>0</v>
      </c>
      <c r="O38" s="4"/>
      <c r="P38" s="4"/>
      <c r="Q38" s="4"/>
      <c r="R38" s="4"/>
      <c r="S38" s="4"/>
      <c r="T38" s="4"/>
      <c r="U38" s="4"/>
      <c r="V38" s="4"/>
      <c r="W38" s="4"/>
      <c r="X38" s="4"/>
      <c r="Y38" s="4"/>
      <c r="Z38" s="4"/>
    </row>
    <row r="39" ht="14.25" customHeight="1">
      <c r="A39" s="63" t="str">
        <f>output!B41</f>
        <v/>
      </c>
      <c r="B39" s="67" t="str">
        <f>output!C41</f>
        <v/>
      </c>
      <c r="C39" s="73">
        <f>IFERROR(output!D41/10^6,0)</f>
        <v>0</v>
      </c>
      <c r="D39" s="78">
        <f>IFERROR(output!F41/10^6,0)</f>
        <v>0</v>
      </c>
      <c r="E39" s="78">
        <f>IFERROR(output!G41/10^6,0)</f>
        <v>0</v>
      </c>
      <c r="F39" s="78">
        <f>IFERROR(IF(output!P41&lt;0,"****",output!P41/10^6),0)</f>
        <v>0</v>
      </c>
      <c r="G39" s="78">
        <f>IFERROR(IF(output!R41&lt;0,"****",output!R41/10^6),0)</f>
        <v>0</v>
      </c>
      <c r="H39" s="78">
        <f>IFERROR(IF(output!T41&lt;0,"****",output!T41/10^6),0)</f>
        <v>0</v>
      </c>
      <c r="I39" s="78">
        <f>IFERROR(IF(output!P41&lt;0,"****",output!$U41/10^6),0)</f>
        <v>0</v>
      </c>
      <c r="J39" s="78">
        <f>IFERROR(IF(output!R41&lt;0,"****",output!$V41/10^6),0)</f>
        <v>0</v>
      </c>
      <c r="K39" s="78">
        <f>IFERROR(IF(output!T41&lt;0,"****",output!$W41/10^6),0)</f>
        <v>0</v>
      </c>
      <c r="L39" s="78">
        <f>IFERROR(IF(output!P41&lt;0,"****",output!$X41/10^6),0)</f>
        <v>0</v>
      </c>
      <c r="M39" s="78">
        <f>IFERROR(IF(output!R41&lt;0,"****",output!$Y41/10^6),0)</f>
        <v>0</v>
      </c>
      <c r="N39" s="78">
        <f>IFERROR(IF(output!T41&lt;0,"****",output!$Z41/10^6),0)</f>
        <v>0</v>
      </c>
      <c r="O39" s="4"/>
      <c r="P39" s="4"/>
      <c r="Q39" s="4"/>
      <c r="R39" s="4"/>
      <c r="S39" s="4"/>
      <c r="T39" s="4"/>
      <c r="U39" s="4"/>
      <c r="V39" s="4"/>
      <c r="W39" s="4"/>
      <c r="X39" s="4"/>
      <c r="Y39" s="4"/>
      <c r="Z39" s="4"/>
    </row>
    <row r="40" ht="14.25" customHeight="1">
      <c r="A40" s="63" t="str">
        <f>output!B42</f>
        <v/>
      </c>
      <c r="B40" s="67" t="str">
        <f>output!C42</f>
        <v/>
      </c>
      <c r="C40" s="73">
        <f>IFERROR(output!D42/10^6,0)</f>
        <v>0</v>
      </c>
      <c r="D40" s="78">
        <f>IFERROR(output!F42/10^6,0)</f>
        <v>0</v>
      </c>
      <c r="E40" s="78">
        <f>IFERROR(output!G42/10^6,0)</f>
        <v>0</v>
      </c>
      <c r="F40" s="78">
        <f>IFERROR(IF(output!P42&lt;0,"****",output!P42/10^6),0)</f>
        <v>0</v>
      </c>
      <c r="G40" s="78">
        <f>IFERROR(IF(output!R42&lt;0,"****",output!R42/10^6),0)</f>
        <v>0</v>
      </c>
      <c r="H40" s="78">
        <f>IFERROR(IF(output!T42&lt;0,"****",output!T42/10^6),0)</f>
        <v>0</v>
      </c>
      <c r="I40" s="78">
        <f>IFERROR(IF(output!P42&lt;0,"****",output!$U42/10^6),0)</f>
        <v>0</v>
      </c>
      <c r="J40" s="78">
        <f>IFERROR(IF(output!R42&lt;0,"****",output!$V42/10^6),0)</f>
        <v>0</v>
      </c>
      <c r="K40" s="78">
        <f>IFERROR(IF(output!T42&lt;0,"****",output!$W42/10^6),0)</f>
        <v>0</v>
      </c>
      <c r="L40" s="78">
        <f>IFERROR(IF(output!P42&lt;0,"****",output!$X42/10^6),0)</f>
        <v>0</v>
      </c>
      <c r="M40" s="78">
        <f>IFERROR(IF(output!R42&lt;0,"****",output!$Y42/10^6),0)</f>
        <v>0</v>
      </c>
      <c r="N40" s="78">
        <f>IFERROR(IF(output!T42&lt;0,"****",output!$Z42/10^6),0)</f>
        <v>0</v>
      </c>
      <c r="O40" s="4"/>
      <c r="P40" s="4"/>
      <c r="Q40" s="4"/>
      <c r="R40" s="4"/>
      <c r="S40" s="4"/>
      <c r="T40" s="4"/>
      <c r="U40" s="4"/>
      <c r="V40" s="4"/>
      <c r="W40" s="4"/>
      <c r="X40" s="4"/>
      <c r="Y40" s="4"/>
      <c r="Z40" s="4"/>
    </row>
    <row r="41" ht="14.25" customHeight="1">
      <c r="A41" s="63" t="str">
        <f>output!B43</f>
        <v/>
      </c>
      <c r="B41" s="67" t="str">
        <f>output!C43</f>
        <v/>
      </c>
      <c r="C41" s="73">
        <f>IFERROR(output!D43/10^6,0)</f>
        <v>0</v>
      </c>
      <c r="D41" s="78">
        <f>IFERROR(output!F43/10^6,0)</f>
        <v>0</v>
      </c>
      <c r="E41" s="78">
        <f>IFERROR(output!G43/10^6,0)</f>
        <v>0</v>
      </c>
      <c r="F41" s="78">
        <f>IFERROR(IF(output!P43&lt;0,"****",output!P43/10^6),0)</f>
        <v>0</v>
      </c>
      <c r="G41" s="78">
        <f>IFERROR(IF(output!R43&lt;0,"****",output!R43/10^6),0)</f>
        <v>0</v>
      </c>
      <c r="H41" s="78">
        <f>IFERROR(IF(output!T43&lt;0,"****",output!T43/10^6),0)</f>
        <v>0</v>
      </c>
      <c r="I41" s="78">
        <f>IFERROR(IF(output!P43&lt;0,"****",output!$U43/10^6),0)</f>
        <v>0</v>
      </c>
      <c r="J41" s="78">
        <f>IFERROR(IF(output!R43&lt;0,"****",output!$V43/10^6),0)</f>
        <v>0</v>
      </c>
      <c r="K41" s="78">
        <f>IFERROR(IF(output!T43&lt;0,"****",output!$W43/10^6),0)</f>
        <v>0</v>
      </c>
      <c r="L41" s="78">
        <f>IFERROR(IF(output!P43&lt;0,"****",output!$X43/10^6),0)</f>
        <v>0</v>
      </c>
      <c r="M41" s="78">
        <f>IFERROR(IF(output!R43&lt;0,"****",output!$Y43/10^6),0)</f>
        <v>0</v>
      </c>
      <c r="N41" s="78">
        <f>IFERROR(IF(output!T43&lt;0,"****",output!$Z43/10^6),0)</f>
        <v>0</v>
      </c>
      <c r="O41" s="4"/>
      <c r="P41" s="4"/>
      <c r="Q41" s="4"/>
      <c r="R41" s="4"/>
      <c r="S41" s="4"/>
      <c r="T41" s="4"/>
      <c r="U41" s="4"/>
      <c r="V41" s="4"/>
      <c r="W41" s="4"/>
      <c r="X41" s="4"/>
      <c r="Y41" s="4"/>
      <c r="Z41" s="4"/>
    </row>
    <row r="42" ht="14.25" customHeight="1">
      <c r="A42" s="63" t="str">
        <f>output!B44</f>
        <v/>
      </c>
      <c r="B42" s="67" t="str">
        <f>output!C44</f>
        <v/>
      </c>
      <c r="C42" s="73">
        <f>IFERROR(output!D44/10^6,0)</f>
        <v>0</v>
      </c>
      <c r="D42" s="78">
        <f>IFERROR(output!F44/10^6,0)</f>
        <v>0</v>
      </c>
      <c r="E42" s="78">
        <f>IFERROR(output!G44/10^6,0)</f>
        <v>0</v>
      </c>
      <c r="F42" s="78">
        <f>IFERROR(IF(output!P44&lt;0,"****",output!P44/10^6),0)</f>
        <v>0</v>
      </c>
      <c r="G42" s="78">
        <f>IFERROR(IF(output!R44&lt;0,"****",output!R44/10^6),0)</f>
        <v>0</v>
      </c>
      <c r="H42" s="78">
        <f>IFERROR(IF(output!T44&lt;0,"****",output!T44/10^6),0)</f>
        <v>0</v>
      </c>
      <c r="I42" s="78">
        <f>IFERROR(IF(output!P44&lt;0,"****",output!$U44/10^6),0)</f>
        <v>0</v>
      </c>
      <c r="J42" s="78">
        <f>IFERROR(IF(output!R44&lt;0,"****",output!$V44/10^6),0)</f>
        <v>0</v>
      </c>
      <c r="K42" s="78">
        <f>IFERROR(IF(output!T44&lt;0,"****",output!$W44/10^6),0)</f>
        <v>0</v>
      </c>
      <c r="L42" s="78">
        <f>IFERROR(IF(output!P44&lt;0,"****",output!$X44/10^6),0)</f>
        <v>0</v>
      </c>
      <c r="M42" s="78">
        <f>IFERROR(IF(output!R44&lt;0,"****",output!$Y44/10^6),0)</f>
        <v>0</v>
      </c>
      <c r="N42" s="78">
        <f>IFERROR(IF(output!T44&lt;0,"****",output!$Z44/10^6),0)</f>
        <v>0</v>
      </c>
      <c r="O42" s="4"/>
      <c r="P42" s="4"/>
      <c r="Q42" s="4"/>
      <c r="R42" s="4"/>
      <c r="S42" s="4"/>
      <c r="T42" s="4"/>
      <c r="U42" s="4"/>
      <c r="V42" s="4"/>
      <c r="W42" s="4"/>
      <c r="X42" s="4"/>
      <c r="Y42" s="4"/>
      <c r="Z42" s="4"/>
    </row>
    <row r="43" ht="14.25" customHeight="1">
      <c r="A43" s="63" t="str">
        <f>output!B45</f>
        <v/>
      </c>
      <c r="B43" s="67" t="str">
        <f>output!C45</f>
        <v/>
      </c>
      <c r="C43" s="73">
        <f>IFERROR(output!D45/10^6,0)</f>
        <v>0</v>
      </c>
      <c r="D43" s="78">
        <f>IFERROR(output!F45/10^6,0)</f>
        <v>0</v>
      </c>
      <c r="E43" s="78">
        <f>IFERROR(output!G45/10^6,0)</f>
        <v>0</v>
      </c>
      <c r="F43" s="78">
        <f>IFERROR(IF(output!P45&lt;0,"****",output!P45/10^6),0)</f>
        <v>0</v>
      </c>
      <c r="G43" s="78">
        <f>IFERROR(IF(output!R45&lt;0,"****",output!R45/10^6),0)</f>
        <v>0</v>
      </c>
      <c r="H43" s="78">
        <f>IFERROR(IF(output!T45&lt;0,"****",output!T45/10^6),0)</f>
        <v>0</v>
      </c>
      <c r="I43" s="78">
        <f>IFERROR(IF(output!P45&lt;0,"****",output!$U45/10^6),0)</f>
        <v>0</v>
      </c>
      <c r="J43" s="78">
        <f>IFERROR(IF(output!R45&lt;0,"****",output!$V45/10^6),0)</f>
        <v>0</v>
      </c>
      <c r="K43" s="78">
        <f>IFERROR(IF(output!T45&lt;0,"****",output!$W45/10^6),0)</f>
        <v>0</v>
      </c>
      <c r="L43" s="78">
        <f>IFERROR(IF(output!P45&lt;0,"****",output!$X45/10^6),0)</f>
        <v>0</v>
      </c>
      <c r="M43" s="78">
        <f>IFERROR(IF(output!R45&lt;0,"****",output!$Y45/10^6),0)</f>
        <v>0</v>
      </c>
      <c r="N43" s="78">
        <f>IFERROR(IF(output!T45&lt;0,"****",output!$Z45/10^6),0)</f>
        <v>0</v>
      </c>
      <c r="O43" s="4"/>
      <c r="P43" s="4"/>
      <c r="Q43" s="4"/>
      <c r="R43" s="4"/>
      <c r="S43" s="4"/>
      <c r="T43" s="4"/>
      <c r="U43" s="4"/>
      <c r="V43" s="4"/>
      <c r="W43" s="4"/>
      <c r="X43" s="4"/>
      <c r="Y43" s="4"/>
      <c r="Z43" s="4"/>
    </row>
    <row r="44" ht="14.25" customHeight="1">
      <c r="A44" s="63" t="str">
        <f>output!B46</f>
        <v/>
      </c>
      <c r="B44" s="67" t="str">
        <f>output!C46</f>
        <v/>
      </c>
      <c r="C44" s="73">
        <f>IFERROR(output!D46/10^6,0)</f>
        <v>0</v>
      </c>
      <c r="D44" s="78">
        <f>IFERROR(output!F46/10^6,0)</f>
        <v>0</v>
      </c>
      <c r="E44" s="78">
        <f>IFERROR(output!G46/10^6,0)</f>
        <v>0</v>
      </c>
      <c r="F44" s="78">
        <f>IFERROR(IF(output!P46&lt;0,"****",output!P46/10^6),0)</f>
        <v>0</v>
      </c>
      <c r="G44" s="78">
        <f>IFERROR(IF(output!R46&lt;0,"****",output!R46/10^6),0)</f>
        <v>0</v>
      </c>
      <c r="H44" s="78">
        <f>IFERROR(IF(output!T46&lt;0,"****",output!T46/10^6),0)</f>
        <v>0</v>
      </c>
      <c r="I44" s="78">
        <f>IFERROR(IF(output!P46&lt;0,"****",output!$U46/10^6),0)</f>
        <v>0</v>
      </c>
      <c r="J44" s="78">
        <f>IFERROR(IF(output!R46&lt;0,"****",output!$V46/10^6),0)</f>
        <v>0</v>
      </c>
      <c r="K44" s="78">
        <f>IFERROR(IF(output!T46&lt;0,"****",output!$W46/10^6),0)</f>
        <v>0</v>
      </c>
      <c r="L44" s="78">
        <f>IFERROR(IF(output!P46&lt;0,"****",output!$X46/10^6),0)</f>
        <v>0</v>
      </c>
      <c r="M44" s="78">
        <f>IFERROR(IF(output!R46&lt;0,"****",output!$Y46/10^6),0)</f>
        <v>0</v>
      </c>
      <c r="N44" s="78">
        <f>IFERROR(IF(output!T46&lt;0,"****",output!$Z46/10^6),0)</f>
        <v>0</v>
      </c>
      <c r="O44" s="4"/>
      <c r="P44" s="4"/>
      <c r="Q44" s="4"/>
      <c r="R44" s="4"/>
      <c r="S44" s="4"/>
      <c r="T44" s="4"/>
      <c r="U44" s="4"/>
      <c r="V44" s="4"/>
      <c r="W44" s="4"/>
      <c r="X44" s="4"/>
      <c r="Y44" s="4"/>
      <c r="Z44" s="4"/>
    </row>
    <row r="45" ht="14.25" customHeight="1">
      <c r="A45" s="63" t="str">
        <f>output!B47</f>
        <v/>
      </c>
      <c r="B45" s="67" t="str">
        <f>output!C47</f>
        <v/>
      </c>
      <c r="C45" s="73">
        <f>IFERROR(output!D47/10^6,0)</f>
        <v>0</v>
      </c>
      <c r="D45" s="78">
        <f>IFERROR(output!F47/10^6,0)</f>
        <v>0</v>
      </c>
      <c r="E45" s="78">
        <f>IFERROR(output!G47/10^6,0)</f>
        <v>0</v>
      </c>
      <c r="F45" s="78">
        <f>IFERROR(IF(output!P47&lt;0,"****",output!P47/10^6),0)</f>
        <v>0</v>
      </c>
      <c r="G45" s="78">
        <f>IFERROR(IF(output!R47&lt;0,"****",output!R47/10^6),0)</f>
        <v>0</v>
      </c>
      <c r="H45" s="78">
        <f>IFERROR(IF(output!T47&lt;0,"****",output!T47/10^6),0)</f>
        <v>0</v>
      </c>
      <c r="I45" s="78">
        <f>IFERROR(IF(output!P47&lt;0,"****",output!$U47/10^6),0)</f>
        <v>0</v>
      </c>
      <c r="J45" s="78">
        <f>IFERROR(IF(output!R47&lt;0,"****",output!$V47/10^6),0)</f>
        <v>0</v>
      </c>
      <c r="K45" s="78">
        <f>IFERROR(IF(output!T47&lt;0,"****",output!$W47/10^6),0)</f>
        <v>0</v>
      </c>
      <c r="L45" s="78">
        <f>IFERROR(IF(output!P47&lt;0,"****",output!$X47/10^6),0)</f>
        <v>0</v>
      </c>
      <c r="M45" s="78">
        <f>IFERROR(IF(output!R47&lt;0,"****",output!$Y47/10^6),0)</f>
        <v>0</v>
      </c>
      <c r="N45" s="78">
        <f>IFERROR(IF(output!T47&lt;0,"****",output!$Z47/10^6),0)</f>
        <v>0</v>
      </c>
      <c r="O45" s="4"/>
      <c r="P45" s="4"/>
      <c r="Q45" s="4"/>
      <c r="R45" s="4"/>
      <c r="S45" s="4"/>
      <c r="T45" s="4"/>
      <c r="U45" s="4"/>
      <c r="V45" s="4"/>
      <c r="W45" s="4"/>
      <c r="X45" s="4"/>
      <c r="Y45" s="4"/>
      <c r="Z45" s="4"/>
    </row>
    <row r="46" ht="14.25" customHeight="1">
      <c r="A46" s="63" t="str">
        <f>output!B48</f>
        <v/>
      </c>
      <c r="B46" s="67" t="str">
        <f>output!C48</f>
        <v/>
      </c>
      <c r="C46" s="73">
        <f>IFERROR(output!D48/10^6,0)</f>
        <v>0</v>
      </c>
      <c r="D46" s="78">
        <f>IFERROR(output!F48/10^6,0)</f>
        <v>0</v>
      </c>
      <c r="E46" s="78">
        <f>IFERROR(output!G48/10^6,0)</f>
        <v>0</v>
      </c>
      <c r="F46" s="78">
        <f>IFERROR(IF(output!P48&lt;0,"****",output!P48/10^6),0)</f>
        <v>0</v>
      </c>
      <c r="G46" s="78">
        <f>IFERROR(IF(output!R48&lt;0,"****",output!R48/10^6),0)</f>
        <v>0</v>
      </c>
      <c r="H46" s="78">
        <f>IFERROR(IF(output!T48&lt;0,"****",output!T48/10^6),0)</f>
        <v>0</v>
      </c>
      <c r="I46" s="78">
        <f>IFERROR(IF(output!P48&lt;0,"****",output!$U48/10^6),0)</f>
        <v>0</v>
      </c>
      <c r="J46" s="78">
        <f>IFERROR(IF(output!R48&lt;0,"****",output!$V48/10^6),0)</f>
        <v>0</v>
      </c>
      <c r="K46" s="78">
        <f>IFERROR(IF(output!T48&lt;0,"****",output!$W48/10^6),0)</f>
        <v>0</v>
      </c>
      <c r="L46" s="78">
        <f>IFERROR(IF(output!P48&lt;0,"****",output!$X48/10^6),0)</f>
        <v>0</v>
      </c>
      <c r="M46" s="78">
        <f>IFERROR(IF(output!R48&lt;0,"****",output!$Y48/10^6),0)</f>
        <v>0</v>
      </c>
      <c r="N46" s="78">
        <f>IFERROR(IF(output!T48&lt;0,"****",output!$Z48/10^6),0)</f>
        <v>0</v>
      </c>
      <c r="O46" s="4"/>
      <c r="P46" s="4"/>
      <c r="Q46" s="4"/>
      <c r="R46" s="4"/>
      <c r="S46" s="4"/>
      <c r="T46" s="4"/>
      <c r="U46" s="4"/>
      <c r="V46" s="4"/>
      <c r="W46" s="4"/>
      <c r="X46" s="4"/>
      <c r="Y46" s="4"/>
      <c r="Z46" s="4"/>
    </row>
    <row r="47" ht="14.25" customHeight="1">
      <c r="A47" s="63" t="str">
        <f>output!B49</f>
        <v/>
      </c>
      <c r="B47" s="67" t="str">
        <f>output!C49</f>
        <v/>
      </c>
      <c r="C47" s="73">
        <f>IFERROR(output!D49/10^6,0)</f>
        <v>0</v>
      </c>
      <c r="D47" s="78">
        <f>IFERROR(output!F49/10^6,0)</f>
        <v>0</v>
      </c>
      <c r="E47" s="78">
        <f>IFERROR(output!G49/10^6,0)</f>
        <v>0</v>
      </c>
      <c r="F47" s="78">
        <f>IFERROR(IF(output!P49&lt;0,"****",output!P49/10^6),0)</f>
        <v>0</v>
      </c>
      <c r="G47" s="78">
        <f>IFERROR(IF(output!R49&lt;0,"****",output!R49/10^6),0)</f>
        <v>0</v>
      </c>
      <c r="H47" s="78">
        <f>IFERROR(IF(output!T49&lt;0,"****",output!T49/10^6),0)</f>
        <v>0</v>
      </c>
      <c r="I47" s="78">
        <f>IFERROR(IF(output!P49&lt;0,"****",output!$U49/10^6),0)</f>
        <v>0</v>
      </c>
      <c r="J47" s="78">
        <f>IFERROR(IF(output!R49&lt;0,"****",output!$V49/10^6),0)</f>
        <v>0</v>
      </c>
      <c r="K47" s="78">
        <f>IFERROR(IF(output!T49&lt;0,"****",output!$W49/10^6),0)</f>
        <v>0</v>
      </c>
      <c r="L47" s="78">
        <f>IFERROR(IF(output!P49&lt;0,"****",output!$X49/10^6),0)</f>
        <v>0</v>
      </c>
      <c r="M47" s="78">
        <f>IFERROR(IF(output!R49&lt;0,"****",output!$Y49/10^6),0)</f>
        <v>0</v>
      </c>
      <c r="N47" s="78">
        <f>IFERROR(IF(output!T49&lt;0,"****",output!$Z49/10^6),0)</f>
        <v>0</v>
      </c>
      <c r="O47" s="4"/>
      <c r="P47" s="4"/>
      <c r="Q47" s="4"/>
      <c r="R47" s="4"/>
      <c r="S47" s="4"/>
      <c r="T47" s="4"/>
      <c r="U47" s="4"/>
      <c r="V47" s="4"/>
      <c r="W47" s="4"/>
      <c r="X47" s="4"/>
      <c r="Y47" s="4"/>
      <c r="Z47" s="4"/>
    </row>
    <row r="48" ht="14.25" customHeight="1">
      <c r="A48" s="63" t="str">
        <f>output!B50</f>
        <v/>
      </c>
      <c r="B48" s="67" t="str">
        <f>output!C50</f>
        <v/>
      </c>
      <c r="C48" s="73">
        <f>IFERROR(output!D50/10^6,0)</f>
        <v>0</v>
      </c>
      <c r="D48" s="78">
        <f>IFERROR(output!F50/10^6,0)</f>
        <v>0</v>
      </c>
      <c r="E48" s="78">
        <f>IFERROR(output!G50/10^6,0)</f>
        <v>0</v>
      </c>
      <c r="F48" s="78">
        <f>IFERROR(IF(output!P50&lt;0,"****",output!P50/10^6),0)</f>
        <v>0</v>
      </c>
      <c r="G48" s="78">
        <f>IFERROR(IF(output!R50&lt;0,"****",output!R50/10^6),0)</f>
        <v>0</v>
      </c>
      <c r="H48" s="78">
        <f>IFERROR(IF(output!T50&lt;0,"****",output!T50/10^6),0)</f>
        <v>0</v>
      </c>
      <c r="I48" s="78">
        <f>IFERROR(IF(output!P50&lt;0,"****",output!$U50/10^6),0)</f>
        <v>0</v>
      </c>
      <c r="J48" s="78">
        <f>IFERROR(IF(output!R50&lt;0,"****",output!$V50/10^6),0)</f>
        <v>0</v>
      </c>
      <c r="K48" s="78">
        <f>IFERROR(IF(output!T50&lt;0,"****",output!$W50/10^6),0)</f>
        <v>0</v>
      </c>
      <c r="L48" s="78">
        <f>IFERROR(IF(output!P50&lt;0,"****",output!$X50/10^6),0)</f>
        <v>0</v>
      </c>
      <c r="M48" s="78">
        <f>IFERROR(IF(output!R50&lt;0,"****",output!$Y50/10^6),0)</f>
        <v>0</v>
      </c>
      <c r="N48" s="78">
        <f>IFERROR(IF(output!T50&lt;0,"****",output!$Z50/10^6),0)</f>
        <v>0</v>
      </c>
      <c r="O48" s="4"/>
      <c r="P48" s="4"/>
      <c r="Q48" s="4"/>
      <c r="R48" s="4"/>
      <c r="S48" s="4"/>
      <c r="T48" s="4"/>
      <c r="U48" s="4"/>
      <c r="V48" s="4"/>
      <c r="W48" s="4"/>
      <c r="X48" s="4"/>
      <c r="Y48" s="4"/>
      <c r="Z48" s="4"/>
    </row>
    <row r="49" ht="14.25" customHeight="1">
      <c r="A49" s="63" t="str">
        <f>output!B51</f>
        <v/>
      </c>
      <c r="B49" s="67" t="str">
        <f>output!C51</f>
        <v/>
      </c>
      <c r="C49" s="73">
        <f>IFERROR(output!D51/10^6,0)</f>
        <v>0</v>
      </c>
      <c r="D49" s="78">
        <f>IFERROR(output!F51/10^6,0)</f>
        <v>0</v>
      </c>
      <c r="E49" s="78">
        <f>IFERROR(output!G51/10^6,0)</f>
        <v>0</v>
      </c>
      <c r="F49" s="78">
        <f>IFERROR(IF(output!P51&lt;0,"****",output!P51/10^6),0)</f>
        <v>0</v>
      </c>
      <c r="G49" s="78">
        <f>IFERROR(IF(output!R51&lt;0,"****",output!R51/10^6),0)</f>
        <v>0</v>
      </c>
      <c r="H49" s="78">
        <f>IFERROR(IF(output!T51&lt;0,"****",output!T51/10^6),0)</f>
        <v>0</v>
      </c>
      <c r="I49" s="78">
        <f>IFERROR(IF(output!P51&lt;0,"****",output!$U51/10^6),0)</f>
        <v>0</v>
      </c>
      <c r="J49" s="78">
        <f>IFERROR(IF(output!R51&lt;0,"****",output!$V51/10^6),0)</f>
        <v>0</v>
      </c>
      <c r="K49" s="78">
        <f>IFERROR(IF(output!T51&lt;0,"****",output!$W51/10^6),0)</f>
        <v>0</v>
      </c>
      <c r="L49" s="78">
        <f>IFERROR(IF(output!P51&lt;0,"****",output!$X51/10^6),0)</f>
        <v>0</v>
      </c>
      <c r="M49" s="78">
        <f>IFERROR(IF(output!R51&lt;0,"****",output!$Y51/10^6),0)</f>
        <v>0</v>
      </c>
      <c r="N49" s="78">
        <f>IFERROR(IF(output!T51&lt;0,"****",output!$Z51/10^6),0)</f>
        <v>0</v>
      </c>
      <c r="O49" s="4"/>
      <c r="P49" s="4"/>
      <c r="Q49" s="4"/>
      <c r="R49" s="4"/>
      <c r="S49" s="4"/>
      <c r="T49" s="4"/>
      <c r="U49" s="4"/>
      <c r="V49" s="4"/>
      <c r="W49" s="4"/>
      <c r="X49" s="4"/>
      <c r="Y49" s="4"/>
      <c r="Z49" s="4"/>
    </row>
    <row r="50" ht="14.25" customHeight="1">
      <c r="A50" s="63" t="str">
        <f>output!B52</f>
        <v/>
      </c>
      <c r="B50" s="67" t="str">
        <f>output!C52</f>
        <v/>
      </c>
      <c r="C50" s="73">
        <f>IFERROR(output!D52/10^6,0)</f>
        <v>0</v>
      </c>
      <c r="D50" s="78">
        <f>IFERROR(output!F52/10^6,0)</f>
        <v>0</v>
      </c>
      <c r="E50" s="78">
        <f>IFERROR(output!G52/10^6,0)</f>
        <v>0</v>
      </c>
      <c r="F50" s="78">
        <f>IFERROR(IF(output!P52&lt;0,"****",output!P52/10^6),0)</f>
        <v>0</v>
      </c>
      <c r="G50" s="78">
        <f>IFERROR(IF(output!R52&lt;0,"****",output!R52/10^6),0)</f>
        <v>0</v>
      </c>
      <c r="H50" s="78">
        <f>IFERROR(IF(output!T52&lt;0,"****",output!T52/10^6),0)</f>
        <v>0</v>
      </c>
      <c r="I50" s="78">
        <f>IFERROR(IF(output!P52&lt;0,"****",output!$U52/10^6),0)</f>
        <v>0</v>
      </c>
      <c r="J50" s="78">
        <f>IFERROR(IF(output!R52&lt;0,"****",output!$V52/10^6),0)</f>
        <v>0</v>
      </c>
      <c r="K50" s="78">
        <f>IFERROR(IF(output!T52&lt;0,"****",output!$W52/10^6),0)</f>
        <v>0</v>
      </c>
      <c r="L50" s="78">
        <f>IFERROR(IF(output!P52&lt;0,"****",output!$X52/10^6),0)</f>
        <v>0</v>
      </c>
      <c r="M50" s="78">
        <f>IFERROR(IF(output!R52&lt;0,"****",output!$Y52/10^6),0)</f>
        <v>0</v>
      </c>
      <c r="N50" s="78">
        <f>IFERROR(IF(output!T52&lt;0,"****",output!$Z52/10^6),0)</f>
        <v>0</v>
      </c>
      <c r="O50" s="4"/>
      <c r="P50" s="4"/>
      <c r="Q50" s="4"/>
      <c r="R50" s="4"/>
      <c r="S50" s="4"/>
      <c r="T50" s="4"/>
      <c r="U50" s="4"/>
      <c r="V50" s="4"/>
      <c r="W50" s="4"/>
      <c r="X50" s="4"/>
      <c r="Y50" s="4"/>
      <c r="Z50" s="4"/>
    </row>
    <row r="51" ht="14.25" customHeight="1">
      <c r="A51" s="63" t="str">
        <f>output!B53</f>
        <v/>
      </c>
      <c r="B51" s="67" t="str">
        <f>output!C53</f>
        <v/>
      </c>
      <c r="C51" s="73">
        <f>IFERROR(output!D53/10^6,0)</f>
        <v>0</v>
      </c>
      <c r="D51" s="78">
        <f>IFERROR(output!F53/10^6,0)</f>
        <v>0</v>
      </c>
      <c r="E51" s="78">
        <f>IFERROR(output!G53/10^6,0)</f>
        <v>0</v>
      </c>
      <c r="F51" s="78">
        <f>IFERROR(IF(output!P53&lt;0,"****",output!P53/10^6),0)</f>
        <v>0</v>
      </c>
      <c r="G51" s="78">
        <f>IFERROR(IF(output!R53&lt;0,"****",output!R53/10^6),0)</f>
        <v>0</v>
      </c>
      <c r="H51" s="78">
        <f>IFERROR(IF(output!T53&lt;0,"****",output!T53/10^6),0)</f>
        <v>0</v>
      </c>
      <c r="I51" s="78">
        <f>IFERROR(IF(output!P53&lt;0,"****",output!$U53/10^6),0)</f>
        <v>0</v>
      </c>
      <c r="J51" s="78">
        <f>IFERROR(IF(output!R53&lt;0,"****",output!$V53/10^6),0)</f>
        <v>0</v>
      </c>
      <c r="K51" s="78">
        <f>IFERROR(IF(output!T53&lt;0,"****",output!$W53/10^6),0)</f>
        <v>0</v>
      </c>
      <c r="L51" s="78">
        <f>IFERROR(IF(output!P53&lt;0,"****",output!$X53/10^6),0)</f>
        <v>0</v>
      </c>
      <c r="M51" s="78">
        <f>IFERROR(IF(output!R53&lt;0,"****",output!$Y53/10^6),0)</f>
        <v>0</v>
      </c>
      <c r="N51" s="78">
        <f>IFERROR(IF(output!T53&lt;0,"****",output!$Z53/10^6),0)</f>
        <v>0</v>
      </c>
      <c r="O51" s="4"/>
      <c r="P51" s="4"/>
      <c r="Q51" s="4"/>
      <c r="R51" s="4"/>
      <c r="S51" s="4"/>
      <c r="T51" s="4"/>
      <c r="U51" s="4"/>
      <c r="V51" s="4"/>
      <c r="W51" s="4"/>
      <c r="X51" s="4"/>
      <c r="Y51" s="4"/>
      <c r="Z51" s="4"/>
    </row>
    <row r="52" ht="14.25" customHeight="1">
      <c r="A52" s="63" t="str">
        <f>output!B54</f>
        <v/>
      </c>
      <c r="B52" s="67" t="str">
        <f>output!C54</f>
        <v/>
      </c>
      <c r="C52" s="73">
        <f>IFERROR(output!D54/10^6,0)</f>
        <v>0</v>
      </c>
      <c r="D52" s="78">
        <f>IFERROR(output!F54/10^6,0)</f>
        <v>0</v>
      </c>
      <c r="E52" s="78">
        <f>IFERROR(output!G54/10^6,0)</f>
        <v>0</v>
      </c>
      <c r="F52" s="78">
        <f>IFERROR(IF(output!P54&lt;0,"****",output!P54/10^6),0)</f>
        <v>0</v>
      </c>
      <c r="G52" s="78">
        <f>IFERROR(IF(output!R54&lt;0,"****",output!R54/10^6),0)</f>
        <v>0</v>
      </c>
      <c r="H52" s="78">
        <f>IFERROR(IF(output!T54&lt;0,"****",output!T54/10^6),0)</f>
        <v>0</v>
      </c>
      <c r="I52" s="78">
        <f>IFERROR(IF(output!P54&lt;0,"****",output!$U54/10^6),0)</f>
        <v>0</v>
      </c>
      <c r="J52" s="78">
        <f>IFERROR(IF(output!R54&lt;0,"****",output!$V54/10^6),0)</f>
        <v>0</v>
      </c>
      <c r="K52" s="78">
        <f>IFERROR(IF(output!T54&lt;0,"****",output!$W54/10^6),0)</f>
        <v>0</v>
      </c>
      <c r="L52" s="78">
        <f>IFERROR(IF(output!P54&lt;0,"****",output!$X54/10^6),0)</f>
        <v>0</v>
      </c>
      <c r="M52" s="78">
        <f>IFERROR(IF(output!R54&lt;0,"****",output!$Y54/10^6),0)</f>
        <v>0</v>
      </c>
      <c r="N52" s="78">
        <f>IFERROR(IF(output!T54&lt;0,"****",output!$Z54/10^6),0)</f>
        <v>0</v>
      </c>
      <c r="O52" s="4"/>
      <c r="P52" s="4"/>
      <c r="Q52" s="4"/>
      <c r="R52" s="4"/>
      <c r="S52" s="4"/>
      <c r="T52" s="4"/>
      <c r="U52" s="4"/>
      <c r="V52" s="4"/>
      <c r="W52" s="4"/>
      <c r="X52" s="4"/>
      <c r="Y52" s="4"/>
      <c r="Z52" s="4"/>
    </row>
    <row r="53" ht="14.25" customHeight="1">
      <c r="A53" s="63" t="str">
        <f>output!B55</f>
        <v/>
      </c>
      <c r="B53" s="67" t="str">
        <f>output!C55</f>
        <v/>
      </c>
      <c r="C53" s="73">
        <f>IFERROR(output!D55/10^6,0)</f>
        <v>0</v>
      </c>
      <c r="D53" s="78">
        <f>IFERROR(output!F55/10^6,0)</f>
        <v>0</v>
      </c>
      <c r="E53" s="78">
        <f>IFERROR(output!G55/10^6,0)</f>
        <v>0</v>
      </c>
      <c r="F53" s="78">
        <f>IFERROR(IF(output!P55&lt;0,"****",output!P55/10^6),0)</f>
        <v>0</v>
      </c>
      <c r="G53" s="78">
        <f>IFERROR(IF(output!R55&lt;0,"****",output!R55/10^6),0)</f>
        <v>0</v>
      </c>
      <c r="H53" s="78">
        <f>IFERROR(IF(output!T55&lt;0,"****",output!T55/10^6),0)</f>
        <v>0</v>
      </c>
      <c r="I53" s="78">
        <f>IFERROR(IF(output!P55&lt;0,"****",output!$U55/10^6),0)</f>
        <v>0</v>
      </c>
      <c r="J53" s="78">
        <f>IFERROR(IF(output!R55&lt;0,"****",output!$V55/10^6),0)</f>
        <v>0</v>
      </c>
      <c r="K53" s="78">
        <f>IFERROR(IF(output!T55&lt;0,"****",output!$W55/10^6),0)</f>
        <v>0</v>
      </c>
      <c r="L53" s="78">
        <f>IFERROR(IF(output!P55&lt;0,"****",output!$X55/10^6),0)</f>
        <v>0</v>
      </c>
      <c r="M53" s="78">
        <f>IFERROR(IF(output!R55&lt;0,"****",output!$Y55/10^6),0)</f>
        <v>0</v>
      </c>
      <c r="N53" s="78">
        <f>IFERROR(IF(output!T55&lt;0,"****",output!$Z55/10^6),0)</f>
        <v>0</v>
      </c>
      <c r="O53" s="4"/>
      <c r="P53" s="4"/>
      <c r="Q53" s="4"/>
      <c r="R53" s="4"/>
      <c r="S53" s="4"/>
      <c r="T53" s="4"/>
      <c r="U53" s="4"/>
      <c r="V53" s="4"/>
      <c r="W53" s="4"/>
      <c r="X53" s="4"/>
      <c r="Y53" s="4"/>
      <c r="Z53" s="4"/>
    </row>
    <row r="54" ht="14.25" customHeight="1">
      <c r="A54" s="63" t="str">
        <f>output!B56</f>
        <v/>
      </c>
      <c r="B54" s="67" t="str">
        <f>output!C56</f>
        <v/>
      </c>
      <c r="C54" s="73">
        <f>IFERROR(output!D56/10^6,0)</f>
        <v>0</v>
      </c>
      <c r="D54" s="78">
        <f>IFERROR(output!F56/10^6,0)</f>
        <v>0</v>
      </c>
      <c r="E54" s="78">
        <f>IFERROR(output!G56/10^6,0)</f>
        <v>0</v>
      </c>
      <c r="F54" s="78">
        <f>IFERROR(IF(output!P56&lt;0,"****",output!P56/10^6),0)</f>
        <v>0</v>
      </c>
      <c r="G54" s="78">
        <f>IFERROR(IF(output!R56&lt;0,"****",output!R56/10^6),0)</f>
        <v>0</v>
      </c>
      <c r="H54" s="78">
        <f>IFERROR(IF(output!T56&lt;0,"****",output!T56/10^6),0)</f>
        <v>0</v>
      </c>
      <c r="I54" s="78">
        <f>IFERROR(IF(output!P56&lt;0,"****",output!$U56/10^6),0)</f>
        <v>0</v>
      </c>
      <c r="J54" s="78">
        <f>IFERROR(IF(output!R56&lt;0,"****",output!$V56/10^6),0)</f>
        <v>0</v>
      </c>
      <c r="K54" s="78">
        <f>IFERROR(IF(output!T56&lt;0,"****",output!$W56/10^6),0)</f>
        <v>0</v>
      </c>
      <c r="L54" s="78">
        <f>IFERROR(IF(output!P56&lt;0,"****",output!$X56/10^6),0)</f>
        <v>0</v>
      </c>
      <c r="M54" s="78">
        <f>IFERROR(IF(output!R56&lt;0,"****",output!$Y56/10^6),0)</f>
        <v>0</v>
      </c>
      <c r="N54" s="78">
        <f>IFERROR(IF(output!T56&lt;0,"****",output!$Z56/10^6),0)</f>
        <v>0</v>
      </c>
      <c r="O54" s="4"/>
      <c r="P54" s="4"/>
      <c r="Q54" s="4"/>
      <c r="R54" s="4"/>
      <c r="S54" s="4"/>
      <c r="T54" s="4"/>
      <c r="U54" s="4"/>
      <c r="V54" s="4"/>
      <c r="W54" s="4"/>
      <c r="X54" s="4"/>
      <c r="Y54" s="4"/>
      <c r="Z54" s="4"/>
    </row>
    <row r="55" ht="14.25" customHeight="1">
      <c r="A55" s="63" t="str">
        <f>output!B57</f>
        <v/>
      </c>
      <c r="B55" s="67" t="str">
        <f>output!C57</f>
        <v/>
      </c>
      <c r="C55" s="73">
        <f>IFERROR(output!D57/10^6,0)</f>
        <v>0</v>
      </c>
      <c r="D55" s="78">
        <f>IFERROR(output!F57/10^6,0)</f>
        <v>0</v>
      </c>
      <c r="E55" s="78">
        <f>IFERROR(output!G57/10^6,0)</f>
        <v>0</v>
      </c>
      <c r="F55" s="78">
        <f>IFERROR(IF(output!P57&lt;0,"****",output!P57/10^6),0)</f>
        <v>0</v>
      </c>
      <c r="G55" s="78">
        <f>IFERROR(IF(output!R57&lt;0,"****",output!R57/10^6),0)</f>
        <v>0</v>
      </c>
      <c r="H55" s="78">
        <f>IFERROR(IF(output!T57&lt;0,"****",output!T57/10^6),0)</f>
        <v>0</v>
      </c>
      <c r="I55" s="78">
        <f>IFERROR(IF(output!P57&lt;0,"****",output!$U57/10^6),0)</f>
        <v>0</v>
      </c>
      <c r="J55" s="78">
        <f>IFERROR(IF(output!R57&lt;0,"****",output!$V57/10^6),0)</f>
        <v>0</v>
      </c>
      <c r="K55" s="78">
        <f>IFERROR(IF(output!T57&lt;0,"****",output!$W57/10^6),0)</f>
        <v>0</v>
      </c>
      <c r="L55" s="78">
        <f>IFERROR(IF(output!P57&lt;0,"****",output!$X57/10^6),0)</f>
        <v>0</v>
      </c>
      <c r="M55" s="78">
        <f>IFERROR(IF(output!R57&lt;0,"****",output!$Y57/10^6),0)</f>
        <v>0</v>
      </c>
      <c r="N55" s="78">
        <f>IFERROR(IF(output!T57&lt;0,"****",output!$Z57/10^6),0)</f>
        <v>0</v>
      </c>
      <c r="O55" s="4"/>
      <c r="P55" s="4"/>
      <c r="Q55" s="4"/>
      <c r="R55" s="4"/>
      <c r="S55" s="4"/>
      <c r="T55" s="4"/>
      <c r="U55" s="4"/>
      <c r="V55" s="4"/>
      <c r="W55" s="4"/>
      <c r="X55" s="4"/>
      <c r="Y55" s="4"/>
      <c r="Z55" s="4"/>
    </row>
    <row r="56" ht="14.25" customHeight="1">
      <c r="A56" s="63" t="str">
        <f>output!B58</f>
        <v/>
      </c>
      <c r="B56" s="67" t="str">
        <f>output!C58</f>
        <v/>
      </c>
      <c r="C56" s="73">
        <f>IFERROR(output!D58/10^6,0)</f>
        <v>0</v>
      </c>
      <c r="D56" s="78">
        <f>IFERROR(output!F58/10^6,0)</f>
        <v>0</v>
      </c>
      <c r="E56" s="78">
        <f>IFERROR(output!G58/10^6,0)</f>
        <v>0</v>
      </c>
      <c r="F56" s="78">
        <f>IFERROR(IF(output!P58&lt;0,"****",output!P58/10^6),0)</f>
        <v>0</v>
      </c>
      <c r="G56" s="78">
        <f>IFERROR(IF(output!R58&lt;0,"****",output!R58/10^6),0)</f>
        <v>0</v>
      </c>
      <c r="H56" s="78">
        <f>IFERROR(IF(output!T58&lt;0,"****",output!T58/10^6),0)</f>
        <v>0</v>
      </c>
      <c r="I56" s="78">
        <f>IFERROR(IF(output!P58&lt;0,"****",output!$U58/10^6),0)</f>
        <v>0</v>
      </c>
      <c r="J56" s="78">
        <f>IFERROR(IF(output!R58&lt;0,"****",output!$V58/10^6),0)</f>
        <v>0</v>
      </c>
      <c r="K56" s="78">
        <f>IFERROR(IF(output!T58&lt;0,"****",output!$W58/10^6),0)</f>
        <v>0</v>
      </c>
      <c r="L56" s="78">
        <f>IFERROR(IF(output!P58&lt;0,"****",output!$X58/10^6),0)</f>
        <v>0</v>
      </c>
      <c r="M56" s="78">
        <f>IFERROR(IF(output!R58&lt;0,"****",output!$Y58/10^6),0)</f>
        <v>0</v>
      </c>
      <c r="N56" s="78">
        <f>IFERROR(IF(output!T58&lt;0,"****",output!$Z58/10^6),0)</f>
        <v>0</v>
      </c>
      <c r="O56" s="4"/>
      <c r="P56" s="4"/>
      <c r="Q56" s="4"/>
      <c r="R56" s="4"/>
      <c r="S56" s="4"/>
      <c r="T56" s="4"/>
      <c r="U56" s="4"/>
      <c r="V56" s="4"/>
      <c r="W56" s="4"/>
      <c r="X56" s="4"/>
      <c r="Y56" s="4"/>
      <c r="Z56" s="4"/>
    </row>
    <row r="57" ht="14.25" customHeight="1">
      <c r="A57" s="63" t="str">
        <f>output!B59</f>
        <v/>
      </c>
      <c r="B57" s="67" t="str">
        <f>output!C59</f>
        <v/>
      </c>
      <c r="C57" s="73">
        <f>IFERROR(output!D59/10^6,0)</f>
        <v>0</v>
      </c>
      <c r="D57" s="78">
        <f>IFERROR(output!F59/10^6,0)</f>
        <v>0</v>
      </c>
      <c r="E57" s="78">
        <f>IFERROR(output!G59/10^6,0)</f>
        <v>0</v>
      </c>
      <c r="F57" s="78">
        <f>IFERROR(IF(output!P59&lt;0,"****",output!P59/10^6),0)</f>
        <v>0</v>
      </c>
      <c r="G57" s="78">
        <f>IFERROR(IF(output!R59&lt;0,"****",output!R59/10^6),0)</f>
        <v>0</v>
      </c>
      <c r="H57" s="78">
        <f>IFERROR(IF(output!T59&lt;0,"****",output!T59/10^6),0)</f>
        <v>0</v>
      </c>
      <c r="I57" s="78">
        <f>IFERROR(IF(output!P59&lt;0,"****",output!$U59/10^6),0)</f>
        <v>0</v>
      </c>
      <c r="J57" s="78">
        <f>IFERROR(IF(output!R59&lt;0,"****",output!$V59/10^6),0)</f>
        <v>0</v>
      </c>
      <c r="K57" s="78">
        <f>IFERROR(IF(output!T59&lt;0,"****",output!$W59/10^6),0)</f>
        <v>0</v>
      </c>
      <c r="L57" s="78">
        <f>IFERROR(IF(output!P59&lt;0,"****",output!$X59/10^6),0)</f>
        <v>0</v>
      </c>
      <c r="M57" s="78">
        <f>IFERROR(IF(output!R59&lt;0,"****",output!$Y59/10^6),0)</f>
        <v>0</v>
      </c>
      <c r="N57" s="78">
        <f>IFERROR(IF(output!T59&lt;0,"****",output!$Z59/10^6),0)</f>
        <v>0</v>
      </c>
      <c r="O57" s="4"/>
      <c r="P57" s="4"/>
      <c r="Q57" s="4"/>
      <c r="R57" s="4"/>
      <c r="S57" s="4"/>
      <c r="T57" s="4"/>
      <c r="U57" s="4"/>
      <c r="V57" s="4"/>
      <c r="W57" s="4"/>
      <c r="X57" s="4"/>
      <c r="Y57" s="4"/>
      <c r="Z57" s="4"/>
    </row>
    <row r="58" ht="14.25" customHeight="1">
      <c r="A58" s="63" t="str">
        <f>output!B60</f>
        <v/>
      </c>
      <c r="B58" s="67" t="str">
        <f>output!C60</f>
        <v/>
      </c>
      <c r="C58" s="73">
        <f>IFERROR(output!D60/10^6,0)</f>
        <v>0</v>
      </c>
      <c r="D58" s="78">
        <f>IFERROR(output!F60/10^6,0)</f>
        <v>0</v>
      </c>
      <c r="E58" s="78">
        <f>IFERROR(output!G60/10^6,0)</f>
        <v>0</v>
      </c>
      <c r="F58" s="78">
        <f>IFERROR(IF(output!P60&lt;0,"****",output!P60/10^6),0)</f>
        <v>0</v>
      </c>
      <c r="G58" s="78">
        <f>IFERROR(IF(output!R60&lt;0,"****",output!R60/10^6),0)</f>
        <v>0</v>
      </c>
      <c r="H58" s="78">
        <f>IFERROR(IF(output!T60&lt;0,"****",output!T60/10^6),0)</f>
        <v>0</v>
      </c>
      <c r="I58" s="78">
        <f>IFERROR(IF(output!P60&lt;0,"****",output!$U60/10^6),0)</f>
        <v>0</v>
      </c>
      <c r="J58" s="78">
        <f>IFERROR(IF(output!R60&lt;0,"****",output!$V60/10^6),0)</f>
        <v>0</v>
      </c>
      <c r="K58" s="78">
        <f>IFERROR(IF(output!T60&lt;0,"****",output!$W60/10^6),0)</f>
        <v>0</v>
      </c>
      <c r="L58" s="78">
        <f>IFERROR(IF(output!P60&lt;0,"****",output!$X60/10^6),0)</f>
        <v>0</v>
      </c>
      <c r="M58" s="78">
        <f>IFERROR(IF(output!R60&lt;0,"****",output!$Y60/10^6),0)</f>
        <v>0</v>
      </c>
      <c r="N58" s="78">
        <f>IFERROR(IF(output!T60&lt;0,"****",output!$Z60/10^6),0)</f>
        <v>0</v>
      </c>
      <c r="O58" s="4"/>
      <c r="P58" s="4"/>
      <c r="Q58" s="4"/>
      <c r="R58" s="4"/>
      <c r="S58" s="4"/>
      <c r="T58" s="4"/>
      <c r="U58" s="4"/>
      <c r="V58" s="4"/>
      <c r="W58" s="4"/>
      <c r="X58" s="4"/>
      <c r="Y58" s="4"/>
      <c r="Z58" s="4"/>
    </row>
    <row r="59" ht="14.25" customHeight="1">
      <c r="A59" s="63" t="str">
        <f>output!B61</f>
        <v/>
      </c>
      <c r="B59" s="67" t="str">
        <f>output!C61</f>
        <v/>
      </c>
      <c r="C59" s="73">
        <f>IFERROR(output!D61/10^6,0)</f>
        <v>0</v>
      </c>
      <c r="D59" s="78">
        <f>IFERROR(output!F61/10^6,0)</f>
        <v>0</v>
      </c>
      <c r="E59" s="78">
        <f>IFERROR(output!G61/10^6,0)</f>
        <v>0</v>
      </c>
      <c r="F59" s="78">
        <f>IFERROR(IF(output!P61&lt;0,"****",output!P61/10^6),0)</f>
        <v>0</v>
      </c>
      <c r="G59" s="78">
        <f>IFERROR(IF(output!R61&lt;0,"****",output!R61/10^6),0)</f>
        <v>0</v>
      </c>
      <c r="H59" s="78">
        <f>IFERROR(IF(output!T61&lt;0,"****",output!T61/10^6),0)</f>
        <v>0</v>
      </c>
      <c r="I59" s="78">
        <f>IFERROR(IF(output!P61&lt;0,"****",output!$U61/10^6),0)</f>
        <v>0</v>
      </c>
      <c r="J59" s="78">
        <f>IFERROR(IF(output!R61&lt;0,"****",output!$V61/10^6),0)</f>
        <v>0</v>
      </c>
      <c r="K59" s="78">
        <f>IFERROR(IF(output!T61&lt;0,"****",output!$W61/10^6),0)</f>
        <v>0</v>
      </c>
      <c r="L59" s="78">
        <f>IFERROR(IF(output!P61&lt;0,"****",output!$X61/10^6),0)</f>
        <v>0</v>
      </c>
      <c r="M59" s="78">
        <f>IFERROR(IF(output!R61&lt;0,"****",output!$Y61/10^6),0)</f>
        <v>0</v>
      </c>
      <c r="N59" s="78">
        <f>IFERROR(IF(output!T61&lt;0,"****",output!$Z61/10^6),0)</f>
        <v>0</v>
      </c>
      <c r="O59" s="4"/>
      <c r="P59" s="4"/>
      <c r="Q59" s="4"/>
      <c r="R59" s="4"/>
      <c r="S59" s="4"/>
      <c r="T59" s="4"/>
      <c r="U59" s="4"/>
      <c r="V59" s="4"/>
      <c r="W59" s="4"/>
      <c r="X59" s="4"/>
      <c r="Y59" s="4"/>
      <c r="Z59" s="4"/>
    </row>
    <row r="60" ht="14.25" customHeight="1">
      <c r="A60" s="63" t="str">
        <f>output!B62</f>
        <v/>
      </c>
      <c r="B60" s="67" t="str">
        <f>output!C62</f>
        <v/>
      </c>
      <c r="C60" s="73">
        <f>IFERROR(output!D62/10^6,0)</f>
        <v>0</v>
      </c>
      <c r="D60" s="78">
        <f>IFERROR(output!F62/10^6,0)</f>
        <v>0</v>
      </c>
      <c r="E60" s="78">
        <f>IFERROR(output!G62/10^6,0)</f>
        <v>0</v>
      </c>
      <c r="F60" s="78">
        <f>IFERROR(IF(output!P62&lt;0,"****",output!P62/10^6),0)</f>
        <v>0</v>
      </c>
      <c r="G60" s="78">
        <f>IFERROR(IF(output!R62&lt;0,"****",output!R62/10^6),0)</f>
        <v>0</v>
      </c>
      <c r="H60" s="78">
        <f>IFERROR(IF(output!T62&lt;0,"****",output!T62/10^6),0)</f>
        <v>0</v>
      </c>
      <c r="I60" s="78">
        <f>IFERROR(IF(output!P62&lt;0,"****",output!$U62/10^6),0)</f>
        <v>0</v>
      </c>
      <c r="J60" s="78">
        <f>IFERROR(IF(output!R62&lt;0,"****",output!$V62/10^6),0)</f>
        <v>0</v>
      </c>
      <c r="K60" s="78">
        <f>IFERROR(IF(output!T62&lt;0,"****",output!$W62/10^6),0)</f>
        <v>0</v>
      </c>
      <c r="L60" s="78">
        <f>IFERROR(IF(output!P62&lt;0,"****",output!$X62/10^6),0)</f>
        <v>0</v>
      </c>
      <c r="M60" s="78">
        <f>IFERROR(IF(output!R62&lt;0,"****",output!$Y62/10^6),0)</f>
        <v>0</v>
      </c>
      <c r="N60" s="78">
        <f>IFERROR(IF(output!T62&lt;0,"****",output!$Z62/10^6),0)</f>
        <v>0</v>
      </c>
      <c r="O60" s="4"/>
      <c r="P60" s="4"/>
      <c r="Q60" s="4"/>
      <c r="R60" s="4"/>
      <c r="S60" s="4"/>
      <c r="T60" s="4"/>
      <c r="U60" s="4"/>
      <c r="V60" s="4"/>
      <c r="W60" s="4"/>
      <c r="X60" s="4"/>
      <c r="Y60" s="4"/>
      <c r="Z60" s="4"/>
    </row>
    <row r="61" ht="14.25" customHeight="1">
      <c r="A61" s="63" t="str">
        <f>output!B63</f>
        <v/>
      </c>
      <c r="B61" s="67" t="str">
        <f>output!C63</f>
        <v/>
      </c>
      <c r="C61" s="73">
        <f>IFERROR(output!D63/10^6,0)</f>
        <v>0</v>
      </c>
      <c r="D61" s="78">
        <f>IFERROR(output!F63/10^6,0)</f>
        <v>0</v>
      </c>
      <c r="E61" s="78">
        <f>IFERROR(output!G63/10^6,0)</f>
        <v>0</v>
      </c>
      <c r="F61" s="78">
        <f>IFERROR(IF(output!P63&lt;0,"****",output!P63/10^6),0)</f>
        <v>0</v>
      </c>
      <c r="G61" s="78">
        <f>IFERROR(IF(output!R63&lt;0,"****",output!R63/10^6),0)</f>
        <v>0</v>
      </c>
      <c r="H61" s="78">
        <f>IFERROR(IF(output!T63&lt;0,"****",output!T63/10^6),0)</f>
        <v>0</v>
      </c>
      <c r="I61" s="78">
        <f>IFERROR(IF(output!P63&lt;0,"****",output!$U63/10^6),0)</f>
        <v>0</v>
      </c>
      <c r="J61" s="78">
        <f>IFERROR(IF(output!R63&lt;0,"****",output!$V63/10^6),0)</f>
        <v>0</v>
      </c>
      <c r="K61" s="78">
        <f>IFERROR(IF(output!T63&lt;0,"****",output!$W63/10^6),0)</f>
        <v>0</v>
      </c>
      <c r="L61" s="78">
        <f>IFERROR(IF(output!P63&lt;0,"****",output!$X63/10^6),0)</f>
        <v>0</v>
      </c>
      <c r="M61" s="78">
        <f>IFERROR(IF(output!R63&lt;0,"****",output!$Y63/10^6),0)</f>
        <v>0</v>
      </c>
      <c r="N61" s="78">
        <f>IFERROR(IF(output!T63&lt;0,"****",output!$Z63/10^6),0)</f>
        <v>0</v>
      </c>
      <c r="O61" s="4"/>
      <c r="P61" s="4"/>
      <c r="Q61" s="4"/>
      <c r="R61" s="4"/>
      <c r="S61" s="4"/>
      <c r="T61" s="4"/>
      <c r="U61" s="4"/>
      <c r="V61" s="4"/>
      <c r="W61" s="4"/>
      <c r="X61" s="4"/>
      <c r="Y61" s="4"/>
      <c r="Z61" s="4"/>
    </row>
    <row r="62" ht="14.25" customHeight="1">
      <c r="A62" s="63" t="str">
        <f>output!B64</f>
        <v/>
      </c>
      <c r="B62" s="67" t="str">
        <f>output!C64</f>
        <v/>
      </c>
      <c r="C62" s="73">
        <f>IFERROR(output!D64/10^6,0)</f>
        <v>0</v>
      </c>
      <c r="D62" s="78">
        <f>IFERROR(output!F64/10^6,0)</f>
        <v>0</v>
      </c>
      <c r="E62" s="78">
        <f>IFERROR(output!G64/10^6,0)</f>
        <v>0</v>
      </c>
      <c r="F62" s="78">
        <f>IFERROR(IF(output!P64&lt;0,"****",output!P64/10^6),0)</f>
        <v>0</v>
      </c>
      <c r="G62" s="78">
        <f>IFERROR(IF(output!R64&lt;0,"****",output!R64/10^6),0)</f>
        <v>0</v>
      </c>
      <c r="H62" s="78">
        <f>IFERROR(IF(output!T64&lt;0,"****",output!T64/10^6),0)</f>
        <v>0</v>
      </c>
      <c r="I62" s="78">
        <f>IFERROR(IF(output!P64&lt;0,"****",output!$U64/10^6),0)</f>
        <v>0</v>
      </c>
      <c r="J62" s="78">
        <f>IFERROR(IF(output!R64&lt;0,"****",output!$V64/10^6),0)</f>
        <v>0</v>
      </c>
      <c r="K62" s="78">
        <f>IFERROR(IF(output!T64&lt;0,"****",output!$W64/10^6),0)</f>
        <v>0</v>
      </c>
      <c r="L62" s="78">
        <f>IFERROR(IF(output!P64&lt;0,"****",output!$X64/10^6),0)</f>
        <v>0</v>
      </c>
      <c r="M62" s="78">
        <f>IFERROR(IF(output!R64&lt;0,"****",output!$Y64/10^6),0)</f>
        <v>0</v>
      </c>
      <c r="N62" s="78">
        <f>IFERROR(IF(output!T64&lt;0,"****",output!$Z64/10^6),0)</f>
        <v>0</v>
      </c>
      <c r="O62" s="4"/>
      <c r="P62" s="4"/>
      <c r="Q62" s="4"/>
      <c r="R62" s="4"/>
      <c r="S62" s="4"/>
      <c r="T62" s="4"/>
      <c r="U62" s="4"/>
      <c r="V62" s="4"/>
      <c r="W62" s="4"/>
      <c r="X62" s="4"/>
      <c r="Y62" s="4"/>
      <c r="Z62" s="4"/>
    </row>
    <row r="63" ht="14.25" customHeight="1">
      <c r="A63" s="63" t="str">
        <f>output!B65</f>
        <v/>
      </c>
      <c r="B63" s="67" t="str">
        <f>output!C65</f>
        <v/>
      </c>
      <c r="C63" s="73">
        <f>IFERROR(output!D65/10^6,0)</f>
        <v>0</v>
      </c>
      <c r="D63" s="78">
        <f>IFERROR(output!F65/10^6,0)</f>
        <v>0</v>
      </c>
      <c r="E63" s="78">
        <f>IFERROR(output!G65/10^6,0)</f>
        <v>0</v>
      </c>
      <c r="F63" s="78">
        <f>IFERROR(IF(output!P65&lt;0,"****",output!P65/10^6),0)</f>
        <v>0</v>
      </c>
      <c r="G63" s="78">
        <f>IFERROR(IF(output!R65&lt;0,"****",output!R65/10^6),0)</f>
        <v>0</v>
      </c>
      <c r="H63" s="78">
        <f>IFERROR(IF(output!T65&lt;0,"****",output!T65/10^6),0)</f>
        <v>0</v>
      </c>
      <c r="I63" s="78">
        <f>IFERROR(IF(output!P65&lt;0,"****",output!$U65/10^6),0)</f>
        <v>0</v>
      </c>
      <c r="J63" s="78">
        <f>IFERROR(IF(output!R65&lt;0,"****",output!$V65/10^6),0)</f>
        <v>0</v>
      </c>
      <c r="K63" s="78">
        <f>IFERROR(IF(output!T65&lt;0,"****",output!$W65/10^6),0)</f>
        <v>0</v>
      </c>
      <c r="L63" s="78">
        <f>IFERROR(IF(output!P65&lt;0,"****",output!$X65/10^6),0)</f>
        <v>0</v>
      </c>
      <c r="M63" s="78">
        <f>IFERROR(IF(output!R65&lt;0,"****",output!$Y65/10^6),0)</f>
        <v>0</v>
      </c>
      <c r="N63" s="78">
        <f>IFERROR(IF(output!T65&lt;0,"****",output!$Z65/10^6),0)</f>
        <v>0</v>
      </c>
      <c r="O63" s="4"/>
      <c r="P63" s="4"/>
      <c r="Q63" s="4"/>
      <c r="R63" s="4"/>
      <c r="S63" s="4"/>
      <c r="T63" s="4"/>
      <c r="U63" s="4"/>
      <c r="V63" s="4"/>
      <c r="W63" s="4"/>
      <c r="X63" s="4"/>
      <c r="Y63" s="4"/>
      <c r="Z63" s="4"/>
    </row>
    <row r="64" ht="14.25" customHeight="1">
      <c r="A64" s="63" t="str">
        <f>output!B66</f>
        <v/>
      </c>
      <c r="B64" s="67" t="str">
        <f>output!C66</f>
        <v/>
      </c>
      <c r="C64" s="73">
        <f>IFERROR(output!D66/10^6,0)</f>
        <v>0</v>
      </c>
      <c r="D64" s="78">
        <f>IFERROR(output!F66/10^6,0)</f>
        <v>0</v>
      </c>
      <c r="E64" s="78">
        <f>IFERROR(output!G66/10^6,0)</f>
        <v>0</v>
      </c>
      <c r="F64" s="78">
        <f>IFERROR(IF(output!P66&lt;0,"****",output!P66/10^6),0)</f>
        <v>0</v>
      </c>
      <c r="G64" s="78">
        <f>IFERROR(IF(output!R66&lt;0,"****",output!R66/10^6),0)</f>
        <v>0</v>
      </c>
      <c r="H64" s="78">
        <f>IFERROR(IF(output!T66&lt;0,"****",output!T66/10^6),0)</f>
        <v>0</v>
      </c>
      <c r="I64" s="78">
        <f>IFERROR(IF(output!P66&lt;0,"****",output!$U66/10^6),0)</f>
        <v>0</v>
      </c>
      <c r="J64" s="78">
        <f>IFERROR(IF(output!R66&lt;0,"****",output!$V66/10^6),0)</f>
        <v>0</v>
      </c>
      <c r="K64" s="78">
        <f>IFERROR(IF(output!T66&lt;0,"****",output!$W66/10^6),0)</f>
        <v>0</v>
      </c>
      <c r="L64" s="78">
        <f>IFERROR(IF(output!P66&lt;0,"****",output!$X66/10^6),0)</f>
        <v>0</v>
      </c>
      <c r="M64" s="78">
        <f>IFERROR(IF(output!R66&lt;0,"****",output!$Y66/10^6),0)</f>
        <v>0</v>
      </c>
      <c r="N64" s="78">
        <f>IFERROR(IF(output!T66&lt;0,"****",output!$Z66/10^6),0)</f>
        <v>0</v>
      </c>
      <c r="O64" s="4"/>
      <c r="P64" s="4"/>
      <c r="Q64" s="4"/>
      <c r="R64" s="4"/>
      <c r="S64" s="4"/>
      <c r="T64" s="4"/>
      <c r="U64" s="4"/>
      <c r="V64" s="4"/>
      <c r="W64" s="4"/>
      <c r="X64" s="4"/>
      <c r="Y64" s="4"/>
      <c r="Z64" s="4"/>
    </row>
    <row r="65" ht="14.25" customHeight="1">
      <c r="A65" s="63" t="str">
        <f>output!B67</f>
        <v/>
      </c>
      <c r="B65" s="67" t="str">
        <f>output!C67</f>
        <v/>
      </c>
      <c r="C65" s="73">
        <f>IFERROR(output!D67/10^6,0)</f>
        <v>0</v>
      </c>
      <c r="D65" s="78">
        <f>IFERROR(output!F67/10^6,0)</f>
        <v>0</v>
      </c>
      <c r="E65" s="78">
        <f>IFERROR(output!G67/10^6,0)</f>
        <v>0</v>
      </c>
      <c r="F65" s="78">
        <f>IFERROR(IF(output!P67&lt;0,"****",output!P67/10^6),0)</f>
        <v>0</v>
      </c>
      <c r="G65" s="78">
        <f>IFERROR(IF(output!R67&lt;0,"****",output!R67/10^6),0)</f>
        <v>0</v>
      </c>
      <c r="H65" s="78">
        <f>IFERROR(IF(output!T67&lt;0,"****",output!T67/10^6),0)</f>
        <v>0</v>
      </c>
      <c r="I65" s="78">
        <f>IFERROR(IF(output!P67&lt;0,"****",output!$U67/10^6),0)</f>
        <v>0</v>
      </c>
      <c r="J65" s="78">
        <f>IFERROR(IF(output!R67&lt;0,"****",output!$V67/10^6),0)</f>
        <v>0</v>
      </c>
      <c r="K65" s="78">
        <f>IFERROR(IF(output!T67&lt;0,"****",output!$W67/10^6),0)</f>
        <v>0</v>
      </c>
      <c r="L65" s="78">
        <f>IFERROR(IF(output!P67&lt;0,"****",output!$X67/10^6),0)</f>
        <v>0</v>
      </c>
      <c r="M65" s="78">
        <f>IFERROR(IF(output!R67&lt;0,"****",output!$Y67/10^6),0)</f>
        <v>0</v>
      </c>
      <c r="N65" s="78">
        <f>IFERROR(IF(output!T67&lt;0,"****",output!$Z67/10^6),0)</f>
        <v>0</v>
      </c>
      <c r="O65" s="4"/>
      <c r="P65" s="4"/>
      <c r="Q65" s="4"/>
      <c r="R65" s="4"/>
      <c r="S65" s="4"/>
      <c r="T65" s="4"/>
      <c r="U65" s="4"/>
      <c r="V65" s="4"/>
      <c r="W65" s="4"/>
      <c r="X65" s="4"/>
      <c r="Y65" s="4"/>
      <c r="Z65" s="4"/>
    </row>
    <row r="66" ht="14.25" customHeight="1">
      <c r="A66" s="63" t="str">
        <f>output!B68</f>
        <v/>
      </c>
      <c r="B66" s="67" t="str">
        <f>output!C68</f>
        <v/>
      </c>
      <c r="C66" s="73">
        <f>IFERROR(output!D68/10^6,0)</f>
        <v>0</v>
      </c>
      <c r="D66" s="78">
        <f>IFERROR(output!F68/10^6,0)</f>
        <v>0</v>
      </c>
      <c r="E66" s="78">
        <f>IFERROR(output!G68/10^6,0)</f>
        <v>0</v>
      </c>
      <c r="F66" s="78">
        <f>IFERROR(IF(output!P68&lt;0,"****",output!P68/10^6),0)</f>
        <v>0</v>
      </c>
      <c r="G66" s="78">
        <f>IFERROR(IF(output!R68&lt;0,"****",output!R68/10^6),0)</f>
        <v>0</v>
      </c>
      <c r="H66" s="78">
        <f>IFERROR(IF(output!T68&lt;0,"****",output!T68/10^6),0)</f>
        <v>0</v>
      </c>
      <c r="I66" s="78">
        <f>IFERROR(IF(output!P68&lt;0,"****",output!$U68/10^6),0)</f>
        <v>0</v>
      </c>
      <c r="J66" s="78">
        <f>IFERROR(IF(output!R68&lt;0,"****",output!$V68/10^6),0)</f>
        <v>0</v>
      </c>
      <c r="K66" s="78">
        <f>IFERROR(IF(output!T68&lt;0,"****",output!$W68/10^6),0)</f>
        <v>0</v>
      </c>
      <c r="L66" s="78">
        <f>IFERROR(IF(output!P68&lt;0,"****",output!$X68/10^6),0)</f>
        <v>0</v>
      </c>
      <c r="M66" s="78">
        <f>IFERROR(IF(output!R68&lt;0,"****",output!$Y68/10^6),0)</f>
        <v>0</v>
      </c>
      <c r="N66" s="78">
        <f>IFERROR(IF(output!T68&lt;0,"****",output!$Z68/10^6),0)</f>
        <v>0</v>
      </c>
      <c r="O66" s="4"/>
      <c r="P66" s="4"/>
      <c r="Q66" s="4"/>
      <c r="R66" s="4"/>
      <c r="S66" s="4"/>
      <c r="T66" s="4"/>
      <c r="U66" s="4"/>
      <c r="V66" s="4"/>
      <c r="W66" s="4"/>
      <c r="X66" s="4"/>
      <c r="Y66" s="4"/>
      <c r="Z66" s="4"/>
    </row>
    <row r="67" ht="14.25" customHeight="1">
      <c r="A67" s="63" t="str">
        <f>output!B69</f>
        <v/>
      </c>
      <c r="B67" s="67" t="str">
        <f>output!C69</f>
        <v/>
      </c>
      <c r="C67" s="73">
        <f>IFERROR(output!D69/10^6,0)</f>
        <v>0</v>
      </c>
      <c r="D67" s="78">
        <f>IFERROR(output!F69/10^6,0)</f>
        <v>0</v>
      </c>
      <c r="E67" s="78">
        <f>IFERROR(output!G69/10^6,0)</f>
        <v>0</v>
      </c>
      <c r="F67" s="78">
        <f>IFERROR(IF(output!P69&lt;0,"****",output!P69/10^6),0)</f>
        <v>0</v>
      </c>
      <c r="G67" s="78">
        <f>IFERROR(IF(output!R69&lt;0,"****",output!R69/10^6),0)</f>
        <v>0</v>
      </c>
      <c r="H67" s="78">
        <f>IFERROR(IF(output!T69&lt;0,"****",output!T69/10^6),0)</f>
        <v>0</v>
      </c>
      <c r="I67" s="78">
        <f>IFERROR(IF(output!P69&lt;0,"****",output!$U69/10^6),0)</f>
        <v>0</v>
      </c>
      <c r="J67" s="78">
        <f>IFERROR(IF(output!R69&lt;0,"****",output!$V69/10^6),0)</f>
        <v>0</v>
      </c>
      <c r="K67" s="78">
        <f>IFERROR(IF(output!T69&lt;0,"****",output!$W69/10^6),0)</f>
        <v>0</v>
      </c>
      <c r="L67" s="78">
        <f>IFERROR(IF(output!P69&lt;0,"****",output!$X69/10^6),0)</f>
        <v>0</v>
      </c>
      <c r="M67" s="78">
        <f>IFERROR(IF(output!R69&lt;0,"****",output!$Y69/10^6),0)</f>
        <v>0</v>
      </c>
      <c r="N67" s="78">
        <f>IFERROR(IF(output!T69&lt;0,"****",output!$Z69/10^6),0)</f>
        <v>0</v>
      </c>
      <c r="O67" s="4"/>
      <c r="P67" s="4"/>
      <c r="Q67" s="4"/>
      <c r="R67" s="4"/>
      <c r="S67" s="4"/>
      <c r="T67" s="4"/>
      <c r="U67" s="4"/>
      <c r="V67" s="4"/>
      <c r="W67" s="4"/>
      <c r="X67" s="4"/>
      <c r="Y67" s="4"/>
      <c r="Z67" s="4"/>
    </row>
    <row r="68" ht="14.25" customHeight="1">
      <c r="A68" s="63" t="str">
        <f>output!B70</f>
        <v/>
      </c>
      <c r="B68" s="67" t="str">
        <f>output!C70</f>
        <v/>
      </c>
      <c r="C68" s="73">
        <f>IFERROR(output!D70/10^6,0)</f>
        <v>0</v>
      </c>
      <c r="D68" s="78">
        <f>IFERROR(output!F70/10^6,0)</f>
        <v>0</v>
      </c>
      <c r="E68" s="78">
        <f>IFERROR(output!G70/10^6,0)</f>
        <v>0</v>
      </c>
      <c r="F68" s="78">
        <f>IFERROR(IF(output!P70&lt;0,"****",output!P70/10^6),0)</f>
        <v>0</v>
      </c>
      <c r="G68" s="78">
        <f>IFERROR(IF(output!R70&lt;0,"****",output!R70/10^6),0)</f>
        <v>0</v>
      </c>
      <c r="H68" s="78">
        <f>IFERROR(IF(output!T70&lt;0,"****",output!T70/10^6),0)</f>
        <v>0</v>
      </c>
      <c r="I68" s="78">
        <f>IFERROR(IF(output!P70&lt;0,"****",output!$U70/10^6),0)</f>
        <v>0</v>
      </c>
      <c r="J68" s="78">
        <f>IFERROR(IF(output!R70&lt;0,"****",output!$V70/10^6),0)</f>
        <v>0</v>
      </c>
      <c r="K68" s="78">
        <f>IFERROR(IF(output!T70&lt;0,"****",output!$W70/10^6),0)</f>
        <v>0</v>
      </c>
      <c r="L68" s="78">
        <f>IFERROR(IF(output!P70&lt;0,"****",output!$X70/10^6),0)</f>
        <v>0</v>
      </c>
      <c r="M68" s="78">
        <f>IFERROR(IF(output!R70&lt;0,"****",output!$Y70/10^6),0)</f>
        <v>0</v>
      </c>
      <c r="N68" s="78">
        <f>IFERROR(IF(output!T70&lt;0,"****",output!$Z70/10^6),0)</f>
        <v>0</v>
      </c>
      <c r="O68" s="4"/>
      <c r="P68" s="4"/>
      <c r="Q68" s="4"/>
      <c r="R68" s="4"/>
      <c r="S68" s="4"/>
      <c r="T68" s="4"/>
      <c r="U68" s="4"/>
      <c r="V68" s="4"/>
      <c r="W68" s="4"/>
      <c r="X68" s="4"/>
      <c r="Y68" s="4"/>
      <c r="Z68" s="4"/>
    </row>
    <row r="69" ht="14.25" customHeight="1">
      <c r="A69" s="63" t="str">
        <f>output!B71</f>
        <v/>
      </c>
      <c r="B69" s="67" t="str">
        <f>output!C71</f>
        <v/>
      </c>
      <c r="C69" s="73">
        <f>IFERROR(output!D71/10^6,0)</f>
        <v>0</v>
      </c>
      <c r="D69" s="78">
        <f>IFERROR(output!F71/10^6,0)</f>
        <v>0</v>
      </c>
      <c r="E69" s="78">
        <f>IFERROR(output!G71/10^6,0)</f>
        <v>0</v>
      </c>
      <c r="F69" s="78">
        <f>IFERROR(IF(output!P71&lt;0,"****",output!P71/10^6),0)</f>
        <v>0</v>
      </c>
      <c r="G69" s="78">
        <f>IFERROR(IF(output!R71&lt;0,"****",output!R71/10^6),0)</f>
        <v>0</v>
      </c>
      <c r="H69" s="78">
        <f>IFERROR(IF(output!T71&lt;0,"****",output!T71/10^6),0)</f>
        <v>0</v>
      </c>
      <c r="I69" s="78">
        <f>IFERROR(IF(output!P71&lt;0,"****",output!$U71/10^6),0)</f>
        <v>0</v>
      </c>
      <c r="J69" s="78">
        <f>IFERROR(IF(output!R71&lt;0,"****",output!$V71/10^6),0)</f>
        <v>0</v>
      </c>
      <c r="K69" s="78">
        <f>IFERROR(IF(output!T71&lt;0,"****",output!$W71/10^6),0)</f>
        <v>0</v>
      </c>
      <c r="L69" s="78">
        <f>IFERROR(IF(output!P71&lt;0,"****",output!$X71/10^6),0)</f>
        <v>0</v>
      </c>
      <c r="M69" s="78">
        <f>IFERROR(IF(output!R71&lt;0,"****",output!$Y71/10^6),0)</f>
        <v>0</v>
      </c>
      <c r="N69" s="78">
        <f>IFERROR(IF(output!T71&lt;0,"****",output!$Z71/10^6),0)</f>
        <v>0</v>
      </c>
      <c r="O69" s="4"/>
      <c r="P69" s="4"/>
      <c r="Q69" s="4"/>
      <c r="R69" s="4"/>
      <c r="S69" s="4"/>
      <c r="T69" s="4"/>
      <c r="U69" s="4"/>
      <c r="V69" s="4"/>
      <c r="W69" s="4"/>
      <c r="X69" s="4"/>
      <c r="Y69" s="4"/>
      <c r="Z69" s="4"/>
    </row>
    <row r="70" ht="14.25" customHeight="1">
      <c r="A70" s="63" t="str">
        <f>output!B72</f>
        <v/>
      </c>
      <c r="B70" s="67" t="str">
        <f>output!C72</f>
        <v/>
      </c>
      <c r="C70" s="73">
        <f>IFERROR(output!D72/10^6,0)</f>
        <v>0</v>
      </c>
      <c r="D70" s="78">
        <f>IFERROR(output!F72/10^6,0)</f>
        <v>0</v>
      </c>
      <c r="E70" s="78">
        <f>IFERROR(output!G72/10^6,0)</f>
        <v>0</v>
      </c>
      <c r="F70" s="78">
        <f>IFERROR(IF(output!P72&lt;0,"****",output!P72/10^6),0)</f>
        <v>0</v>
      </c>
      <c r="G70" s="78">
        <f>IFERROR(IF(output!R72&lt;0,"****",output!R72/10^6),0)</f>
        <v>0</v>
      </c>
      <c r="H70" s="78">
        <f>IFERROR(IF(output!T72&lt;0,"****",output!T72/10^6),0)</f>
        <v>0</v>
      </c>
      <c r="I70" s="78">
        <f>IFERROR(IF(output!P72&lt;0,"****",output!$U72/10^6),0)</f>
        <v>0</v>
      </c>
      <c r="J70" s="78">
        <f>IFERROR(IF(output!R72&lt;0,"****",output!$V72/10^6),0)</f>
        <v>0</v>
      </c>
      <c r="K70" s="78">
        <f>IFERROR(IF(output!T72&lt;0,"****",output!$W72/10^6),0)</f>
        <v>0</v>
      </c>
      <c r="L70" s="78">
        <f>IFERROR(IF(output!P72&lt;0,"****",output!$X72/10^6),0)</f>
        <v>0</v>
      </c>
      <c r="M70" s="78">
        <f>IFERROR(IF(output!R72&lt;0,"****",output!$Y72/10^6),0)</f>
        <v>0</v>
      </c>
      <c r="N70" s="78">
        <f>IFERROR(IF(output!T72&lt;0,"****",output!$Z72/10^6),0)</f>
        <v>0</v>
      </c>
      <c r="O70" s="4"/>
      <c r="P70" s="4"/>
      <c r="Q70" s="4"/>
      <c r="R70" s="4"/>
      <c r="S70" s="4"/>
      <c r="T70" s="4"/>
      <c r="U70" s="4"/>
      <c r="V70" s="4"/>
      <c r="W70" s="4"/>
      <c r="X70" s="4"/>
      <c r="Y70" s="4"/>
      <c r="Z70" s="4"/>
    </row>
    <row r="71" ht="14.25" customHeight="1">
      <c r="A71" s="63" t="str">
        <f>output!B73</f>
        <v/>
      </c>
      <c r="B71" s="67" t="str">
        <f>output!C73</f>
        <v/>
      </c>
      <c r="C71" s="73">
        <f>IFERROR(output!D73/10^6,0)</f>
        <v>0</v>
      </c>
      <c r="D71" s="78">
        <f>IFERROR(output!F73/10^6,0)</f>
        <v>0</v>
      </c>
      <c r="E71" s="78">
        <f>IFERROR(output!G73/10^6,0)</f>
        <v>0</v>
      </c>
      <c r="F71" s="78">
        <f>IFERROR(IF(output!P73&lt;0,"****",output!P73/10^6),0)</f>
        <v>0</v>
      </c>
      <c r="G71" s="78">
        <f>IFERROR(IF(output!R73&lt;0,"****",output!R73/10^6),0)</f>
        <v>0</v>
      </c>
      <c r="H71" s="78">
        <f>IFERROR(IF(output!T73&lt;0,"****",output!T73/10^6),0)</f>
        <v>0</v>
      </c>
      <c r="I71" s="78">
        <f>IFERROR(IF(output!P73&lt;0,"****",output!$U73/10^6),0)</f>
        <v>0</v>
      </c>
      <c r="J71" s="78">
        <f>IFERROR(IF(output!R73&lt;0,"****",output!$V73/10^6),0)</f>
        <v>0</v>
      </c>
      <c r="K71" s="78">
        <f>IFERROR(IF(output!T73&lt;0,"****",output!$W73/10^6),0)</f>
        <v>0</v>
      </c>
      <c r="L71" s="78">
        <f>IFERROR(IF(output!P73&lt;0,"****",output!$X73/10^6),0)</f>
        <v>0</v>
      </c>
      <c r="M71" s="78">
        <f>IFERROR(IF(output!R73&lt;0,"****",output!$Y73/10^6),0)</f>
        <v>0</v>
      </c>
      <c r="N71" s="78">
        <f>IFERROR(IF(output!T73&lt;0,"****",output!$Z73/10^6),0)</f>
        <v>0</v>
      </c>
      <c r="O71" s="4"/>
      <c r="P71" s="4"/>
      <c r="Q71" s="4"/>
      <c r="R71" s="4"/>
      <c r="S71" s="4"/>
      <c r="T71" s="4"/>
      <c r="U71" s="4"/>
      <c r="V71" s="4"/>
      <c r="W71" s="4"/>
      <c r="X71" s="4"/>
      <c r="Y71" s="4"/>
      <c r="Z71" s="4"/>
    </row>
    <row r="72" ht="14.25" customHeight="1">
      <c r="A72" s="63" t="str">
        <f>output!B74</f>
        <v/>
      </c>
      <c r="B72" s="67" t="str">
        <f>output!C74</f>
        <v/>
      </c>
      <c r="C72" s="73">
        <f>IFERROR(output!D74/10^6,0)</f>
        <v>0</v>
      </c>
      <c r="D72" s="78">
        <f>IFERROR(output!F74/10^6,0)</f>
        <v>0</v>
      </c>
      <c r="E72" s="78">
        <f>IFERROR(output!G74/10^6,0)</f>
        <v>0</v>
      </c>
      <c r="F72" s="78">
        <f>IFERROR(IF(output!P74&lt;0,"****",output!P74/10^6),0)</f>
        <v>0</v>
      </c>
      <c r="G72" s="78">
        <f>IFERROR(IF(output!R74&lt;0,"****",output!R74/10^6),0)</f>
        <v>0</v>
      </c>
      <c r="H72" s="78">
        <f>IFERROR(IF(output!T74&lt;0,"****",output!T74/10^6),0)</f>
        <v>0</v>
      </c>
      <c r="I72" s="78">
        <f>IFERROR(IF(output!P74&lt;0,"****",output!$U74/10^6),0)</f>
        <v>0</v>
      </c>
      <c r="J72" s="78">
        <f>IFERROR(IF(output!R74&lt;0,"****",output!$V74/10^6),0)</f>
        <v>0</v>
      </c>
      <c r="K72" s="78">
        <f>IFERROR(IF(output!T74&lt;0,"****",output!$W74/10^6),0)</f>
        <v>0</v>
      </c>
      <c r="L72" s="78">
        <f>IFERROR(IF(output!P74&lt;0,"****",output!$X74/10^6),0)</f>
        <v>0</v>
      </c>
      <c r="M72" s="78">
        <f>IFERROR(IF(output!R74&lt;0,"****",output!$Y74/10^6),0)</f>
        <v>0</v>
      </c>
      <c r="N72" s="78">
        <f>IFERROR(IF(output!T74&lt;0,"****",output!$Z74/10^6),0)</f>
        <v>0</v>
      </c>
      <c r="O72" s="4"/>
      <c r="P72" s="4"/>
      <c r="Q72" s="4"/>
      <c r="R72" s="4"/>
      <c r="S72" s="4"/>
      <c r="T72" s="4"/>
      <c r="U72" s="4"/>
      <c r="V72" s="4"/>
      <c r="W72" s="4"/>
      <c r="X72" s="4"/>
      <c r="Y72" s="4"/>
      <c r="Z72" s="4"/>
    </row>
    <row r="73" ht="14.25" customHeight="1">
      <c r="A73" s="63" t="str">
        <f>output!B75</f>
        <v/>
      </c>
      <c r="B73" s="67" t="str">
        <f>output!C75</f>
        <v/>
      </c>
      <c r="C73" s="73">
        <f>IFERROR(output!D75/10^6,0)</f>
        <v>0</v>
      </c>
      <c r="D73" s="78">
        <f>IFERROR(output!F75/10^6,0)</f>
        <v>0</v>
      </c>
      <c r="E73" s="78">
        <f>IFERROR(output!G75/10^6,0)</f>
        <v>0</v>
      </c>
      <c r="F73" s="78">
        <f>IFERROR(IF(output!P75&lt;0,"****",output!P75/10^6),0)</f>
        <v>0</v>
      </c>
      <c r="G73" s="78">
        <f>IFERROR(IF(output!R75&lt;0,"****",output!R75/10^6),0)</f>
        <v>0</v>
      </c>
      <c r="H73" s="78">
        <f>IFERROR(IF(output!T75&lt;0,"****",output!T75/10^6),0)</f>
        <v>0</v>
      </c>
      <c r="I73" s="78">
        <f>IFERROR(IF(output!P75&lt;0,"****",output!$U75/10^6),0)</f>
        <v>0</v>
      </c>
      <c r="J73" s="78">
        <f>IFERROR(IF(output!R75&lt;0,"****",output!$V75/10^6),0)</f>
        <v>0</v>
      </c>
      <c r="K73" s="78">
        <f>IFERROR(IF(output!T75&lt;0,"****",output!$W75/10^6),0)</f>
        <v>0</v>
      </c>
      <c r="L73" s="78">
        <f>IFERROR(IF(output!P75&lt;0,"****",output!$X75/10^6),0)</f>
        <v>0</v>
      </c>
      <c r="M73" s="78">
        <f>IFERROR(IF(output!R75&lt;0,"****",output!$Y75/10^6),0)</f>
        <v>0</v>
      </c>
      <c r="N73" s="78">
        <f>IFERROR(IF(output!T75&lt;0,"****",output!$Z75/10^6),0)</f>
        <v>0</v>
      </c>
      <c r="O73" s="4"/>
      <c r="P73" s="4"/>
      <c r="Q73" s="4"/>
      <c r="R73" s="4"/>
      <c r="S73" s="4"/>
      <c r="T73" s="4"/>
      <c r="U73" s="4"/>
      <c r="V73" s="4"/>
      <c r="W73" s="4"/>
      <c r="X73" s="4"/>
      <c r="Y73" s="4"/>
      <c r="Z73" s="4"/>
    </row>
    <row r="74" ht="13.5" customHeight="1">
      <c r="A74" s="4"/>
      <c r="B74" s="4"/>
      <c r="C74" s="4"/>
      <c r="D74" s="4"/>
      <c r="E74" s="4"/>
      <c r="F74" s="188"/>
      <c r="G74" s="188"/>
      <c r="H74" s="4"/>
      <c r="I74" s="4"/>
      <c r="J74" s="4"/>
      <c r="K74" s="4"/>
      <c r="L74" s="4"/>
      <c r="M74" s="4"/>
      <c r="N74" s="4"/>
      <c r="O74" s="4"/>
      <c r="P74" s="4"/>
      <c r="Q74" s="4"/>
      <c r="R74" s="4"/>
      <c r="S74" s="4"/>
      <c r="T74" s="4"/>
      <c r="U74" s="4"/>
      <c r="V74" s="4"/>
      <c r="W74" s="4"/>
      <c r="X74" s="4"/>
      <c r="Y74" s="4"/>
      <c r="Z74" s="4"/>
    </row>
    <row r="75" ht="13.5" customHeight="1">
      <c r="A75" s="189" t="s">
        <v>119</v>
      </c>
      <c r="B75" s="19"/>
      <c r="C75" s="19"/>
      <c r="D75" s="19"/>
      <c r="E75" s="19"/>
      <c r="F75" s="19"/>
      <c r="G75" s="19"/>
      <c r="H75" s="19"/>
      <c r="I75" s="19"/>
      <c r="J75" s="19"/>
      <c r="K75" s="19"/>
      <c r="L75" s="19"/>
      <c r="M75" s="22"/>
      <c r="N75" s="4"/>
      <c r="O75" s="4"/>
      <c r="P75" s="4"/>
      <c r="Q75" s="4"/>
      <c r="R75" s="4"/>
      <c r="S75" s="4"/>
      <c r="T75" s="4"/>
      <c r="U75" s="4"/>
      <c r="V75" s="4"/>
      <c r="W75" s="4"/>
      <c r="X75" s="4"/>
      <c r="Y75" s="4"/>
      <c r="Z75" s="4"/>
    </row>
    <row r="76" ht="13.5" customHeight="1">
      <c r="A76" s="189" t="s">
        <v>120</v>
      </c>
      <c r="B76" s="19"/>
      <c r="C76" s="19"/>
      <c r="D76" s="19"/>
      <c r="E76" s="19"/>
      <c r="F76" s="19"/>
      <c r="G76" s="19"/>
      <c r="H76" s="19"/>
      <c r="I76" s="19"/>
      <c r="J76" s="19"/>
      <c r="K76" s="19"/>
      <c r="L76" s="19"/>
      <c r="M76" s="22"/>
      <c r="N76" s="4"/>
      <c r="O76" s="4"/>
      <c r="P76" s="4"/>
      <c r="Q76" s="4"/>
      <c r="R76" s="4"/>
      <c r="S76" s="4"/>
      <c r="T76" s="4"/>
      <c r="U76" s="4"/>
      <c r="V76" s="4"/>
      <c r="W76" s="4"/>
      <c r="X76" s="4"/>
      <c r="Y76" s="4"/>
      <c r="Z76" s="4"/>
    </row>
    <row r="77" ht="15.0" customHeight="1">
      <c r="A77" s="189" t="s">
        <v>121</v>
      </c>
      <c r="B77" s="19"/>
      <c r="C77" s="19"/>
      <c r="D77" s="19"/>
      <c r="E77" s="19"/>
      <c r="F77" s="19"/>
      <c r="G77" s="19"/>
      <c r="H77" s="19"/>
      <c r="I77" s="19"/>
      <c r="J77" s="19"/>
      <c r="K77" s="19"/>
      <c r="L77" s="19"/>
      <c r="M77" s="22"/>
      <c r="N77" s="4"/>
      <c r="O77" s="4"/>
      <c r="P77" s="4"/>
      <c r="Q77" s="4"/>
      <c r="R77" s="4"/>
      <c r="S77" s="4"/>
      <c r="T77" s="4"/>
      <c r="U77" s="4"/>
      <c r="V77" s="4"/>
      <c r="W77" s="4"/>
      <c r="X77" s="4"/>
      <c r="Y77" s="4"/>
      <c r="Z77" s="4"/>
    </row>
    <row r="78" ht="13.5" customHeight="1">
      <c r="A78" s="190" t="s">
        <v>122</v>
      </c>
      <c r="B78" s="174"/>
      <c r="C78" s="174"/>
      <c r="D78" s="174"/>
      <c r="E78" s="174"/>
      <c r="F78" s="174"/>
      <c r="G78" s="174"/>
      <c r="H78" s="174"/>
      <c r="I78" s="174"/>
      <c r="J78" s="174"/>
      <c r="K78" s="174"/>
      <c r="L78" s="174"/>
      <c r="M78" s="174"/>
      <c r="N78" s="175"/>
      <c r="O78" s="4"/>
      <c r="P78" s="4"/>
      <c r="Q78" s="4"/>
      <c r="R78" s="4"/>
      <c r="S78" s="4"/>
      <c r="T78" s="4"/>
      <c r="U78" s="4"/>
      <c r="V78" s="4"/>
      <c r="W78" s="4"/>
      <c r="X78" s="4"/>
      <c r="Y78" s="4"/>
      <c r="Z78" s="4"/>
    </row>
    <row r="79" ht="18.0" customHeight="1">
      <c r="A79" s="176"/>
      <c r="B79" s="177"/>
      <c r="C79" s="177"/>
      <c r="D79" s="177"/>
      <c r="E79" s="177"/>
      <c r="F79" s="177"/>
      <c r="G79" s="177"/>
      <c r="H79" s="177"/>
      <c r="I79" s="177"/>
      <c r="J79" s="177"/>
      <c r="K79" s="177"/>
      <c r="L79" s="177"/>
      <c r="M79" s="177"/>
      <c r="N79" s="178"/>
      <c r="O79" s="4"/>
      <c r="P79" s="4"/>
      <c r="Q79" s="4"/>
      <c r="R79" s="4"/>
      <c r="S79" s="4"/>
      <c r="T79" s="4"/>
      <c r="U79" s="4"/>
      <c r="V79" s="4"/>
      <c r="W79" s="4"/>
      <c r="X79" s="4"/>
      <c r="Y79" s="4"/>
      <c r="Z79" s="4"/>
    </row>
    <row r="80" ht="14.25" customHeight="1">
      <c r="A80" s="4"/>
      <c r="B80" s="4"/>
      <c r="C80" s="4"/>
      <c r="D80" s="4"/>
      <c r="E80" s="4"/>
      <c r="F80" s="188"/>
      <c r="G80" s="188"/>
      <c r="H80" s="4"/>
      <c r="I80" s="4"/>
      <c r="J80" s="4"/>
      <c r="K80" s="4"/>
      <c r="L80" s="4"/>
      <c r="M80" s="4"/>
      <c r="N80" s="4"/>
      <c r="O80" s="4"/>
      <c r="P80" s="4"/>
      <c r="Q80" s="4"/>
      <c r="R80" s="4"/>
      <c r="S80" s="4"/>
      <c r="T80" s="4"/>
      <c r="U80" s="4"/>
      <c r="V80" s="4"/>
      <c r="W80" s="4"/>
      <c r="X80" s="4"/>
      <c r="Y80" s="4"/>
      <c r="Z80" s="4"/>
    </row>
    <row r="81" ht="14.25" customHeight="1">
      <c r="A81" s="4"/>
      <c r="B81" s="4"/>
      <c r="C81" s="4"/>
      <c r="D81" s="4"/>
      <c r="E81" s="4"/>
      <c r="F81" s="188"/>
      <c r="G81" s="188"/>
      <c r="H81" s="4"/>
      <c r="I81" s="4"/>
      <c r="J81" s="4"/>
      <c r="K81" s="4"/>
      <c r="L81" s="4"/>
      <c r="M81" s="4"/>
      <c r="N81" s="4"/>
      <c r="O81" s="4"/>
      <c r="P81" s="4"/>
      <c r="Q81" s="4"/>
      <c r="R81" s="4"/>
      <c r="S81" s="4"/>
      <c r="T81" s="4"/>
      <c r="U81" s="4"/>
      <c r="V81" s="4"/>
      <c r="W81" s="4"/>
      <c r="X81" s="4"/>
      <c r="Y81" s="4"/>
      <c r="Z81" s="4"/>
    </row>
    <row r="82" ht="14.25" customHeight="1">
      <c r="A82" s="4"/>
      <c r="B82" s="4"/>
      <c r="C82" s="4"/>
      <c r="D82" s="4"/>
      <c r="E82" s="4"/>
      <c r="F82" s="188"/>
      <c r="G82" s="188"/>
      <c r="H82" s="4"/>
      <c r="I82" s="4"/>
      <c r="J82" s="4"/>
      <c r="K82" s="4"/>
      <c r="L82" s="4"/>
      <c r="M82" s="4"/>
      <c r="N82" s="4"/>
      <c r="O82" s="4"/>
      <c r="P82" s="4"/>
      <c r="Q82" s="4"/>
      <c r="R82" s="4"/>
      <c r="S82" s="4"/>
      <c r="T82" s="4"/>
      <c r="U82" s="4"/>
      <c r="V82" s="4"/>
      <c r="W82" s="4"/>
      <c r="X82" s="4"/>
      <c r="Y82" s="4"/>
      <c r="Z82" s="4"/>
    </row>
    <row r="83" ht="14.25" customHeight="1">
      <c r="A83" s="4"/>
      <c r="B83" s="4"/>
      <c r="C83" s="4"/>
      <c r="D83" s="4"/>
      <c r="E83" s="4"/>
      <c r="F83" s="188"/>
      <c r="G83" s="188"/>
      <c r="H83" s="4"/>
      <c r="I83" s="4"/>
      <c r="J83" s="4"/>
      <c r="K83" s="4"/>
      <c r="L83" s="4"/>
      <c r="M83" s="4"/>
      <c r="N83" s="4"/>
      <c r="O83" s="4"/>
      <c r="P83" s="4"/>
      <c r="Q83" s="4"/>
      <c r="R83" s="4"/>
      <c r="S83" s="4"/>
      <c r="T83" s="4"/>
      <c r="U83" s="4"/>
      <c r="V83" s="4"/>
      <c r="W83" s="4"/>
      <c r="X83" s="4"/>
      <c r="Y83" s="4"/>
      <c r="Z83" s="4"/>
    </row>
    <row r="84" ht="14.25" customHeight="1">
      <c r="A84" s="4"/>
      <c r="B84" s="4"/>
      <c r="C84" s="4"/>
      <c r="D84" s="4"/>
      <c r="E84" s="4"/>
      <c r="F84" s="188"/>
      <c r="G84" s="188"/>
      <c r="H84" s="4"/>
      <c r="I84" s="4"/>
      <c r="J84" s="4"/>
      <c r="K84" s="4"/>
      <c r="L84" s="4"/>
      <c r="M84" s="4"/>
      <c r="N84" s="4"/>
      <c r="O84" s="4"/>
      <c r="P84" s="4"/>
      <c r="Q84" s="4"/>
      <c r="R84" s="4"/>
      <c r="S84" s="4"/>
      <c r="T84" s="4"/>
      <c r="U84" s="4"/>
      <c r="V84" s="4"/>
      <c r="W84" s="4"/>
      <c r="X84" s="4"/>
      <c r="Y84" s="4"/>
      <c r="Z84" s="4"/>
    </row>
    <row r="85" ht="14.25" customHeight="1">
      <c r="A85" s="4"/>
      <c r="B85" s="4"/>
      <c r="C85" s="4"/>
      <c r="D85" s="4"/>
      <c r="E85" s="4"/>
      <c r="F85" s="188"/>
      <c r="G85" s="188"/>
      <c r="H85" s="4"/>
      <c r="I85" s="4"/>
      <c r="J85" s="4"/>
      <c r="K85" s="4"/>
      <c r="L85" s="4"/>
      <c r="M85" s="4"/>
      <c r="N85" s="4"/>
      <c r="O85" s="4"/>
      <c r="P85" s="4"/>
      <c r="Q85" s="4"/>
      <c r="R85" s="4"/>
      <c r="S85" s="4"/>
      <c r="T85" s="4"/>
      <c r="U85" s="4"/>
      <c r="V85" s="4"/>
      <c r="W85" s="4"/>
      <c r="X85" s="4"/>
      <c r="Y85" s="4"/>
      <c r="Z85" s="4"/>
    </row>
    <row r="86" ht="14.25" customHeight="1">
      <c r="A86" s="4"/>
      <c r="B86" s="4"/>
      <c r="C86" s="4"/>
      <c r="D86" s="4"/>
      <c r="E86" s="4"/>
      <c r="F86" s="188"/>
      <c r="G86" s="188"/>
      <c r="H86" s="4"/>
      <c r="I86" s="4"/>
      <c r="J86" s="4"/>
      <c r="K86" s="4"/>
      <c r="L86" s="4"/>
      <c r="M86" s="4"/>
      <c r="N86" s="4"/>
      <c r="O86" s="4"/>
      <c r="P86" s="4"/>
      <c r="Q86" s="4"/>
      <c r="R86" s="4"/>
      <c r="S86" s="4"/>
      <c r="T86" s="4"/>
      <c r="U86" s="4"/>
      <c r="V86" s="4"/>
      <c r="W86" s="4"/>
      <c r="X86" s="4"/>
      <c r="Y86" s="4"/>
      <c r="Z86" s="4"/>
    </row>
    <row r="87" ht="14.25" customHeight="1">
      <c r="A87" s="4"/>
      <c r="B87" s="4"/>
      <c r="C87" s="4"/>
      <c r="D87" s="4"/>
      <c r="E87" s="4"/>
      <c r="F87" s="188"/>
      <c r="G87" s="188"/>
      <c r="H87" s="4"/>
      <c r="I87" s="4"/>
      <c r="J87" s="4"/>
      <c r="K87" s="4"/>
      <c r="L87" s="4"/>
      <c r="M87" s="4"/>
      <c r="N87" s="4"/>
      <c r="O87" s="4"/>
      <c r="P87" s="4"/>
      <c r="Q87" s="4"/>
      <c r="R87" s="4"/>
      <c r="S87" s="4"/>
      <c r="T87" s="4"/>
      <c r="U87" s="4"/>
      <c r="V87" s="4"/>
      <c r="W87" s="4"/>
      <c r="X87" s="4"/>
      <c r="Y87" s="4"/>
      <c r="Z87" s="4"/>
    </row>
    <row r="88" ht="14.25" customHeight="1">
      <c r="A88" s="4"/>
      <c r="B88" s="4"/>
      <c r="C88" s="4"/>
      <c r="D88" s="4"/>
      <c r="E88" s="4"/>
      <c r="F88" s="188"/>
      <c r="G88" s="188"/>
      <c r="H88" s="4"/>
      <c r="I88" s="4"/>
      <c r="J88" s="4"/>
      <c r="K88" s="4"/>
      <c r="L88" s="4"/>
      <c r="M88" s="4"/>
      <c r="N88" s="4"/>
      <c r="O88" s="4"/>
      <c r="P88" s="4"/>
      <c r="Q88" s="4"/>
      <c r="R88" s="4"/>
      <c r="S88" s="4"/>
      <c r="T88" s="4"/>
      <c r="U88" s="4"/>
      <c r="V88" s="4"/>
      <c r="W88" s="4"/>
      <c r="X88" s="4"/>
      <c r="Y88" s="4"/>
      <c r="Z88" s="4"/>
    </row>
    <row r="89" ht="14.25" customHeight="1">
      <c r="A89" s="4"/>
      <c r="B89" s="4"/>
      <c r="C89" s="4"/>
      <c r="D89" s="4"/>
      <c r="E89" s="4"/>
      <c r="F89" s="188"/>
      <c r="G89" s="188"/>
      <c r="H89" s="4"/>
      <c r="I89" s="4"/>
      <c r="J89" s="4"/>
      <c r="K89" s="4"/>
      <c r="L89" s="4"/>
      <c r="M89" s="4"/>
      <c r="N89" s="4"/>
      <c r="O89" s="4"/>
      <c r="P89" s="4"/>
      <c r="Q89" s="4"/>
      <c r="R89" s="4"/>
      <c r="S89" s="4"/>
      <c r="T89" s="4"/>
      <c r="U89" s="4"/>
      <c r="V89" s="4"/>
      <c r="W89" s="4"/>
      <c r="X89" s="4"/>
      <c r="Y89" s="4"/>
      <c r="Z89" s="4"/>
    </row>
    <row r="90" ht="14.25" customHeight="1">
      <c r="A90" s="4"/>
      <c r="B90" s="4"/>
      <c r="C90" s="4"/>
      <c r="D90" s="4"/>
      <c r="E90" s="4"/>
      <c r="F90" s="188"/>
      <c r="G90" s="188"/>
      <c r="H90" s="4"/>
      <c r="I90" s="4"/>
      <c r="J90" s="4"/>
      <c r="K90" s="4"/>
      <c r="L90" s="4"/>
      <c r="M90" s="4"/>
      <c r="N90" s="4"/>
      <c r="O90" s="4"/>
      <c r="P90" s="4"/>
      <c r="Q90" s="4"/>
      <c r="R90" s="4"/>
      <c r="S90" s="4"/>
      <c r="T90" s="4"/>
      <c r="U90" s="4"/>
      <c r="V90" s="4"/>
      <c r="W90" s="4"/>
      <c r="X90" s="4"/>
      <c r="Y90" s="4"/>
      <c r="Z90" s="4"/>
    </row>
    <row r="91" ht="14.25" customHeight="1">
      <c r="A91" s="4"/>
      <c r="B91" s="4"/>
      <c r="C91" s="4"/>
      <c r="D91" s="4"/>
      <c r="E91" s="4"/>
      <c r="F91" s="188"/>
      <c r="G91" s="188"/>
      <c r="H91" s="4"/>
      <c r="I91" s="4"/>
      <c r="J91" s="4"/>
      <c r="K91" s="4"/>
      <c r="L91" s="4"/>
      <c r="M91" s="4"/>
      <c r="N91" s="4"/>
      <c r="O91" s="4"/>
      <c r="P91" s="4"/>
      <c r="Q91" s="4"/>
      <c r="R91" s="4"/>
      <c r="S91" s="4"/>
      <c r="T91" s="4"/>
      <c r="U91" s="4"/>
      <c r="V91" s="4"/>
      <c r="W91" s="4"/>
      <c r="X91" s="4"/>
      <c r="Y91" s="4"/>
      <c r="Z91" s="4"/>
    </row>
    <row r="92" ht="14.25" customHeight="1">
      <c r="A92" s="4"/>
      <c r="B92" s="4"/>
      <c r="C92" s="4"/>
      <c r="D92" s="4"/>
      <c r="E92" s="4"/>
      <c r="F92" s="188"/>
      <c r="G92" s="188"/>
      <c r="H92" s="4"/>
      <c r="I92" s="4"/>
      <c r="J92" s="4"/>
      <c r="K92" s="4"/>
      <c r="L92" s="4"/>
      <c r="M92" s="4"/>
      <c r="N92" s="4"/>
      <c r="O92" s="4"/>
      <c r="P92" s="4"/>
      <c r="Q92" s="4"/>
      <c r="R92" s="4"/>
      <c r="S92" s="4"/>
      <c r="T92" s="4"/>
      <c r="U92" s="4"/>
      <c r="V92" s="4"/>
      <c r="W92" s="4"/>
      <c r="X92" s="4"/>
      <c r="Y92" s="4"/>
      <c r="Z92" s="4"/>
    </row>
    <row r="93" ht="14.25" customHeight="1">
      <c r="A93" s="4"/>
      <c r="B93" s="4"/>
      <c r="C93" s="4"/>
      <c r="D93" s="4"/>
      <c r="E93" s="4"/>
      <c r="F93" s="188"/>
      <c r="G93" s="188"/>
      <c r="H93" s="4"/>
      <c r="I93" s="4"/>
      <c r="J93" s="4"/>
      <c r="K93" s="4"/>
      <c r="L93" s="4"/>
      <c r="M93" s="4"/>
      <c r="N93" s="4"/>
      <c r="O93" s="4"/>
      <c r="P93" s="4"/>
      <c r="Q93" s="4"/>
      <c r="R93" s="4"/>
      <c r="S93" s="4"/>
      <c r="T93" s="4"/>
      <c r="U93" s="4"/>
      <c r="V93" s="4"/>
      <c r="W93" s="4"/>
      <c r="X93" s="4"/>
      <c r="Y93" s="4"/>
      <c r="Z93" s="4"/>
    </row>
    <row r="94" ht="14.25" customHeight="1">
      <c r="A94" s="4"/>
      <c r="B94" s="4"/>
      <c r="C94" s="4"/>
      <c r="D94" s="4"/>
      <c r="E94" s="4"/>
      <c r="F94" s="188"/>
      <c r="G94" s="188"/>
      <c r="H94" s="4"/>
      <c r="I94" s="4"/>
      <c r="J94" s="4"/>
      <c r="K94" s="4"/>
      <c r="L94" s="4"/>
      <c r="M94" s="4"/>
      <c r="N94" s="4"/>
      <c r="O94" s="4"/>
      <c r="P94" s="4"/>
      <c r="Q94" s="4"/>
      <c r="R94" s="4"/>
      <c r="S94" s="4"/>
      <c r="T94" s="4"/>
      <c r="U94" s="4"/>
      <c r="V94" s="4"/>
      <c r="W94" s="4"/>
      <c r="X94" s="4"/>
      <c r="Y94" s="4"/>
      <c r="Z94" s="4"/>
    </row>
    <row r="95" ht="14.25" customHeight="1">
      <c r="A95" s="4"/>
      <c r="B95" s="4"/>
      <c r="C95" s="4"/>
      <c r="D95" s="4"/>
      <c r="E95" s="4"/>
      <c r="F95" s="188"/>
      <c r="G95" s="188"/>
      <c r="H95" s="4"/>
      <c r="I95" s="4"/>
      <c r="J95" s="4"/>
      <c r="K95" s="4"/>
      <c r="L95" s="4"/>
      <c r="M95" s="4"/>
      <c r="N95" s="4"/>
      <c r="O95" s="4"/>
      <c r="P95" s="4"/>
      <c r="Q95" s="4"/>
      <c r="R95" s="4"/>
      <c r="S95" s="4"/>
      <c r="T95" s="4"/>
      <c r="U95" s="4"/>
      <c r="V95" s="4"/>
      <c r="W95" s="4"/>
      <c r="X95" s="4"/>
      <c r="Y95" s="4"/>
      <c r="Z95" s="4"/>
    </row>
    <row r="96" ht="14.25" customHeight="1">
      <c r="A96" s="4"/>
      <c r="B96" s="4"/>
      <c r="C96" s="4"/>
      <c r="D96" s="4"/>
      <c r="E96" s="4"/>
      <c r="F96" s="188"/>
      <c r="G96" s="188"/>
      <c r="H96" s="4"/>
      <c r="I96" s="4"/>
      <c r="J96" s="4"/>
      <c r="K96" s="4"/>
      <c r="L96" s="4"/>
      <c r="M96" s="4"/>
      <c r="N96" s="4"/>
      <c r="O96" s="4"/>
      <c r="P96" s="4"/>
      <c r="Q96" s="4"/>
      <c r="R96" s="4"/>
      <c r="S96" s="4"/>
      <c r="T96" s="4"/>
      <c r="U96" s="4"/>
      <c r="V96" s="4"/>
      <c r="W96" s="4"/>
      <c r="X96" s="4"/>
      <c r="Y96" s="4"/>
      <c r="Z96" s="4"/>
    </row>
    <row r="97" ht="14.25" customHeight="1">
      <c r="A97" s="4"/>
      <c r="B97" s="4"/>
      <c r="C97" s="4"/>
      <c r="D97" s="4"/>
      <c r="E97" s="4"/>
      <c r="F97" s="188"/>
      <c r="G97" s="188"/>
      <c r="H97" s="4"/>
      <c r="I97" s="4"/>
      <c r="J97" s="4"/>
      <c r="K97" s="4"/>
      <c r="L97" s="4"/>
      <c r="M97" s="4"/>
      <c r="N97" s="4"/>
      <c r="O97" s="4"/>
      <c r="P97" s="4"/>
      <c r="Q97" s="4"/>
      <c r="R97" s="4"/>
      <c r="S97" s="4"/>
      <c r="T97" s="4"/>
      <c r="U97" s="4"/>
      <c r="V97" s="4"/>
      <c r="W97" s="4"/>
      <c r="X97" s="4"/>
      <c r="Y97" s="4"/>
      <c r="Z97" s="4"/>
    </row>
    <row r="98" ht="14.25" customHeight="1">
      <c r="A98" s="4"/>
      <c r="B98" s="4"/>
      <c r="C98" s="4"/>
      <c r="D98" s="4"/>
      <c r="E98" s="4"/>
      <c r="F98" s="188"/>
      <c r="G98" s="188"/>
      <c r="H98" s="4"/>
      <c r="I98" s="4"/>
      <c r="J98" s="4"/>
      <c r="K98" s="4"/>
      <c r="L98" s="4"/>
      <c r="M98" s="4"/>
      <c r="N98" s="4"/>
      <c r="O98" s="4"/>
      <c r="P98" s="4"/>
      <c r="Q98" s="4"/>
      <c r="R98" s="4"/>
      <c r="S98" s="4"/>
      <c r="T98" s="4"/>
      <c r="U98" s="4"/>
      <c r="V98" s="4"/>
      <c r="W98" s="4"/>
      <c r="X98" s="4"/>
      <c r="Y98" s="4"/>
      <c r="Z98" s="4"/>
    </row>
    <row r="99" ht="14.25" customHeight="1">
      <c r="A99" s="4"/>
      <c r="B99" s="4"/>
      <c r="C99" s="4"/>
      <c r="D99" s="4"/>
      <c r="E99" s="4"/>
      <c r="F99" s="188"/>
      <c r="G99" s="188"/>
      <c r="H99" s="4"/>
      <c r="I99" s="4"/>
      <c r="J99" s="4"/>
      <c r="K99" s="4"/>
      <c r="L99" s="4"/>
      <c r="M99" s="4"/>
      <c r="N99" s="4"/>
      <c r="O99" s="4"/>
      <c r="P99" s="4"/>
      <c r="Q99" s="4"/>
      <c r="R99" s="4"/>
      <c r="S99" s="4"/>
      <c r="T99" s="4"/>
      <c r="U99" s="4"/>
      <c r="V99" s="4"/>
      <c r="W99" s="4"/>
      <c r="X99" s="4"/>
      <c r="Y99" s="4"/>
      <c r="Z99" s="4"/>
    </row>
    <row r="100" ht="14.25" customHeight="1">
      <c r="A100" s="4"/>
      <c r="B100" s="4"/>
      <c r="C100" s="4"/>
      <c r="D100" s="4"/>
      <c r="E100" s="4"/>
      <c r="F100" s="188"/>
      <c r="G100" s="188"/>
      <c r="H100" s="4"/>
      <c r="I100" s="4"/>
      <c r="J100" s="4"/>
      <c r="K100" s="4"/>
      <c r="L100" s="4"/>
      <c r="M100" s="4"/>
      <c r="N100" s="4"/>
      <c r="O100" s="4"/>
      <c r="P100" s="4"/>
      <c r="Q100" s="4"/>
      <c r="R100" s="4"/>
      <c r="S100" s="4"/>
      <c r="T100" s="4"/>
      <c r="U100" s="4"/>
      <c r="V100" s="4"/>
      <c r="W100" s="4"/>
      <c r="X100" s="4"/>
      <c r="Y100" s="4"/>
      <c r="Z100" s="4"/>
    </row>
    <row r="101" ht="14.25" customHeight="1">
      <c r="A101" s="4"/>
      <c r="B101" s="4"/>
      <c r="C101" s="4"/>
      <c r="D101" s="4"/>
      <c r="E101" s="4"/>
      <c r="F101" s="188"/>
      <c r="G101" s="188"/>
      <c r="H101" s="4"/>
      <c r="I101" s="4"/>
      <c r="J101" s="4"/>
      <c r="K101" s="4"/>
      <c r="L101" s="4"/>
      <c r="M101" s="4"/>
      <c r="N101" s="4"/>
      <c r="O101" s="4"/>
      <c r="P101" s="4"/>
      <c r="Q101" s="4"/>
      <c r="R101" s="4"/>
      <c r="S101" s="4"/>
      <c r="T101" s="4"/>
      <c r="U101" s="4"/>
      <c r="V101" s="4"/>
      <c r="W101" s="4"/>
      <c r="X101" s="4"/>
      <c r="Y101" s="4"/>
      <c r="Z101" s="4"/>
    </row>
    <row r="102" ht="14.25" customHeight="1">
      <c r="A102" s="4"/>
      <c r="B102" s="4"/>
      <c r="C102" s="4"/>
      <c r="D102" s="4"/>
      <c r="E102" s="4"/>
      <c r="F102" s="188"/>
      <c r="G102" s="188"/>
      <c r="H102" s="4"/>
      <c r="I102" s="4"/>
      <c r="J102" s="4"/>
      <c r="K102" s="4"/>
      <c r="L102" s="4"/>
      <c r="M102" s="4"/>
      <c r="N102" s="4"/>
      <c r="O102" s="4"/>
      <c r="P102" s="4"/>
      <c r="Q102" s="4"/>
      <c r="R102" s="4"/>
      <c r="S102" s="4"/>
      <c r="T102" s="4"/>
      <c r="U102" s="4"/>
      <c r="V102" s="4"/>
      <c r="W102" s="4"/>
      <c r="X102" s="4"/>
      <c r="Y102" s="4"/>
      <c r="Z102" s="4"/>
    </row>
    <row r="103" ht="14.25" customHeight="1">
      <c r="A103" s="4"/>
      <c r="B103" s="4"/>
      <c r="C103" s="4"/>
      <c r="D103" s="4"/>
      <c r="E103" s="4"/>
      <c r="F103" s="188"/>
      <c r="G103" s="188"/>
      <c r="H103" s="4"/>
      <c r="I103" s="4"/>
      <c r="J103" s="4"/>
      <c r="K103" s="4"/>
      <c r="L103" s="4"/>
      <c r="M103" s="4"/>
      <c r="N103" s="4"/>
      <c r="O103" s="4"/>
      <c r="P103" s="4"/>
      <c r="Q103" s="4"/>
      <c r="R103" s="4"/>
      <c r="S103" s="4"/>
      <c r="T103" s="4"/>
      <c r="U103" s="4"/>
      <c r="V103" s="4"/>
      <c r="W103" s="4"/>
      <c r="X103" s="4"/>
      <c r="Y103" s="4"/>
      <c r="Z103" s="4"/>
    </row>
    <row r="104" ht="14.25" customHeight="1">
      <c r="A104" s="4"/>
      <c r="B104" s="4"/>
      <c r="C104" s="4"/>
      <c r="D104" s="4"/>
      <c r="E104" s="4"/>
      <c r="F104" s="188"/>
      <c r="G104" s="188"/>
      <c r="H104" s="4"/>
      <c r="I104" s="4"/>
      <c r="J104" s="4"/>
      <c r="K104" s="4"/>
      <c r="L104" s="4"/>
      <c r="M104" s="4"/>
      <c r="N104" s="4"/>
      <c r="O104" s="4"/>
      <c r="P104" s="4"/>
      <c r="Q104" s="4"/>
      <c r="R104" s="4"/>
      <c r="S104" s="4"/>
      <c r="T104" s="4"/>
      <c r="U104" s="4"/>
      <c r="V104" s="4"/>
      <c r="W104" s="4"/>
      <c r="X104" s="4"/>
      <c r="Y104" s="4"/>
      <c r="Z104" s="4"/>
    </row>
    <row r="105" ht="14.25" customHeight="1">
      <c r="A105" s="4"/>
      <c r="B105" s="4"/>
      <c r="C105" s="4"/>
      <c r="D105" s="4"/>
      <c r="E105" s="4"/>
      <c r="F105" s="188"/>
      <c r="G105" s="188"/>
      <c r="H105" s="4"/>
      <c r="I105" s="4"/>
      <c r="J105" s="4"/>
      <c r="K105" s="4"/>
      <c r="L105" s="4"/>
      <c r="M105" s="4"/>
      <c r="N105" s="4"/>
      <c r="O105" s="4"/>
      <c r="P105" s="4"/>
      <c r="Q105" s="4"/>
      <c r="R105" s="4"/>
      <c r="S105" s="4"/>
      <c r="T105" s="4"/>
      <c r="U105" s="4"/>
      <c r="V105" s="4"/>
      <c r="W105" s="4"/>
      <c r="X105" s="4"/>
      <c r="Y105" s="4"/>
      <c r="Z105" s="4"/>
    </row>
    <row r="106" ht="14.25" customHeight="1">
      <c r="A106" s="4"/>
      <c r="B106" s="4"/>
      <c r="C106" s="4"/>
      <c r="D106" s="4"/>
      <c r="E106" s="4"/>
      <c r="F106" s="188"/>
      <c r="G106" s="188"/>
      <c r="H106" s="4"/>
      <c r="I106" s="4"/>
      <c r="J106" s="4"/>
      <c r="K106" s="4"/>
      <c r="L106" s="4"/>
      <c r="M106" s="4"/>
      <c r="N106" s="4"/>
      <c r="O106" s="4"/>
      <c r="P106" s="4"/>
      <c r="Q106" s="4"/>
      <c r="R106" s="4"/>
      <c r="S106" s="4"/>
      <c r="T106" s="4"/>
      <c r="U106" s="4"/>
      <c r="V106" s="4"/>
      <c r="W106" s="4"/>
      <c r="X106" s="4"/>
      <c r="Y106" s="4"/>
      <c r="Z106" s="4"/>
    </row>
    <row r="107" ht="14.25" customHeight="1">
      <c r="A107" s="4"/>
      <c r="B107" s="4"/>
      <c r="C107" s="4"/>
      <c r="D107" s="4"/>
      <c r="E107" s="4"/>
      <c r="F107" s="188"/>
      <c r="G107" s="188"/>
      <c r="H107" s="4"/>
      <c r="I107" s="4"/>
      <c r="J107" s="4"/>
      <c r="K107" s="4"/>
      <c r="L107" s="4"/>
      <c r="M107" s="4"/>
      <c r="N107" s="4"/>
      <c r="O107" s="4"/>
      <c r="P107" s="4"/>
      <c r="Q107" s="4"/>
      <c r="R107" s="4"/>
      <c r="S107" s="4"/>
      <c r="T107" s="4"/>
      <c r="U107" s="4"/>
      <c r="V107" s="4"/>
      <c r="W107" s="4"/>
      <c r="X107" s="4"/>
      <c r="Y107" s="4"/>
      <c r="Z107" s="4"/>
    </row>
    <row r="108" ht="14.25" customHeight="1">
      <c r="A108" s="4"/>
      <c r="B108" s="4"/>
      <c r="C108" s="4"/>
      <c r="D108" s="4"/>
      <c r="E108" s="4"/>
      <c r="F108" s="188"/>
      <c r="G108" s="188"/>
      <c r="H108" s="4"/>
      <c r="I108" s="4"/>
      <c r="J108" s="4"/>
      <c r="K108" s="4"/>
      <c r="L108" s="4"/>
      <c r="M108" s="4"/>
      <c r="N108" s="4"/>
      <c r="O108" s="4"/>
      <c r="P108" s="4"/>
      <c r="Q108" s="4"/>
      <c r="R108" s="4"/>
      <c r="S108" s="4"/>
      <c r="T108" s="4"/>
      <c r="U108" s="4"/>
      <c r="V108" s="4"/>
      <c r="W108" s="4"/>
      <c r="X108" s="4"/>
      <c r="Y108" s="4"/>
      <c r="Z108" s="4"/>
    </row>
    <row r="109" ht="14.25" customHeight="1">
      <c r="A109" s="4"/>
      <c r="B109" s="4"/>
      <c r="C109" s="4"/>
      <c r="D109" s="4"/>
      <c r="E109" s="4"/>
      <c r="F109" s="188"/>
      <c r="G109" s="188"/>
      <c r="H109" s="4"/>
      <c r="I109" s="4"/>
      <c r="J109" s="4"/>
      <c r="K109" s="4"/>
      <c r="L109" s="4"/>
      <c r="M109" s="4"/>
      <c r="N109" s="4"/>
      <c r="O109" s="4"/>
      <c r="P109" s="4"/>
      <c r="Q109" s="4"/>
      <c r="R109" s="4"/>
      <c r="S109" s="4"/>
      <c r="T109" s="4"/>
      <c r="U109" s="4"/>
      <c r="V109" s="4"/>
      <c r="W109" s="4"/>
      <c r="X109" s="4"/>
      <c r="Y109" s="4"/>
      <c r="Z109" s="4"/>
    </row>
    <row r="110" ht="14.25" customHeight="1">
      <c r="A110" s="4"/>
      <c r="B110" s="4"/>
      <c r="C110" s="4"/>
      <c r="D110" s="4"/>
      <c r="E110" s="4"/>
      <c r="F110" s="188"/>
      <c r="G110" s="188"/>
      <c r="H110" s="4"/>
      <c r="I110" s="4"/>
      <c r="J110" s="4"/>
      <c r="K110" s="4"/>
      <c r="L110" s="4"/>
      <c r="M110" s="4"/>
      <c r="N110" s="4"/>
      <c r="O110" s="4"/>
      <c r="P110" s="4"/>
      <c r="Q110" s="4"/>
      <c r="R110" s="4"/>
      <c r="S110" s="4"/>
      <c r="T110" s="4"/>
      <c r="U110" s="4"/>
      <c r="V110" s="4"/>
      <c r="W110" s="4"/>
      <c r="X110" s="4"/>
      <c r="Y110" s="4"/>
      <c r="Z110" s="4"/>
    </row>
    <row r="111" ht="14.25" customHeight="1">
      <c r="A111" s="4"/>
      <c r="B111" s="4"/>
      <c r="C111" s="4"/>
      <c r="D111" s="4"/>
      <c r="E111" s="4"/>
      <c r="F111" s="188"/>
      <c r="G111" s="188"/>
      <c r="H111" s="4"/>
      <c r="I111" s="4"/>
      <c r="J111" s="4"/>
      <c r="K111" s="4"/>
      <c r="L111" s="4"/>
      <c r="M111" s="4"/>
      <c r="N111" s="4"/>
      <c r="O111" s="4"/>
      <c r="P111" s="4"/>
      <c r="Q111" s="4"/>
      <c r="R111" s="4"/>
      <c r="S111" s="4"/>
      <c r="T111" s="4"/>
      <c r="U111" s="4"/>
      <c r="V111" s="4"/>
      <c r="W111" s="4"/>
      <c r="X111" s="4"/>
      <c r="Y111" s="4"/>
      <c r="Z111" s="4"/>
    </row>
    <row r="112" ht="14.25" customHeight="1">
      <c r="A112" s="4"/>
      <c r="B112" s="4"/>
      <c r="C112" s="4"/>
      <c r="D112" s="4"/>
      <c r="E112" s="4"/>
      <c r="F112" s="188"/>
      <c r="G112" s="188"/>
      <c r="H112" s="4"/>
      <c r="I112" s="4"/>
      <c r="J112" s="4"/>
      <c r="K112" s="4"/>
      <c r="L112" s="4"/>
      <c r="M112" s="4"/>
      <c r="N112" s="4"/>
      <c r="O112" s="4"/>
      <c r="P112" s="4"/>
      <c r="Q112" s="4"/>
      <c r="R112" s="4"/>
      <c r="S112" s="4"/>
      <c r="T112" s="4"/>
      <c r="U112" s="4"/>
      <c r="V112" s="4"/>
      <c r="W112" s="4"/>
      <c r="X112" s="4"/>
      <c r="Y112" s="4"/>
      <c r="Z112" s="4"/>
    </row>
    <row r="113" ht="14.25" customHeight="1">
      <c r="A113" s="4"/>
      <c r="B113" s="4"/>
      <c r="C113" s="4"/>
      <c r="D113" s="4"/>
      <c r="E113" s="4"/>
      <c r="F113" s="188"/>
      <c r="G113" s="188"/>
      <c r="H113" s="4"/>
      <c r="I113" s="4"/>
      <c r="J113" s="4"/>
      <c r="K113" s="4"/>
      <c r="L113" s="4"/>
      <c r="M113" s="4"/>
      <c r="N113" s="4"/>
      <c r="O113" s="4"/>
      <c r="P113" s="4"/>
      <c r="Q113" s="4"/>
      <c r="R113" s="4"/>
      <c r="S113" s="4"/>
      <c r="T113" s="4"/>
      <c r="U113" s="4"/>
      <c r="V113" s="4"/>
      <c r="W113" s="4"/>
      <c r="X113" s="4"/>
      <c r="Y113" s="4"/>
      <c r="Z113" s="4"/>
    </row>
    <row r="114" ht="14.25" customHeight="1">
      <c r="A114" s="4"/>
      <c r="B114" s="4"/>
      <c r="C114" s="4"/>
      <c r="D114" s="4"/>
      <c r="E114" s="4"/>
      <c r="F114" s="188"/>
      <c r="G114" s="188"/>
      <c r="H114" s="4"/>
      <c r="I114" s="4"/>
      <c r="J114" s="4"/>
      <c r="K114" s="4"/>
      <c r="L114" s="4"/>
      <c r="M114" s="4"/>
      <c r="N114" s="4"/>
      <c r="O114" s="4"/>
      <c r="P114" s="4"/>
      <c r="Q114" s="4"/>
      <c r="R114" s="4"/>
      <c r="S114" s="4"/>
      <c r="T114" s="4"/>
      <c r="U114" s="4"/>
      <c r="V114" s="4"/>
      <c r="W114" s="4"/>
      <c r="X114" s="4"/>
      <c r="Y114" s="4"/>
      <c r="Z114" s="4"/>
    </row>
    <row r="115" ht="14.25" customHeight="1">
      <c r="A115" s="4"/>
      <c r="B115" s="4"/>
      <c r="C115" s="4"/>
      <c r="D115" s="4"/>
      <c r="E115" s="4"/>
      <c r="F115" s="188"/>
      <c r="G115" s="188"/>
      <c r="H115" s="4"/>
      <c r="I115" s="4"/>
      <c r="J115" s="4"/>
      <c r="K115" s="4"/>
      <c r="L115" s="4"/>
      <c r="M115" s="4"/>
      <c r="N115" s="4"/>
      <c r="O115" s="4"/>
      <c r="P115" s="4"/>
      <c r="Q115" s="4"/>
      <c r="R115" s="4"/>
      <c r="S115" s="4"/>
      <c r="T115" s="4"/>
      <c r="U115" s="4"/>
      <c r="V115" s="4"/>
      <c r="W115" s="4"/>
      <c r="X115" s="4"/>
      <c r="Y115" s="4"/>
      <c r="Z115" s="4"/>
    </row>
    <row r="116" ht="14.25" customHeight="1">
      <c r="A116" s="4"/>
      <c r="B116" s="4"/>
      <c r="C116" s="4"/>
      <c r="D116" s="4"/>
      <c r="E116" s="4"/>
      <c r="F116" s="188"/>
      <c r="G116" s="188"/>
      <c r="H116" s="4"/>
      <c r="I116" s="4"/>
      <c r="J116" s="4"/>
      <c r="K116" s="4"/>
      <c r="L116" s="4"/>
      <c r="M116" s="4"/>
      <c r="N116" s="4"/>
      <c r="O116" s="4"/>
      <c r="P116" s="4"/>
      <c r="Q116" s="4"/>
      <c r="R116" s="4"/>
      <c r="S116" s="4"/>
      <c r="T116" s="4"/>
      <c r="U116" s="4"/>
      <c r="V116" s="4"/>
      <c r="W116" s="4"/>
      <c r="X116" s="4"/>
      <c r="Y116" s="4"/>
      <c r="Z116" s="4"/>
    </row>
    <row r="117" ht="14.25" customHeight="1">
      <c r="A117" s="4"/>
      <c r="B117" s="4"/>
      <c r="C117" s="4"/>
      <c r="D117" s="4"/>
      <c r="E117" s="4"/>
      <c r="F117" s="188"/>
      <c r="G117" s="188"/>
      <c r="H117" s="4"/>
      <c r="I117" s="4"/>
      <c r="J117" s="4"/>
      <c r="K117" s="4"/>
      <c r="L117" s="4"/>
      <c r="M117" s="4"/>
      <c r="N117" s="4"/>
      <c r="O117" s="4"/>
      <c r="P117" s="4"/>
      <c r="Q117" s="4"/>
      <c r="R117" s="4"/>
      <c r="S117" s="4"/>
      <c r="T117" s="4"/>
      <c r="U117" s="4"/>
      <c r="V117" s="4"/>
      <c r="W117" s="4"/>
      <c r="X117" s="4"/>
      <c r="Y117" s="4"/>
      <c r="Z117" s="4"/>
    </row>
    <row r="118" ht="14.25" customHeight="1">
      <c r="A118" s="4"/>
      <c r="B118" s="4"/>
      <c r="C118" s="4"/>
      <c r="D118" s="4"/>
      <c r="E118" s="4"/>
      <c r="F118" s="188"/>
      <c r="G118" s="188"/>
      <c r="H118" s="4"/>
      <c r="I118" s="4"/>
      <c r="J118" s="4"/>
      <c r="K118" s="4"/>
      <c r="L118" s="4"/>
      <c r="M118" s="4"/>
      <c r="N118" s="4"/>
      <c r="O118" s="4"/>
      <c r="P118" s="4"/>
      <c r="Q118" s="4"/>
      <c r="R118" s="4"/>
      <c r="S118" s="4"/>
      <c r="T118" s="4"/>
      <c r="U118" s="4"/>
      <c r="V118" s="4"/>
      <c r="W118" s="4"/>
      <c r="X118" s="4"/>
      <c r="Y118" s="4"/>
      <c r="Z118" s="4"/>
    </row>
    <row r="119" ht="14.25" customHeight="1">
      <c r="A119" s="4"/>
      <c r="B119" s="4"/>
      <c r="C119" s="4"/>
      <c r="D119" s="4"/>
      <c r="E119" s="4"/>
      <c r="F119" s="188"/>
      <c r="G119" s="188"/>
      <c r="H119" s="4"/>
      <c r="I119" s="4"/>
      <c r="J119" s="4"/>
      <c r="K119" s="4"/>
      <c r="L119" s="4"/>
      <c r="M119" s="4"/>
      <c r="N119" s="4"/>
      <c r="O119" s="4"/>
      <c r="P119" s="4"/>
      <c r="Q119" s="4"/>
      <c r="R119" s="4"/>
      <c r="S119" s="4"/>
      <c r="T119" s="4"/>
      <c r="U119" s="4"/>
      <c r="V119" s="4"/>
      <c r="W119" s="4"/>
      <c r="X119" s="4"/>
      <c r="Y119" s="4"/>
      <c r="Z119" s="4"/>
    </row>
    <row r="120" ht="14.25" customHeight="1">
      <c r="A120" s="4"/>
      <c r="B120" s="4"/>
      <c r="C120" s="4"/>
      <c r="D120" s="4"/>
      <c r="E120" s="4"/>
      <c r="F120" s="188"/>
      <c r="G120" s="188"/>
      <c r="H120" s="4"/>
      <c r="I120" s="4"/>
      <c r="J120" s="4"/>
      <c r="K120" s="4"/>
      <c r="L120" s="4"/>
      <c r="M120" s="4"/>
      <c r="N120" s="4"/>
      <c r="O120" s="4"/>
      <c r="P120" s="4"/>
      <c r="Q120" s="4"/>
      <c r="R120" s="4"/>
      <c r="S120" s="4"/>
      <c r="T120" s="4"/>
      <c r="U120" s="4"/>
      <c r="V120" s="4"/>
      <c r="W120" s="4"/>
      <c r="X120" s="4"/>
      <c r="Y120" s="4"/>
      <c r="Z120" s="4"/>
    </row>
    <row r="121" ht="14.25" customHeight="1">
      <c r="A121" s="4"/>
      <c r="B121" s="4"/>
      <c r="C121" s="4"/>
      <c r="D121" s="4"/>
      <c r="E121" s="4"/>
      <c r="F121" s="188"/>
      <c r="G121" s="188"/>
      <c r="H121" s="4"/>
      <c r="I121" s="4"/>
      <c r="J121" s="4"/>
      <c r="K121" s="4"/>
      <c r="L121" s="4"/>
      <c r="M121" s="4"/>
      <c r="N121" s="4"/>
      <c r="O121" s="4"/>
      <c r="P121" s="4"/>
      <c r="Q121" s="4"/>
      <c r="R121" s="4"/>
      <c r="S121" s="4"/>
      <c r="T121" s="4"/>
      <c r="U121" s="4"/>
      <c r="V121" s="4"/>
      <c r="W121" s="4"/>
      <c r="X121" s="4"/>
      <c r="Y121" s="4"/>
      <c r="Z121" s="4"/>
    </row>
    <row r="122" ht="14.25" customHeight="1">
      <c r="A122" s="4"/>
      <c r="B122" s="4"/>
      <c r="C122" s="4"/>
      <c r="D122" s="4"/>
      <c r="E122" s="4"/>
      <c r="F122" s="188"/>
      <c r="G122" s="188"/>
      <c r="H122" s="4"/>
      <c r="I122" s="4"/>
      <c r="J122" s="4"/>
      <c r="K122" s="4"/>
      <c r="L122" s="4"/>
      <c r="M122" s="4"/>
      <c r="N122" s="4"/>
      <c r="O122" s="4"/>
      <c r="P122" s="4"/>
      <c r="Q122" s="4"/>
      <c r="R122" s="4"/>
      <c r="S122" s="4"/>
      <c r="T122" s="4"/>
      <c r="U122" s="4"/>
      <c r="V122" s="4"/>
      <c r="W122" s="4"/>
      <c r="X122" s="4"/>
      <c r="Y122" s="4"/>
      <c r="Z122" s="4"/>
    </row>
    <row r="123" ht="14.25" customHeight="1">
      <c r="A123" s="4"/>
      <c r="B123" s="4"/>
      <c r="C123" s="4"/>
      <c r="D123" s="4"/>
      <c r="E123" s="4"/>
      <c r="F123" s="188"/>
      <c r="G123" s="188"/>
      <c r="H123" s="4"/>
      <c r="I123" s="4"/>
      <c r="J123" s="4"/>
      <c r="K123" s="4"/>
      <c r="L123" s="4"/>
      <c r="M123" s="4"/>
      <c r="N123" s="4"/>
      <c r="O123" s="4"/>
      <c r="P123" s="4"/>
      <c r="Q123" s="4"/>
      <c r="R123" s="4"/>
      <c r="S123" s="4"/>
      <c r="T123" s="4"/>
      <c r="U123" s="4"/>
      <c r="V123" s="4"/>
      <c r="W123" s="4"/>
      <c r="X123" s="4"/>
      <c r="Y123" s="4"/>
      <c r="Z123" s="4"/>
    </row>
    <row r="124" ht="14.25" customHeight="1">
      <c r="A124" s="4"/>
      <c r="B124" s="4"/>
      <c r="C124" s="4"/>
      <c r="D124" s="4"/>
      <c r="E124" s="4"/>
      <c r="F124" s="188"/>
      <c r="G124" s="188"/>
      <c r="H124" s="4"/>
      <c r="I124" s="4"/>
      <c r="J124" s="4"/>
      <c r="K124" s="4"/>
      <c r="L124" s="4"/>
      <c r="M124" s="4"/>
      <c r="N124" s="4"/>
      <c r="O124" s="4"/>
      <c r="P124" s="4"/>
      <c r="Q124" s="4"/>
      <c r="R124" s="4"/>
      <c r="S124" s="4"/>
      <c r="T124" s="4"/>
      <c r="U124" s="4"/>
      <c r="V124" s="4"/>
      <c r="W124" s="4"/>
      <c r="X124" s="4"/>
      <c r="Y124" s="4"/>
      <c r="Z124" s="4"/>
    </row>
    <row r="125" ht="14.25" customHeight="1">
      <c r="A125" s="4"/>
      <c r="B125" s="4"/>
      <c r="C125" s="4"/>
      <c r="D125" s="4"/>
      <c r="E125" s="4"/>
      <c r="F125" s="188"/>
      <c r="G125" s="188"/>
      <c r="H125" s="4"/>
      <c r="I125" s="4"/>
      <c r="J125" s="4"/>
      <c r="K125" s="4"/>
      <c r="L125" s="4"/>
      <c r="M125" s="4"/>
      <c r="N125" s="4"/>
      <c r="O125" s="4"/>
      <c r="P125" s="4"/>
      <c r="Q125" s="4"/>
      <c r="R125" s="4"/>
      <c r="S125" s="4"/>
      <c r="T125" s="4"/>
      <c r="U125" s="4"/>
      <c r="V125" s="4"/>
      <c r="W125" s="4"/>
      <c r="X125" s="4"/>
      <c r="Y125" s="4"/>
      <c r="Z125" s="4"/>
    </row>
    <row r="126" ht="14.25" customHeight="1">
      <c r="A126" s="4"/>
      <c r="B126" s="4"/>
      <c r="C126" s="4"/>
      <c r="D126" s="4"/>
      <c r="E126" s="4"/>
      <c r="F126" s="188"/>
      <c r="G126" s="188"/>
      <c r="H126" s="4"/>
      <c r="I126" s="4"/>
      <c r="J126" s="4"/>
      <c r="K126" s="4"/>
      <c r="L126" s="4"/>
      <c r="M126" s="4"/>
      <c r="N126" s="4"/>
      <c r="O126" s="4"/>
      <c r="P126" s="4"/>
      <c r="Q126" s="4"/>
      <c r="R126" s="4"/>
      <c r="S126" s="4"/>
      <c r="T126" s="4"/>
      <c r="U126" s="4"/>
      <c r="V126" s="4"/>
      <c r="W126" s="4"/>
      <c r="X126" s="4"/>
      <c r="Y126" s="4"/>
      <c r="Z126" s="4"/>
    </row>
    <row r="127" ht="14.25" customHeight="1">
      <c r="A127" s="4"/>
      <c r="B127" s="4"/>
      <c r="C127" s="4"/>
      <c r="D127" s="4"/>
      <c r="E127" s="4"/>
      <c r="F127" s="188"/>
      <c r="G127" s="188"/>
      <c r="H127" s="4"/>
      <c r="I127" s="4"/>
      <c r="J127" s="4"/>
      <c r="K127" s="4"/>
      <c r="L127" s="4"/>
      <c r="M127" s="4"/>
      <c r="N127" s="4"/>
      <c r="O127" s="4"/>
      <c r="P127" s="4"/>
      <c r="Q127" s="4"/>
      <c r="R127" s="4"/>
      <c r="S127" s="4"/>
      <c r="T127" s="4"/>
      <c r="U127" s="4"/>
      <c r="V127" s="4"/>
      <c r="W127" s="4"/>
      <c r="X127" s="4"/>
      <c r="Y127" s="4"/>
      <c r="Z127" s="4"/>
    </row>
    <row r="128" ht="14.25" customHeight="1">
      <c r="A128" s="4"/>
      <c r="B128" s="4"/>
      <c r="C128" s="4"/>
      <c r="D128" s="4"/>
      <c r="E128" s="4"/>
      <c r="F128" s="188"/>
      <c r="G128" s="188"/>
      <c r="H128" s="4"/>
      <c r="I128" s="4"/>
      <c r="J128" s="4"/>
      <c r="K128" s="4"/>
      <c r="L128" s="4"/>
      <c r="M128" s="4"/>
      <c r="N128" s="4"/>
      <c r="O128" s="4"/>
      <c r="P128" s="4"/>
      <c r="Q128" s="4"/>
      <c r="R128" s="4"/>
      <c r="S128" s="4"/>
      <c r="T128" s="4"/>
      <c r="U128" s="4"/>
      <c r="V128" s="4"/>
      <c r="W128" s="4"/>
      <c r="X128" s="4"/>
      <c r="Y128" s="4"/>
      <c r="Z128" s="4"/>
    </row>
    <row r="129" ht="14.25" customHeight="1">
      <c r="A129" s="4"/>
      <c r="B129" s="4"/>
      <c r="C129" s="4"/>
      <c r="D129" s="4"/>
      <c r="E129" s="4"/>
      <c r="F129" s="188"/>
      <c r="G129" s="188"/>
      <c r="H129" s="4"/>
      <c r="I129" s="4"/>
      <c r="J129" s="4"/>
      <c r="K129" s="4"/>
      <c r="L129" s="4"/>
      <c r="M129" s="4"/>
      <c r="N129" s="4"/>
      <c r="O129" s="4"/>
      <c r="P129" s="4"/>
      <c r="Q129" s="4"/>
      <c r="R129" s="4"/>
      <c r="S129" s="4"/>
      <c r="T129" s="4"/>
      <c r="U129" s="4"/>
      <c r="V129" s="4"/>
      <c r="W129" s="4"/>
      <c r="X129" s="4"/>
      <c r="Y129" s="4"/>
      <c r="Z129" s="4"/>
    </row>
    <row r="130" ht="14.25" customHeight="1">
      <c r="A130" s="4"/>
      <c r="B130" s="4"/>
      <c r="C130" s="4"/>
      <c r="D130" s="4"/>
      <c r="E130" s="4"/>
      <c r="F130" s="188"/>
      <c r="G130" s="188"/>
      <c r="H130" s="4"/>
      <c r="I130" s="4"/>
      <c r="J130" s="4"/>
      <c r="K130" s="4"/>
      <c r="L130" s="4"/>
      <c r="M130" s="4"/>
      <c r="N130" s="4"/>
      <c r="O130" s="4"/>
      <c r="P130" s="4"/>
      <c r="Q130" s="4"/>
      <c r="R130" s="4"/>
      <c r="S130" s="4"/>
      <c r="T130" s="4"/>
      <c r="U130" s="4"/>
      <c r="V130" s="4"/>
      <c r="W130" s="4"/>
      <c r="X130" s="4"/>
      <c r="Y130" s="4"/>
      <c r="Z130" s="4"/>
    </row>
    <row r="131" ht="14.25" customHeight="1">
      <c r="A131" s="4"/>
      <c r="B131" s="4"/>
      <c r="C131" s="4"/>
      <c r="D131" s="4"/>
      <c r="E131" s="4"/>
      <c r="F131" s="188"/>
      <c r="G131" s="188"/>
      <c r="H131" s="4"/>
      <c r="I131" s="4"/>
      <c r="J131" s="4"/>
      <c r="K131" s="4"/>
      <c r="L131" s="4"/>
      <c r="M131" s="4"/>
      <c r="N131" s="4"/>
      <c r="O131" s="4"/>
      <c r="P131" s="4"/>
      <c r="Q131" s="4"/>
      <c r="R131" s="4"/>
      <c r="S131" s="4"/>
      <c r="T131" s="4"/>
      <c r="U131" s="4"/>
      <c r="V131" s="4"/>
      <c r="W131" s="4"/>
      <c r="X131" s="4"/>
      <c r="Y131" s="4"/>
      <c r="Z131" s="4"/>
    </row>
    <row r="132" ht="14.25" customHeight="1">
      <c r="A132" s="4"/>
      <c r="B132" s="4"/>
      <c r="C132" s="4"/>
      <c r="D132" s="4"/>
      <c r="E132" s="4"/>
      <c r="F132" s="188"/>
      <c r="G132" s="188"/>
      <c r="H132" s="4"/>
      <c r="I132" s="4"/>
      <c r="J132" s="4"/>
      <c r="K132" s="4"/>
      <c r="L132" s="4"/>
      <c r="M132" s="4"/>
      <c r="N132" s="4"/>
      <c r="O132" s="4"/>
      <c r="P132" s="4"/>
      <c r="Q132" s="4"/>
      <c r="R132" s="4"/>
      <c r="S132" s="4"/>
      <c r="T132" s="4"/>
      <c r="U132" s="4"/>
      <c r="V132" s="4"/>
      <c r="W132" s="4"/>
      <c r="X132" s="4"/>
      <c r="Y132" s="4"/>
      <c r="Z132" s="4"/>
    </row>
    <row r="133" ht="14.25" customHeight="1">
      <c r="A133" s="4"/>
      <c r="B133" s="4"/>
      <c r="C133" s="4"/>
      <c r="D133" s="4"/>
      <c r="E133" s="4"/>
      <c r="F133" s="188"/>
      <c r="G133" s="188"/>
      <c r="H133" s="4"/>
      <c r="I133" s="4"/>
      <c r="J133" s="4"/>
      <c r="K133" s="4"/>
      <c r="L133" s="4"/>
      <c r="M133" s="4"/>
      <c r="N133" s="4"/>
      <c r="O133" s="4"/>
      <c r="P133" s="4"/>
      <c r="Q133" s="4"/>
      <c r="R133" s="4"/>
      <c r="S133" s="4"/>
      <c r="T133" s="4"/>
      <c r="U133" s="4"/>
      <c r="V133" s="4"/>
      <c r="W133" s="4"/>
      <c r="X133" s="4"/>
      <c r="Y133" s="4"/>
      <c r="Z133" s="4"/>
    </row>
    <row r="134" ht="14.25" customHeight="1">
      <c r="A134" s="4"/>
      <c r="B134" s="4"/>
      <c r="C134" s="4"/>
      <c r="D134" s="4"/>
      <c r="E134" s="4"/>
      <c r="F134" s="188"/>
      <c r="G134" s="188"/>
      <c r="H134" s="4"/>
      <c r="I134" s="4"/>
      <c r="J134" s="4"/>
      <c r="K134" s="4"/>
      <c r="L134" s="4"/>
      <c r="M134" s="4"/>
      <c r="N134" s="4"/>
      <c r="O134" s="4"/>
      <c r="P134" s="4"/>
      <c r="Q134" s="4"/>
      <c r="R134" s="4"/>
      <c r="S134" s="4"/>
      <c r="T134" s="4"/>
      <c r="U134" s="4"/>
      <c r="V134" s="4"/>
      <c r="W134" s="4"/>
      <c r="X134" s="4"/>
      <c r="Y134" s="4"/>
      <c r="Z134" s="4"/>
    </row>
    <row r="135" ht="14.25" customHeight="1">
      <c r="A135" s="4"/>
      <c r="B135" s="4"/>
      <c r="C135" s="4"/>
      <c r="D135" s="4"/>
      <c r="E135" s="4"/>
      <c r="F135" s="188"/>
      <c r="G135" s="188"/>
      <c r="H135" s="4"/>
      <c r="I135" s="4"/>
      <c r="J135" s="4"/>
      <c r="K135" s="4"/>
      <c r="L135" s="4"/>
      <c r="M135" s="4"/>
      <c r="N135" s="4"/>
      <c r="O135" s="4"/>
      <c r="P135" s="4"/>
      <c r="Q135" s="4"/>
      <c r="R135" s="4"/>
      <c r="S135" s="4"/>
      <c r="T135" s="4"/>
      <c r="U135" s="4"/>
      <c r="V135" s="4"/>
      <c r="W135" s="4"/>
      <c r="X135" s="4"/>
      <c r="Y135" s="4"/>
      <c r="Z135" s="4"/>
    </row>
    <row r="136" ht="14.25" customHeight="1">
      <c r="A136" s="4"/>
      <c r="B136" s="4"/>
      <c r="C136" s="4"/>
      <c r="D136" s="4"/>
      <c r="E136" s="4"/>
      <c r="F136" s="188"/>
      <c r="G136" s="188"/>
      <c r="H136" s="4"/>
      <c r="I136" s="4"/>
      <c r="J136" s="4"/>
      <c r="K136" s="4"/>
      <c r="L136" s="4"/>
      <c r="M136" s="4"/>
      <c r="N136" s="4"/>
      <c r="O136" s="4"/>
      <c r="P136" s="4"/>
      <c r="Q136" s="4"/>
      <c r="R136" s="4"/>
      <c r="S136" s="4"/>
      <c r="T136" s="4"/>
      <c r="U136" s="4"/>
      <c r="V136" s="4"/>
      <c r="W136" s="4"/>
      <c r="X136" s="4"/>
      <c r="Y136" s="4"/>
      <c r="Z136" s="4"/>
    </row>
    <row r="137" ht="14.25" customHeight="1">
      <c r="A137" s="4"/>
      <c r="B137" s="4"/>
      <c r="C137" s="4"/>
      <c r="D137" s="4"/>
      <c r="E137" s="4"/>
      <c r="F137" s="188"/>
      <c r="G137" s="188"/>
      <c r="H137" s="4"/>
      <c r="I137" s="4"/>
      <c r="J137" s="4"/>
      <c r="K137" s="4"/>
      <c r="L137" s="4"/>
      <c r="M137" s="4"/>
      <c r="N137" s="4"/>
      <c r="O137" s="4"/>
      <c r="P137" s="4"/>
      <c r="Q137" s="4"/>
      <c r="R137" s="4"/>
      <c r="S137" s="4"/>
      <c r="T137" s="4"/>
      <c r="U137" s="4"/>
      <c r="V137" s="4"/>
      <c r="W137" s="4"/>
      <c r="X137" s="4"/>
      <c r="Y137" s="4"/>
      <c r="Z137" s="4"/>
    </row>
    <row r="138" ht="14.25" customHeight="1">
      <c r="A138" s="4"/>
      <c r="B138" s="4"/>
      <c r="C138" s="4"/>
      <c r="D138" s="4"/>
      <c r="E138" s="4"/>
      <c r="F138" s="188"/>
      <c r="G138" s="188"/>
      <c r="H138" s="4"/>
      <c r="I138" s="4"/>
      <c r="J138" s="4"/>
      <c r="K138" s="4"/>
      <c r="L138" s="4"/>
      <c r="M138" s="4"/>
      <c r="N138" s="4"/>
      <c r="O138" s="4"/>
      <c r="P138" s="4"/>
      <c r="Q138" s="4"/>
      <c r="R138" s="4"/>
      <c r="S138" s="4"/>
      <c r="T138" s="4"/>
      <c r="U138" s="4"/>
      <c r="V138" s="4"/>
      <c r="W138" s="4"/>
      <c r="X138" s="4"/>
      <c r="Y138" s="4"/>
      <c r="Z138" s="4"/>
    </row>
    <row r="139" ht="14.25" customHeight="1">
      <c r="A139" s="4"/>
      <c r="B139" s="4"/>
      <c r="C139" s="4"/>
      <c r="D139" s="4"/>
      <c r="E139" s="4"/>
      <c r="F139" s="188"/>
      <c r="G139" s="188"/>
      <c r="H139" s="4"/>
      <c r="I139" s="4"/>
      <c r="J139" s="4"/>
      <c r="K139" s="4"/>
      <c r="L139" s="4"/>
      <c r="M139" s="4"/>
      <c r="N139" s="4"/>
      <c r="O139" s="4"/>
      <c r="P139" s="4"/>
      <c r="Q139" s="4"/>
      <c r="R139" s="4"/>
      <c r="S139" s="4"/>
      <c r="T139" s="4"/>
      <c r="U139" s="4"/>
      <c r="V139" s="4"/>
      <c r="W139" s="4"/>
      <c r="X139" s="4"/>
      <c r="Y139" s="4"/>
      <c r="Z139" s="4"/>
    </row>
    <row r="140" ht="14.25" customHeight="1">
      <c r="A140" s="4"/>
      <c r="B140" s="4"/>
      <c r="C140" s="4"/>
      <c r="D140" s="4"/>
      <c r="E140" s="4"/>
      <c r="F140" s="188"/>
      <c r="G140" s="188"/>
      <c r="H140" s="4"/>
      <c r="I140" s="4"/>
      <c r="J140" s="4"/>
      <c r="K140" s="4"/>
      <c r="L140" s="4"/>
      <c r="M140" s="4"/>
      <c r="N140" s="4"/>
      <c r="O140" s="4"/>
      <c r="P140" s="4"/>
      <c r="Q140" s="4"/>
      <c r="R140" s="4"/>
      <c r="S140" s="4"/>
      <c r="T140" s="4"/>
      <c r="U140" s="4"/>
      <c r="V140" s="4"/>
      <c r="W140" s="4"/>
      <c r="X140" s="4"/>
      <c r="Y140" s="4"/>
      <c r="Z140" s="4"/>
    </row>
    <row r="141" ht="14.25" customHeight="1">
      <c r="A141" s="4"/>
      <c r="B141" s="4"/>
      <c r="C141" s="4"/>
      <c r="D141" s="4"/>
      <c r="E141" s="4"/>
      <c r="F141" s="188"/>
      <c r="G141" s="188"/>
      <c r="H141" s="4"/>
      <c r="I141" s="4"/>
      <c r="J141" s="4"/>
      <c r="K141" s="4"/>
      <c r="L141" s="4"/>
      <c r="M141" s="4"/>
      <c r="N141" s="4"/>
      <c r="O141" s="4"/>
      <c r="P141" s="4"/>
      <c r="Q141" s="4"/>
      <c r="R141" s="4"/>
      <c r="S141" s="4"/>
      <c r="T141" s="4"/>
      <c r="U141" s="4"/>
      <c r="V141" s="4"/>
      <c r="W141" s="4"/>
      <c r="X141" s="4"/>
      <c r="Y141" s="4"/>
      <c r="Z141" s="4"/>
    </row>
    <row r="142" ht="14.25" customHeight="1">
      <c r="A142" s="4"/>
      <c r="B142" s="4"/>
      <c r="C142" s="4"/>
      <c r="D142" s="4"/>
      <c r="E142" s="4"/>
      <c r="F142" s="188"/>
      <c r="G142" s="188"/>
      <c r="H142" s="4"/>
      <c r="I142" s="4"/>
      <c r="J142" s="4"/>
      <c r="K142" s="4"/>
      <c r="L142" s="4"/>
      <c r="M142" s="4"/>
      <c r="N142" s="4"/>
      <c r="O142" s="4"/>
      <c r="P142" s="4"/>
      <c r="Q142" s="4"/>
      <c r="R142" s="4"/>
      <c r="S142" s="4"/>
      <c r="T142" s="4"/>
      <c r="U142" s="4"/>
      <c r="V142" s="4"/>
      <c r="W142" s="4"/>
      <c r="X142" s="4"/>
      <c r="Y142" s="4"/>
      <c r="Z142" s="4"/>
    </row>
    <row r="143" ht="14.25" customHeight="1">
      <c r="A143" s="4"/>
      <c r="B143" s="4"/>
      <c r="C143" s="4"/>
      <c r="D143" s="4"/>
      <c r="E143" s="4"/>
      <c r="F143" s="188"/>
      <c r="G143" s="188"/>
      <c r="H143" s="4"/>
      <c r="I143" s="4"/>
      <c r="J143" s="4"/>
      <c r="K143" s="4"/>
      <c r="L143" s="4"/>
      <c r="M143" s="4"/>
      <c r="N143" s="4"/>
      <c r="O143" s="4"/>
      <c r="P143" s="4"/>
      <c r="Q143" s="4"/>
      <c r="R143" s="4"/>
      <c r="S143" s="4"/>
      <c r="T143" s="4"/>
      <c r="U143" s="4"/>
      <c r="V143" s="4"/>
      <c r="W143" s="4"/>
      <c r="X143" s="4"/>
      <c r="Y143" s="4"/>
      <c r="Z143" s="4"/>
    </row>
    <row r="144" ht="14.25" customHeight="1">
      <c r="A144" s="4"/>
      <c r="B144" s="4"/>
      <c r="C144" s="4"/>
      <c r="D144" s="4"/>
      <c r="E144" s="4"/>
      <c r="F144" s="188"/>
      <c r="G144" s="188"/>
      <c r="H144" s="4"/>
      <c r="I144" s="4"/>
      <c r="J144" s="4"/>
      <c r="K144" s="4"/>
      <c r="L144" s="4"/>
      <c r="M144" s="4"/>
      <c r="N144" s="4"/>
      <c r="O144" s="4"/>
      <c r="P144" s="4"/>
      <c r="Q144" s="4"/>
      <c r="R144" s="4"/>
      <c r="S144" s="4"/>
      <c r="T144" s="4"/>
      <c r="U144" s="4"/>
      <c r="V144" s="4"/>
      <c r="W144" s="4"/>
      <c r="X144" s="4"/>
      <c r="Y144" s="4"/>
      <c r="Z144" s="4"/>
    </row>
    <row r="145" ht="14.25" customHeight="1">
      <c r="A145" s="4"/>
      <c r="B145" s="4"/>
      <c r="C145" s="4"/>
      <c r="D145" s="4"/>
      <c r="E145" s="4"/>
      <c r="F145" s="188"/>
      <c r="G145" s="188"/>
      <c r="H145" s="4"/>
      <c r="I145" s="4"/>
      <c r="J145" s="4"/>
      <c r="K145" s="4"/>
      <c r="L145" s="4"/>
      <c r="M145" s="4"/>
      <c r="N145" s="4"/>
      <c r="O145" s="4"/>
      <c r="P145" s="4"/>
      <c r="Q145" s="4"/>
      <c r="R145" s="4"/>
      <c r="S145" s="4"/>
      <c r="T145" s="4"/>
      <c r="U145" s="4"/>
      <c r="V145" s="4"/>
      <c r="W145" s="4"/>
      <c r="X145" s="4"/>
      <c r="Y145" s="4"/>
      <c r="Z145" s="4"/>
    </row>
    <row r="146" ht="14.25" customHeight="1">
      <c r="A146" s="4"/>
      <c r="B146" s="4"/>
      <c r="C146" s="4"/>
      <c r="D146" s="4"/>
      <c r="E146" s="4"/>
      <c r="F146" s="188"/>
      <c r="G146" s="188"/>
      <c r="H146" s="4"/>
      <c r="I146" s="4"/>
      <c r="J146" s="4"/>
      <c r="K146" s="4"/>
      <c r="L146" s="4"/>
      <c r="M146" s="4"/>
      <c r="N146" s="4"/>
      <c r="O146" s="4"/>
      <c r="P146" s="4"/>
      <c r="Q146" s="4"/>
      <c r="R146" s="4"/>
      <c r="S146" s="4"/>
      <c r="T146" s="4"/>
      <c r="U146" s="4"/>
      <c r="V146" s="4"/>
      <c r="W146" s="4"/>
      <c r="X146" s="4"/>
      <c r="Y146" s="4"/>
      <c r="Z146" s="4"/>
    </row>
    <row r="147" ht="14.25" customHeight="1">
      <c r="A147" s="4"/>
      <c r="B147" s="4"/>
      <c r="C147" s="4"/>
      <c r="D147" s="4"/>
      <c r="E147" s="4"/>
      <c r="F147" s="188"/>
      <c r="G147" s="188"/>
      <c r="H147" s="4"/>
      <c r="I147" s="4"/>
      <c r="J147" s="4"/>
      <c r="K147" s="4"/>
      <c r="L147" s="4"/>
      <c r="M147" s="4"/>
      <c r="N147" s="4"/>
      <c r="O147" s="4"/>
      <c r="P147" s="4"/>
      <c r="Q147" s="4"/>
      <c r="R147" s="4"/>
      <c r="S147" s="4"/>
      <c r="T147" s="4"/>
      <c r="U147" s="4"/>
      <c r="V147" s="4"/>
      <c r="W147" s="4"/>
      <c r="X147" s="4"/>
      <c r="Y147" s="4"/>
      <c r="Z147" s="4"/>
    </row>
    <row r="148" ht="14.25" customHeight="1">
      <c r="A148" s="4"/>
      <c r="B148" s="4"/>
      <c r="C148" s="4"/>
      <c r="D148" s="4"/>
      <c r="E148" s="4"/>
      <c r="F148" s="188"/>
      <c r="G148" s="188"/>
      <c r="H148" s="4"/>
      <c r="I148" s="4"/>
      <c r="J148" s="4"/>
      <c r="K148" s="4"/>
      <c r="L148" s="4"/>
      <c r="M148" s="4"/>
      <c r="N148" s="4"/>
      <c r="O148" s="4"/>
      <c r="P148" s="4"/>
      <c r="Q148" s="4"/>
      <c r="R148" s="4"/>
      <c r="S148" s="4"/>
      <c r="T148" s="4"/>
      <c r="U148" s="4"/>
      <c r="V148" s="4"/>
      <c r="W148" s="4"/>
      <c r="X148" s="4"/>
      <c r="Y148" s="4"/>
      <c r="Z148" s="4"/>
    </row>
    <row r="149" ht="14.25" customHeight="1">
      <c r="A149" s="4"/>
      <c r="B149" s="4"/>
      <c r="C149" s="4"/>
      <c r="D149" s="4"/>
      <c r="E149" s="4"/>
      <c r="F149" s="188"/>
      <c r="G149" s="188"/>
      <c r="H149" s="4"/>
      <c r="I149" s="4"/>
      <c r="J149" s="4"/>
      <c r="K149" s="4"/>
      <c r="L149" s="4"/>
      <c r="M149" s="4"/>
      <c r="N149" s="4"/>
      <c r="O149" s="4"/>
      <c r="P149" s="4"/>
      <c r="Q149" s="4"/>
      <c r="R149" s="4"/>
      <c r="S149" s="4"/>
      <c r="T149" s="4"/>
      <c r="U149" s="4"/>
      <c r="V149" s="4"/>
      <c r="W149" s="4"/>
      <c r="X149" s="4"/>
      <c r="Y149" s="4"/>
      <c r="Z149" s="4"/>
    </row>
    <row r="150" ht="14.25" customHeight="1">
      <c r="A150" s="4"/>
      <c r="B150" s="4"/>
      <c r="C150" s="4"/>
      <c r="D150" s="4"/>
      <c r="E150" s="4"/>
      <c r="F150" s="188"/>
      <c r="G150" s="188"/>
      <c r="H150" s="4"/>
      <c r="I150" s="4"/>
      <c r="J150" s="4"/>
      <c r="K150" s="4"/>
      <c r="L150" s="4"/>
      <c r="M150" s="4"/>
      <c r="N150" s="4"/>
      <c r="O150" s="4"/>
      <c r="P150" s="4"/>
      <c r="Q150" s="4"/>
      <c r="R150" s="4"/>
      <c r="S150" s="4"/>
      <c r="T150" s="4"/>
      <c r="U150" s="4"/>
      <c r="V150" s="4"/>
      <c r="W150" s="4"/>
      <c r="X150" s="4"/>
      <c r="Y150" s="4"/>
      <c r="Z150" s="4"/>
    </row>
    <row r="151" ht="14.25" customHeight="1">
      <c r="A151" s="4"/>
      <c r="B151" s="4"/>
      <c r="C151" s="4"/>
      <c r="D151" s="4"/>
      <c r="E151" s="4"/>
      <c r="F151" s="188"/>
      <c r="G151" s="188"/>
      <c r="H151" s="4"/>
      <c r="I151" s="4"/>
      <c r="J151" s="4"/>
      <c r="K151" s="4"/>
      <c r="L151" s="4"/>
      <c r="M151" s="4"/>
      <c r="N151" s="4"/>
      <c r="O151" s="4"/>
      <c r="P151" s="4"/>
      <c r="Q151" s="4"/>
      <c r="R151" s="4"/>
      <c r="S151" s="4"/>
      <c r="T151" s="4"/>
      <c r="U151" s="4"/>
      <c r="V151" s="4"/>
      <c r="W151" s="4"/>
      <c r="X151" s="4"/>
      <c r="Y151" s="4"/>
      <c r="Z151" s="4"/>
    </row>
    <row r="152" ht="14.25" customHeight="1">
      <c r="A152" s="4"/>
      <c r="B152" s="4"/>
      <c r="C152" s="4"/>
      <c r="D152" s="4"/>
      <c r="E152" s="4"/>
      <c r="F152" s="188"/>
      <c r="G152" s="188"/>
      <c r="H152" s="4"/>
      <c r="I152" s="4"/>
      <c r="J152" s="4"/>
      <c r="K152" s="4"/>
      <c r="L152" s="4"/>
      <c r="M152" s="4"/>
      <c r="N152" s="4"/>
      <c r="O152" s="4"/>
      <c r="P152" s="4"/>
      <c r="Q152" s="4"/>
      <c r="R152" s="4"/>
      <c r="S152" s="4"/>
      <c r="T152" s="4"/>
      <c r="U152" s="4"/>
      <c r="V152" s="4"/>
      <c r="W152" s="4"/>
      <c r="X152" s="4"/>
      <c r="Y152" s="4"/>
      <c r="Z152" s="4"/>
    </row>
    <row r="153" ht="14.25" customHeight="1">
      <c r="A153" s="4"/>
      <c r="B153" s="4"/>
      <c r="C153" s="4"/>
      <c r="D153" s="4"/>
      <c r="E153" s="4"/>
      <c r="F153" s="188"/>
      <c r="G153" s="188"/>
      <c r="H153" s="4"/>
      <c r="I153" s="4"/>
      <c r="J153" s="4"/>
      <c r="K153" s="4"/>
      <c r="L153" s="4"/>
      <c r="M153" s="4"/>
      <c r="N153" s="4"/>
      <c r="O153" s="4"/>
      <c r="P153" s="4"/>
      <c r="Q153" s="4"/>
      <c r="R153" s="4"/>
      <c r="S153" s="4"/>
      <c r="T153" s="4"/>
      <c r="U153" s="4"/>
      <c r="V153" s="4"/>
      <c r="W153" s="4"/>
      <c r="X153" s="4"/>
      <c r="Y153" s="4"/>
      <c r="Z153" s="4"/>
    </row>
    <row r="154" ht="14.25" customHeight="1">
      <c r="A154" s="4"/>
      <c r="B154" s="4"/>
      <c r="C154" s="4"/>
      <c r="D154" s="4"/>
      <c r="E154" s="4"/>
      <c r="F154" s="188"/>
      <c r="G154" s="188"/>
      <c r="H154" s="4"/>
      <c r="I154" s="4"/>
      <c r="J154" s="4"/>
      <c r="K154" s="4"/>
      <c r="L154" s="4"/>
      <c r="M154" s="4"/>
      <c r="N154" s="4"/>
      <c r="O154" s="4"/>
      <c r="P154" s="4"/>
      <c r="Q154" s="4"/>
      <c r="R154" s="4"/>
      <c r="S154" s="4"/>
      <c r="T154" s="4"/>
      <c r="U154" s="4"/>
      <c r="V154" s="4"/>
      <c r="W154" s="4"/>
      <c r="X154" s="4"/>
      <c r="Y154" s="4"/>
      <c r="Z154" s="4"/>
    </row>
    <row r="155" ht="14.25" customHeight="1">
      <c r="A155" s="4"/>
      <c r="B155" s="4"/>
      <c r="C155" s="4"/>
      <c r="D155" s="4"/>
      <c r="E155" s="4"/>
      <c r="F155" s="188"/>
      <c r="G155" s="188"/>
      <c r="H155" s="4"/>
      <c r="I155" s="4"/>
      <c r="J155" s="4"/>
      <c r="K155" s="4"/>
      <c r="L155" s="4"/>
      <c r="M155" s="4"/>
      <c r="N155" s="4"/>
      <c r="O155" s="4"/>
      <c r="P155" s="4"/>
      <c r="Q155" s="4"/>
      <c r="R155" s="4"/>
      <c r="S155" s="4"/>
      <c r="T155" s="4"/>
      <c r="U155" s="4"/>
      <c r="V155" s="4"/>
      <c r="W155" s="4"/>
      <c r="X155" s="4"/>
      <c r="Y155" s="4"/>
      <c r="Z155" s="4"/>
    </row>
    <row r="156" ht="14.25" customHeight="1">
      <c r="A156" s="4"/>
      <c r="B156" s="4"/>
      <c r="C156" s="4"/>
      <c r="D156" s="4"/>
      <c r="E156" s="4"/>
      <c r="F156" s="188"/>
      <c r="G156" s="188"/>
      <c r="H156" s="4"/>
      <c r="I156" s="4"/>
      <c r="J156" s="4"/>
      <c r="K156" s="4"/>
      <c r="L156" s="4"/>
      <c r="M156" s="4"/>
      <c r="N156" s="4"/>
      <c r="O156" s="4"/>
      <c r="P156" s="4"/>
      <c r="Q156" s="4"/>
      <c r="R156" s="4"/>
      <c r="S156" s="4"/>
      <c r="T156" s="4"/>
      <c r="U156" s="4"/>
      <c r="V156" s="4"/>
      <c r="W156" s="4"/>
      <c r="X156" s="4"/>
      <c r="Y156" s="4"/>
      <c r="Z156" s="4"/>
    </row>
    <row r="157" ht="14.25" customHeight="1">
      <c r="A157" s="4"/>
      <c r="B157" s="4"/>
      <c r="C157" s="4"/>
      <c r="D157" s="4"/>
      <c r="E157" s="4"/>
      <c r="F157" s="188"/>
      <c r="G157" s="188"/>
      <c r="H157" s="4"/>
      <c r="I157" s="4"/>
      <c r="J157" s="4"/>
      <c r="K157" s="4"/>
      <c r="L157" s="4"/>
      <c r="M157" s="4"/>
      <c r="N157" s="4"/>
      <c r="O157" s="4"/>
      <c r="P157" s="4"/>
      <c r="Q157" s="4"/>
      <c r="R157" s="4"/>
      <c r="S157" s="4"/>
      <c r="T157" s="4"/>
      <c r="U157" s="4"/>
      <c r="V157" s="4"/>
      <c r="W157" s="4"/>
      <c r="X157" s="4"/>
      <c r="Y157" s="4"/>
      <c r="Z157" s="4"/>
    </row>
    <row r="158" ht="14.25" customHeight="1">
      <c r="A158" s="4"/>
      <c r="B158" s="4"/>
      <c r="C158" s="4"/>
      <c r="D158" s="4"/>
      <c r="E158" s="4"/>
      <c r="F158" s="188"/>
      <c r="G158" s="188"/>
      <c r="H158" s="4"/>
      <c r="I158" s="4"/>
      <c r="J158" s="4"/>
      <c r="K158" s="4"/>
      <c r="L158" s="4"/>
      <c r="M158" s="4"/>
      <c r="N158" s="4"/>
      <c r="O158" s="4"/>
      <c r="P158" s="4"/>
      <c r="Q158" s="4"/>
      <c r="R158" s="4"/>
      <c r="S158" s="4"/>
      <c r="T158" s="4"/>
      <c r="U158" s="4"/>
      <c r="V158" s="4"/>
      <c r="W158" s="4"/>
      <c r="X158" s="4"/>
      <c r="Y158" s="4"/>
      <c r="Z158" s="4"/>
    </row>
    <row r="159" ht="14.25" customHeight="1">
      <c r="A159" s="4"/>
      <c r="B159" s="4"/>
      <c r="C159" s="4"/>
      <c r="D159" s="4"/>
      <c r="E159" s="4"/>
      <c r="F159" s="188"/>
      <c r="G159" s="188"/>
      <c r="H159" s="4"/>
      <c r="I159" s="4"/>
      <c r="J159" s="4"/>
      <c r="K159" s="4"/>
      <c r="L159" s="4"/>
      <c r="M159" s="4"/>
      <c r="N159" s="4"/>
      <c r="O159" s="4"/>
      <c r="P159" s="4"/>
      <c r="Q159" s="4"/>
      <c r="R159" s="4"/>
      <c r="S159" s="4"/>
      <c r="T159" s="4"/>
      <c r="U159" s="4"/>
      <c r="V159" s="4"/>
      <c r="W159" s="4"/>
      <c r="X159" s="4"/>
      <c r="Y159" s="4"/>
      <c r="Z159" s="4"/>
    </row>
    <row r="160" ht="14.25" customHeight="1">
      <c r="A160" s="4"/>
      <c r="B160" s="4"/>
      <c r="C160" s="4"/>
      <c r="D160" s="4"/>
      <c r="E160" s="4"/>
      <c r="F160" s="188"/>
      <c r="G160" s="188"/>
      <c r="H160" s="4"/>
      <c r="I160" s="4"/>
      <c r="J160" s="4"/>
      <c r="K160" s="4"/>
      <c r="L160" s="4"/>
      <c r="M160" s="4"/>
      <c r="N160" s="4"/>
      <c r="O160" s="4"/>
      <c r="P160" s="4"/>
      <c r="Q160" s="4"/>
      <c r="R160" s="4"/>
      <c r="S160" s="4"/>
      <c r="T160" s="4"/>
      <c r="U160" s="4"/>
      <c r="V160" s="4"/>
      <c r="W160" s="4"/>
      <c r="X160" s="4"/>
      <c r="Y160" s="4"/>
      <c r="Z160" s="4"/>
    </row>
    <row r="161" ht="14.25" customHeight="1">
      <c r="A161" s="4"/>
      <c r="B161" s="4"/>
      <c r="C161" s="4"/>
      <c r="D161" s="4"/>
      <c r="E161" s="4"/>
      <c r="F161" s="188"/>
      <c r="G161" s="188"/>
      <c r="H161" s="4"/>
      <c r="I161" s="4"/>
      <c r="J161" s="4"/>
      <c r="K161" s="4"/>
      <c r="L161" s="4"/>
      <c r="M161" s="4"/>
      <c r="N161" s="4"/>
      <c r="O161" s="4"/>
      <c r="P161" s="4"/>
      <c r="Q161" s="4"/>
      <c r="R161" s="4"/>
      <c r="S161" s="4"/>
      <c r="T161" s="4"/>
      <c r="U161" s="4"/>
      <c r="V161" s="4"/>
      <c r="W161" s="4"/>
      <c r="X161" s="4"/>
      <c r="Y161" s="4"/>
      <c r="Z161" s="4"/>
    </row>
    <row r="162" ht="14.25" customHeight="1">
      <c r="A162" s="4"/>
      <c r="B162" s="4"/>
      <c r="C162" s="4"/>
      <c r="D162" s="4"/>
      <c r="E162" s="4"/>
      <c r="F162" s="188"/>
      <c r="G162" s="188"/>
      <c r="H162" s="4"/>
      <c r="I162" s="4"/>
      <c r="J162" s="4"/>
      <c r="K162" s="4"/>
      <c r="L162" s="4"/>
      <c r="M162" s="4"/>
      <c r="N162" s="4"/>
      <c r="O162" s="4"/>
      <c r="P162" s="4"/>
      <c r="Q162" s="4"/>
      <c r="R162" s="4"/>
      <c r="S162" s="4"/>
      <c r="T162" s="4"/>
      <c r="U162" s="4"/>
      <c r="V162" s="4"/>
      <c r="W162" s="4"/>
      <c r="X162" s="4"/>
      <c r="Y162" s="4"/>
      <c r="Z162" s="4"/>
    </row>
    <row r="163" ht="14.25" customHeight="1">
      <c r="A163" s="4"/>
      <c r="B163" s="4"/>
      <c r="C163" s="4"/>
      <c r="D163" s="4"/>
      <c r="E163" s="4"/>
      <c r="F163" s="188"/>
      <c r="G163" s="188"/>
      <c r="H163" s="4"/>
      <c r="I163" s="4"/>
      <c r="J163" s="4"/>
      <c r="K163" s="4"/>
      <c r="L163" s="4"/>
      <c r="M163" s="4"/>
      <c r="N163" s="4"/>
      <c r="O163" s="4"/>
      <c r="P163" s="4"/>
      <c r="Q163" s="4"/>
      <c r="R163" s="4"/>
      <c r="S163" s="4"/>
      <c r="T163" s="4"/>
      <c r="U163" s="4"/>
      <c r="V163" s="4"/>
      <c r="W163" s="4"/>
      <c r="X163" s="4"/>
      <c r="Y163" s="4"/>
      <c r="Z163" s="4"/>
    </row>
    <row r="164" ht="14.25" customHeight="1">
      <c r="A164" s="4"/>
      <c r="B164" s="4"/>
      <c r="C164" s="4"/>
      <c r="D164" s="4"/>
      <c r="E164" s="4"/>
      <c r="F164" s="188"/>
      <c r="G164" s="188"/>
      <c r="H164" s="4"/>
      <c r="I164" s="4"/>
      <c r="J164" s="4"/>
      <c r="K164" s="4"/>
      <c r="L164" s="4"/>
      <c r="M164" s="4"/>
      <c r="N164" s="4"/>
      <c r="O164" s="4"/>
      <c r="P164" s="4"/>
      <c r="Q164" s="4"/>
      <c r="R164" s="4"/>
      <c r="S164" s="4"/>
      <c r="T164" s="4"/>
      <c r="U164" s="4"/>
      <c r="V164" s="4"/>
      <c r="W164" s="4"/>
      <c r="X164" s="4"/>
      <c r="Y164" s="4"/>
      <c r="Z164" s="4"/>
    </row>
    <row r="165" ht="14.25" customHeight="1">
      <c r="A165" s="4"/>
      <c r="B165" s="4"/>
      <c r="C165" s="4"/>
      <c r="D165" s="4"/>
      <c r="E165" s="4"/>
      <c r="F165" s="188"/>
      <c r="G165" s="188"/>
      <c r="H165" s="4"/>
      <c r="I165" s="4"/>
      <c r="J165" s="4"/>
      <c r="K165" s="4"/>
      <c r="L165" s="4"/>
      <c r="M165" s="4"/>
      <c r="N165" s="4"/>
      <c r="O165" s="4"/>
      <c r="P165" s="4"/>
      <c r="Q165" s="4"/>
      <c r="R165" s="4"/>
      <c r="S165" s="4"/>
      <c r="T165" s="4"/>
      <c r="U165" s="4"/>
      <c r="V165" s="4"/>
      <c r="W165" s="4"/>
      <c r="X165" s="4"/>
      <c r="Y165" s="4"/>
      <c r="Z165" s="4"/>
    </row>
    <row r="166" ht="14.25" customHeight="1">
      <c r="A166" s="4"/>
      <c r="B166" s="4"/>
      <c r="C166" s="4"/>
      <c r="D166" s="4"/>
      <c r="E166" s="4"/>
      <c r="F166" s="188"/>
      <c r="G166" s="188"/>
      <c r="H166" s="4"/>
      <c r="I166" s="4"/>
      <c r="J166" s="4"/>
      <c r="K166" s="4"/>
      <c r="L166" s="4"/>
      <c r="M166" s="4"/>
      <c r="N166" s="4"/>
      <c r="O166" s="4"/>
      <c r="P166" s="4"/>
      <c r="Q166" s="4"/>
      <c r="R166" s="4"/>
      <c r="S166" s="4"/>
      <c r="T166" s="4"/>
      <c r="U166" s="4"/>
      <c r="V166" s="4"/>
      <c r="W166" s="4"/>
      <c r="X166" s="4"/>
      <c r="Y166" s="4"/>
      <c r="Z166" s="4"/>
    </row>
    <row r="167" ht="14.25" customHeight="1">
      <c r="A167" s="4"/>
      <c r="B167" s="4"/>
      <c r="C167" s="4"/>
      <c r="D167" s="4"/>
      <c r="E167" s="4"/>
      <c r="F167" s="188"/>
      <c r="G167" s="188"/>
      <c r="H167" s="4"/>
      <c r="I167" s="4"/>
      <c r="J167" s="4"/>
      <c r="K167" s="4"/>
      <c r="L167" s="4"/>
      <c r="M167" s="4"/>
      <c r="N167" s="4"/>
      <c r="O167" s="4"/>
      <c r="P167" s="4"/>
      <c r="Q167" s="4"/>
      <c r="R167" s="4"/>
      <c r="S167" s="4"/>
      <c r="T167" s="4"/>
      <c r="U167" s="4"/>
      <c r="V167" s="4"/>
      <c r="W167" s="4"/>
      <c r="X167" s="4"/>
      <c r="Y167" s="4"/>
      <c r="Z167" s="4"/>
    </row>
    <row r="168" ht="14.25" customHeight="1">
      <c r="A168" s="4"/>
      <c r="B168" s="4"/>
      <c r="C168" s="4"/>
      <c r="D168" s="4"/>
      <c r="E168" s="4"/>
      <c r="F168" s="188"/>
      <c r="G168" s="188"/>
      <c r="H168" s="4"/>
      <c r="I168" s="4"/>
      <c r="J168" s="4"/>
      <c r="K168" s="4"/>
      <c r="L168" s="4"/>
      <c r="M168" s="4"/>
      <c r="N168" s="4"/>
      <c r="O168" s="4"/>
      <c r="P168" s="4"/>
      <c r="Q168" s="4"/>
      <c r="R168" s="4"/>
      <c r="S168" s="4"/>
      <c r="T168" s="4"/>
      <c r="U168" s="4"/>
      <c r="V168" s="4"/>
      <c r="W168" s="4"/>
      <c r="X168" s="4"/>
      <c r="Y168" s="4"/>
      <c r="Z168" s="4"/>
    </row>
    <row r="169" ht="14.25" customHeight="1">
      <c r="A169" s="4"/>
      <c r="B169" s="4"/>
      <c r="C169" s="4"/>
      <c r="D169" s="4"/>
      <c r="E169" s="4"/>
      <c r="F169" s="188"/>
      <c r="G169" s="188"/>
      <c r="H169" s="4"/>
      <c r="I169" s="4"/>
      <c r="J169" s="4"/>
      <c r="K169" s="4"/>
      <c r="L169" s="4"/>
      <c r="M169" s="4"/>
      <c r="N169" s="4"/>
      <c r="O169" s="4"/>
      <c r="P169" s="4"/>
      <c r="Q169" s="4"/>
      <c r="R169" s="4"/>
      <c r="S169" s="4"/>
      <c r="T169" s="4"/>
      <c r="U169" s="4"/>
      <c r="V169" s="4"/>
      <c r="W169" s="4"/>
      <c r="X169" s="4"/>
      <c r="Y169" s="4"/>
      <c r="Z169" s="4"/>
    </row>
    <row r="170" ht="14.25" customHeight="1">
      <c r="A170" s="4"/>
      <c r="B170" s="4"/>
      <c r="C170" s="4"/>
      <c r="D170" s="4"/>
      <c r="E170" s="4"/>
      <c r="F170" s="188"/>
      <c r="G170" s="188"/>
      <c r="H170" s="4"/>
      <c r="I170" s="4"/>
      <c r="J170" s="4"/>
      <c r="K170" s="4"/>
      <c r="L170" s="4"/>
      <c r="M170" s="4"/>
      <c r="N170" s="4"/>
      <c r="O170" s="4"/>
      <c r="P170" s="4"/>
      <c r="Q170" s="4"/>
      <c r="R170" s="4"/>
      <c r="S170" s="4"/>
      <c r="T170" s="4"/>
      <c r="U170" s="4"/>
      <c r="V170" s="4"/>
      <c r="W170" s="4"/>
      <c r="X170" s="4"/>
      <c r="Y170" s="4"/>
      <c r="Z170" s="4"/>
    </row>
    <row r="171" ht="14.25" customHeight="1">
      <c r="A171" s="4"/>
      <c r="B171" s="4"/>
      <c r="C171" s="4"/>
      <c r="D171" s="4"/>
      <c r="E171" s="4"/>
      <c r="F171" s="188"/>
      <c r="G171" s="188"/>
      <c r="H171" s="4"/>
      <c r="I171" s="4"/>
      <c r="J171" s="4"/>
      <c r="K171" s="4"/>
      <c r="L171" s="4"/>
      <c r="M171" s="4"/>
      <c r="N171" s="4"/>
      <c r="O171" s="4"/>
      <c r="P171" s="4"/>
      <c r="Q171" s="4"/>
      <c r="R171" s="4"/>
      <c r="S171" s="4"/>
      <c r="T171" s="4"/>
      <c r="U171" s="4"/>
      <c r="V171" s="4"/>
      <c r="W171" s="4"/>
      <c r="X171" s="4"/>
      <c r="Y171" s="4"/>
      <c r="Z171" s="4"/>
    </row>
    <row r="172" ht="14.25" customHeight="1">
      <c r="A172" s="4"/>
      <c r="B172" s="4"/>
      <c r="C172" s="4"/>
      <c r="D172" s="4"/>
      <c r="E172" s="4"/>
      <c r="F172" s="188"/>
      <c r="G172" s="188"/>
      <c r="H172" s="4"/>
      <c r="I172" s="4"/>
      <c r="J172" s="4"/>
      <c r="K172" s="4"/>
      <c r="L172" s="4"/>
      <c r="M172" s="4"/>
      <c r="N172" s="4"/>
      <c r="O172" s="4"/>
      <c r="P172" s="4"/>
      <c r="Q172" s="4"/>
      <c r="R172" s="4"/>
      <c r="S172" s="4"/>
      <c r="T172" s="4"/>
      <c r="U172" s="4"/>
      <c r="V172" s="4"/>
      <c r="W172" s="4"/>
      <c r="X172" s="4"/>
      <c r="Y172" s="4"/>
      <c r="Z172" s="4"/>
    </row>
    <row r="173" ht="14.25" customHeight="1">
      <c r="A173" s="4"/>
      <c r="B173" s="4"/>
      <c r="C173" s="4"/>
      <c r="D173" s="4"/>
      <c r="E173" s="4"/>
      <c r="F173" s="188"/>
      <c r="G173" s="188"/>
      <c r="H173" s="4"/>
      <c r="I173" s="4"/>
      <c r="J173" s="4"/>
      <c r="K173" s="4"/>
      <c r="L173" s="4"/>
      <c r="M173" s="4"/>
      <c r="N173" s="4"/>
      <c r="O173" s="4"/>
      <c r="P173" s="4"/>
      <c r="Q173" s="4"/>
      <c r="R173" s="4"/>
      <c r="S173" s="4"/>
      <c r="T173" s="4"/>
      <c r="U173" s="4"/>
      <c r="V173" s="4"/>
      <c r="W173" s="4"/>
      <c r="X173" s="4"/>
      <c r="Y173" s="4"/>
      <c r="Z173" s="4"/>
    </row>
    <row r="174" ht="14.25" customHeight="1">
      <c r="A174" s="4"/>
      <c r="B174" s="4"/>
      <c r="C174" s="4"/>
      <c r="D174" s="4"/>
      <c r="E174" s="4"/>
      <c r="F174" s="188"/>
      <c r="G174" s="188"/>
      <c r="H174" s="4"/>
      <c r="I174" s="4"/>
      <c r="J174" s="4"/>
      <c r="K174" s="4"/>
      <c r="L174" s="4"/>
      <c r="M174" s="4"/>
      <c r="N174" s="4"/>
      <c r="O174" s="4"/>
      <c r="P174" s="4"/>
      <c r="Q174" s="4"/>
      <c r="R174" s="4"/>
      <c r="S174" s="4"/>
      <c r="T174" s="4"/>
      <c r="U174" s="4"/>
      <c r="V174" s="4"/>
      <c r="W174" s="4"/>
      <c r="X174" s="4"/>
      <c r="Y174" s="4"/>
      <c r="Z174" s="4"/>
    </row>
    <row r="175" ht="14.25" customHeight="1">
      <c r="A175" s="4"/>
      <c r="B175" s="4"/>
      <c r="C175" s="4"/>
      <c r="D175" s="4"/>
      <c r="E175" s="4"/>
      <c r="F175" s="188"/>
      <c r="G175" s="188"/>
      <c r="H175" s="4"/>
      <c r="I175" s="4"/>
      <c r="J175" s="4"/>
      <c r="K175" s="4"/>
      <c r="L175" s="4"/>
      <c r="M175" s="4"/>
      <c r="N175" s="4"/>
      <c r="O175" s="4"/>
      <c r="P175" s="4"/>
      <c r="Q175" s="4"/>
      <c r="R175" s="4"/>
      <c r="S175" s="4"/>
      <c r="T175" s="4"/>
      <c r="U175" s="4"/>
      <c r="V175" s="4"/>
      <c r="W175" s="4"/>
      <c r="X175" s="4"/>
      <c r="Y175" s="4"/>
      <c r="Z175" s="4"/>
    </row>
    <row r="176" ht="14.25" customHeight="1">
      <c r="A176" s="4"/>
      <c r="B176" s="4"/>
      <c r="C176" s="4"/>
      <c r="D176" s="4"/>
      <c r="E176" s="4"/>
      <c r="F176" s="188"/>
      <c r="G176" s="188"/>
      <c r="H176" s="4"/>
      <c r="I176" s="4"/>
      <c r="J176" s="4"/>
      <c r="K176" s="4"/>
      <c r="L176" s="4"/>
      <c r="M176" s="4"/>
      <c r="N176" s="4"/>
      <c r="O176" s="4"/>
      <c r="P176" s="4"/>
      <c r="Q176" s="4"/>
      <c r="R176" s="4"/>
      <c r="S176" s="4"/>
      <c r="T176" s="4"/>
      <c r="U176" s="4"/>
      <c r="V176" s="4"/>
      <c r="W176" s="4"/>
      <c r="X176" s="4"/>
      <c r="Y176" s="4"/>
      <c r="Z176" s="4"/>
    </row>
    <row r="177" ht="14.25" customHeight="1">
      <c r="A177" s="4"/>
      <c r="B177" s="4"/>
      <c r="C177" s="4"/>
      <c r="D177" s="4"/>
      <c r="E177" s="4"/>
      <c r="F177" s="188"/>
      <c r="G177" s="188"/>
      <c r="H177" s="4"/>
      <c r="I177" s="4"/>
      <c r="J177" s="4"/>
      <c r="K177" s="4"/>
      <c r="L177" s="4"/>
      <c r="M177" s="4"/>
      <c r="N177" s="4"/>
      <c r="O177" s="4"/>
      <c r="P177" s="4"/>
      <c r="Q177" s="4"/>
      <c r="R177" s="4"/>
      <c r="S177" s="4"/>
      <c r="T177" s="4"/>
      <c r="U177" s="4"/>
      <c r="V177" s="4"/>
      <c r="W177" s="4"/>
      <c r="X177" s="4"/>
      <c r="Y177" s="4"/>
      <c r="Z177" s="4"/>
    </row>
    <row r="178" ht="14.25" customHeight="1">
      <c r="A178" s="4"/>
      <c r="B178" s="4"/>
      <c r="C178" s="4"/>
      <c r="D178" s="4"/>
      <c r="E178" s="4"/>
      <c r="F178" s="188"/>
      <c r="G178" s="188"/>
      <c r="H178" s="4"/>
      <c r="I178" s="4"/>
      <c r="J178" s="4"/>
      <c r="K178" s="4"/>
      <c r="L178" s="4"/>
      <c r="M178" s="4"/>
      <c r="N178" s="4"/>
      <c r="O178" s="4"/>
      <c r="P178" s="4"/>
      <c r="Q178" s="4"/>
      <c r="R178" s="4"/>
      <c r="S178" s="4"/>
      <c r="T178" s="4"/>
      <c r="U178" s="4"/>
      <c r="V178" s="4"/>
      <c r="W178" s="4"/>
      <c r="X178" s="4"/>
      <c r="Y178" s="4"/>
      <c r="Z178" s="4"/>
    </row>
    <row r="179" ht="14.25" customHeight="1">
      <c r="A179" s="4"/>
      <c r="B179" s="4"/>
      <c r="C179" s="4"/>
      <c r="D179" s="4"/>
      <c r="E179" s="4"/>
      <c r="F179" s="188"/>
      <c r="G179" s="188"/>
      <c r="H179" s="4"/>
      <c r="I179" s="4"/>
      <c r="J179" s="4"/>
      <c r="K179" s="4"/>
      <c r="L179" s="4"/>
      <c r="M179" s="4"/>
      <c r="N179" s="4"/>
      <c r="O179" s="4"/>
      <c r="P179" s="4"/>
      <c r="Q179" s="4"/>
      <c r="R179" s="4"/>
      <c r="S179" s="4"/>
      <c r="T179" s="4"/>
      <c r="U179" s="4"/>
      <c r="V179" s="4"/>
      <c r="W179" s="4"/>
      <c r="X179" s="4"/>
      <c r="Y179" s="4"/>
      <c r="Z179" s="4"/>
    </row>
    <row r="180" ht="14.25" customHeight="1">
      <c r="A180" s="4"/>
      <c r="B180" s="4"/>
      <c r="C180" s="4"/>
      <c r="D180" s="4"/>
      <c r="E180" s="4"/>
      <c r="F180" s="188"/>
      <c r="G180" s="188"/>
      <c r="H180" s="4"/>
      <c r="I180" s="4"/>
      <c r="J180" s="4"/>
      <c r="K180" s="4"/>
      <c r="L180" s="4"/>
      <c r="M180" s="4"/>
      <c r="N180" s="4"/>
      <c r="O180" s="4"/>
      <c r="P180" s="4"/>
      <c r="Q180" s="4"/>
      <c r="R180" s="4"/>
      <c r="S180" s="4"/>
      <c r="T180" s="4"/>
      <c r="U180" s="4"/>
      <c r="V180" s="4"/>
      <c r="W180" s="4"/>
      <c r="X180" s="4"/>
      <c r="Y180" s="4"/>
      <c r="Z180" s="4"/>
    </row>
    <row r="181" ht="14.25" customHeight="1">
      <c r="A181" s="4"/>
      <c r="B181" s="4"/>
      <c r="C181" s="4"/>
      <c r="D181" s="4"/>
      <c r="E181" s="4"/>
      <c r="F181" s="188"/>
      <c r="G181" s="188"/>
      <c r="H181" s="4"/>
      <c r="I181" s="4"/>
      <c r="J181" s="4"/>
      <c r="K181" s="4"/>
      <c r="L181" s="4"/>
      <c r="M181" s="4"/>
      <c r="N181" s="4"/>
      <c r="O181" s="4"/>
      <c r="P181" s="4"/>
      <c r="Q181" s="4"/>
      <c r="R181" s="4"/>
      <c r="S181" s="4"/>
      <c r="T181" s="4"/>
      <c r="U181" s="4"/>
      <c r="V181" s="4"/>
      <c r="W181" s="4"/>
      <c r="X181" s="4"/>
      <c r="Y181" s="4"/>
      <c r="Z181" s="4"/>
    </row>
    <row r="182" ht="14.25" customHeight="1">
      <c r="A182" s="4"/>
      <c r="B182" s="4"/>
      <c r="C182" s="4"/>
      <c r="D182" s="4"/>
      <c r="E182" s="4"/>
      <c r="F182" s="188"/>
      <c r="G182" s="188"/>
      <c r="H182" s="4"/>
      <c r="I182" s="4"/>
      <c r="J182" s="4"/>
      <c r="K182" s="4"/>
      <c r="L182" s="4"/>
      <c r="M182" s="4"/>
      <c r="N182" s="4"/>
      <c r="O182" s="4"/>
      <c r="P182" s="4"/>
      <c r="Q182" s="4"/>
      <c r="R182" s="4"/>
      <c r="S182" s="4"/>
      <c r="T182" s="4"/>
      <c r="U182" s="4"/>
      <c r="V182" s="4"/>
      <c r="W182" s="4"/>
      <c r="X182" s="4"/>
      <c r="Y182" s="4"/>
      <c r="Z182" s="4"/>
    </row>
    <row r="183" ht="14.25" customHeight="1">
      <c r="A183" s="4"/>
      <c r="B183" s="4"/>
      <c r="C183" s="4"/>
      <c r="D183" s="4"/>
      <c r="E183" s="4"/>
      <c r="F183" s="188"/>
      <c r="G183" s="188"/>
      <c r="H183" s="4"/>
      <c r="I183" s="4"/>
      <c r="J183" s="4"/>
      <c r="K183" s="4"/>
      <c r="L183" s="4"/>
      <c r="M183" s="4"/>
      <c r="N183" s="4"/>
      <c r="O183" s="4"/>
      <c r="P183" s="4"/>
      <c r="Q183" s="4"/>
      <c r="R183" s="4"/>
      <c r="S183" s="4"/>
      <c r="T183" s="4"/>
      <c r="U183" s="4"/>
      <c r="V183" s="4"/>
      <c r="W183" s="4"/>
      <c r="X183" s="4"/>
      <c r="Y183" s="4"/>
      <c r="Z183" s="4"/>
    </row>
    <row r="184" ht="14.25" customHeight="1">
      <c r="A184" s="4"/>
      <c r="B184" s="4"/>
      <c r="C184" s="4"/>
      <c r="D184" s="4"/>
      <c r="E184" s="4"/>
      <c r="F184" s="188"/>
      <c r="G184" s="188"/>
      <c r="H184" s="4"/>
      <c r="I184" s="4"/>
      <c r="J184" s="4"/>
      <c r="K184" s="4"/>
      <c r="L184" s="4"/>
      <c r="M184" s="4"/>
      <c r="N184" s="4"/>
      <c r="O184" s="4"/>
      <c r="P184" s="4"/>
      <c r="Q184" s="4"/>
      <c r="R184" s="4"/>
      <c r="S184" s="4"/>
      <c r="T184" s="4"/>
      <c r="U184" s="4"/>
      <c r="V184" s="4"/>
      <c r="W184" s="4"/>
      <c r="X184" s="4"/>
      <c r="Y184" s="4"/>
      <c r="Z184" s="4"/>
    </row>
    <row r="185" ht="14.25" customHeight="1">
      <c r="A185" s="4"/>
      <c r="B185" s="4"/>
      <c r="C185" s="4"/>
      <c r="D185" s="4"/>
      <c r="E185" s="4"/>
      <c r="F185" s="188"/>
      <c r="G185" s="188"/>
      <c r="H185" s="4"/>
      <c r="I185" s="4"/>
      <c r="J185" s="4"/>
      <c r="K185" s="4"/>
      <c r="L185" s="4"/>
      <c r="M185" s="4"/>
      <c r="N185" s="4"/>
      <c r="O185" s="4"/>
      <c r="P185" s="4"/>
      <c r="Q185" s="4"/>
      <c r="R185" s="4"/>
      <c r="S185" s="4"/>
      <c r="T185" s="4"/>
      <c r="U185" s="4"/>
      <c r="V185" s="4"/>
      <c r="W185" s="4"/>
      <c r="X185" s="4"/>
      <c r="Y185" s="4"/>
      <c r="Z185" s="4"/>
    </row>
    <row r="186" ht="14.25" customHeight="1">
      <c r="A186" s="4"/>
      <c r="B186" s="4"/>
      <c r="C186" s="4"/>
      <c r="D186" s="4"/>
      <c r="E186" s="4"/>
      <c r="F186" s="188"/>
      <c r="G186" s="188"/>
      <c r="H186" s="4"/>
      <c r="I186" s="4"/>
      <c r="J186" s="4"/>
      <c r="K186" s="4"/>
      <c r="L186" s="4"/>
      <c r="M186" s="4"/>
      <c r="N186" s="4"/>
      <c r="O186" s="4"/>
      <c r="P186" s="4"/>
      <c r="Q186" s="4"/>
      <c r="R186" s="4"/>
      <c r="S186" s="4"/>
      <c r="T186" s="4"/>
      <c r="U186" s="4"/>
      <c r="V186" s="4"/>
      <c r="W186" s="4"/>
      <c r="X186" s="4"/>
      <c r="Y186" s="4"/>
      <c r="Z186" s="4"/>
    </row>
    <row r="187" ht="14.25" customHeight="1">
      <c r="A187" s="4"/>
      <c r="B187" s="4"/>
      <c r="C187" s="4"/>
      <c r="D187" s="4"/>
      <c r="E187" s="4"/>
      <c r="F187" s="188"/>
      <c r="G187" s="188"/>
      <c r="H187" s="4"/>
      <c r="I187" s="4"/>
      <c r="J187" s="4"/>
      <c r="K187" s="4"/>
      <c r="L187" s="4"/>
      <c r="M187" s="4"/>
      <c r="N187" s="4"/>
      <c r="O187" s="4"/>
      <c r="P187" s="4"/>
      <c r="Q187" s="4"/>
      <c r="R187" s="4"/>
      <c r="S187" s="4"/>
      <c r="T187" s="4"/>
      <c r="U187" s="4"/>
      <c r="V187" s="4"/>
      <c r="W187" s="4"/>
      <c r="X187" s="4"/>
      <c r="Y187" s="4"/>
      <c r="Z187" s="4"/>
    </row>
    <row r="188" ht="14.25" customHeight="1">
      <c r="A188" s="4"/>
      <c r="B188" s="4"/>
      <c r="C188" s="4"/>
      <c r="D188" s="4"/>
      <c r="E188" s="4"/>
      <c r="F188" s="188"/>
      <c r="G188" s="188"/>
      <c r="H188" s="4"/>
      <c r="I188" s="4"/>
      <c r="J188" s="4"/>
      <c r="K188" s="4"/>
      <c r="L188" s="4"/>
      <c r="M188" s="4"/>
      <c r="N188" s="4"/>
      <c r="O188" s="4"/>
      <c r="P188" s="4"/>
      <c r="Q188" s="4"/>
      <c r="R188" s="4"/>
      <c r="S188" s="4"/>
      <c r="T188" s="4"/>
      <c r="U188" s="4"/>
      <c r="V188" s="4"/>
      <c r="W188" s="4"/>
      <c r="X188" s="4"/>
      <c r="Y188" s="4"/>
      <c r="Z188" s="4"/>
    </row>
    <row r="189" ht="14.25" customHeight="1">
      <c r="A189" s="4"/>
      <c r="B189" s="4"/>
      <c r="C189" s="4"/>
      <c r="D189" s="4"/>
      <c r="E189" s="4"/>
      <c r="F189" s="188"/>
      <c r="G189" s="188"/>
      <c r="H189" s="4"/>
      <c r="I189" s="4"/>
      <c r="J189" s="4"/>
      <c r="K189" s="4"/>
      <c r="L189" s="4"/>
      <c r="M189" s="4"/>
      <c r="N189" s="4"/>
      <c r="O189" s="4"/>
      <c r="P189" s="4"/>
      <c r="Q189" s="4"/>
      <c r="R189" s="4"/>
      <c r="S189" s="4"/>
      <c r="T189" s="4"/>
      <c r="U189" s="4"/>
      <c r="V189" s="4"/>
      <c r="W189" s="4"/>
      <c r="X189" s="4"/>
      <c r="Y189" s="4"/>
      <c r="Z189" s="4"/>
    </row>
    <row r="190" ht="14.25" customHeight="1">
      <c r="A190" s="4"/>
      <c r="B190" s="4"/>
      <c r="C190" s="4"/>
      <c r="D190" s="4"/>
      <c r="E190" s="4"/>
      <c r="F190" s="188"/>
      <c r="G190" s="188"/>
      <c r="H190" s="4"/>
      <c r="I190" s="4"/>
      <c r="J190" s="4"/>
      <c r="K190" s="4"/>
      <c r="L190" s="4"/>
      <c r="M190" s="4"/>
      <c r="N190" s="4"/>
      <c r="O190" s="4"/>
      <c r="P190" s="4"/>
      <c r="Q190" s="4"/>
      <c r="R190" s="4"/>
      <c r="S190" s="4"/>
      <c r="T190" s="4"/>
      <c r="U190" s="4"/>
      <c r="V190" s="4"/>
      <c r="W190" s="4"/>
      <c r="X190" s="4"/>
      <c r="Y190" s="4"/>
      <c r="Z190" s="4"/>
    </row>
    <row r="191" ht="14.25" customHeight="1">
      <c r="A191" s="4"/>
      <c r="B191" s="4"/>
      <c r="C191" s="4"/>
      <c r="D191" s="4"/>
      <c r="E191" s="4"/>
      <c r="F191" s="188"/>
      <c r="G191" s="188"/>
      <c r="H191" s="4"/>
      <c r="I191" s="4"/>
      <c r="J191" s="4"/>
      <c r="K191" s="4"/>
      <c r="L191" s="4"/>
      <c r="M191" s="4"/>
      <c r="N191" s="4"/>
      <c r="O191" s="4"/>
      <c r="P191" s="4"/>
      <c r="Q191" s="4"/>
      <c r="R191" s="4"/>
      <c r="S191" s="4"/>
      <c r="T191" s="4"/>
      <c r="U191" s="4"/>
      <c r="V191" s="4"/>
      <c r="W191" s="4"/>
      <c r="X191" s="4"/>
      <c r="Y191" s="4"/>
      <c r="Z191" s="4"/>
    </row>
    <row r="192" ht="14.25" customHeight="1">
      <c r="A192" s="4"/>
      <c r="B192" s="4"/>
      <c r="C192" s="4"/>
      <c r="D192" s="4"/>
      <c r="E192" s="4"/>
      <c r="F192" s="188"/>
      <c r="G192" s="188"/>
      <c r="H192" s="4"/>
      <c r="I192" s="4"/>
      <c r="J192" s="4"/>
      <c r="K192" s="4"/>
      <c r="L192" s="4"/>
      <c r="M192" s="4"/>
      <c r="N192" s="4"/>
      <c r="O192" s="4"/>
      <c r="P192" s="4"/>
      <c r="Q192" s="4"/>
      <c r="R192" s="4"/>
      <c r="S192" s="4"/>
      <c r="T192" s="4"/>
      <c r="U192" s="4"/>
      <c r="V192" s="4"/>
      <c r="W192" s="4"/>
      <c r="X192" s="4"/>
      <c r="Y192" s="4"/>
      <c r="Z192" s="4"/>
    </row>
    <row r="193" ht="14.25" customHeight="1">
      <c r="A193" s="4"/>
      <c r="B193" s="4"/>
      <c r="C193" s="4"/>
      <c r="D193" s="4"/>
      <c r="E193" s="4"/>
      <c r="F193" s="188"/>
      <c r="G193" s="188"/>
      <c r="H193" s="4"/>
      <c r="I193" s="4"/>
      <c r="J193" s="4"/>
      <c r="K193" s="4"/>
      <c r="L193" s="4"/>
      <c r="M193" s="4"/>
      <c r="N193" s="4"/>
      <c r="O193" s="4"/>
      <c r="P193" s="4"/>
      <c r="Q193" s="4"/>
      <c r="R193" s="4"/>
      <c r="S193" s="4"/>
      <c r="T193" s="4"/>
      <c r="U193" s="4"/>
      <c r="V193" s="4"/>
      <c r="W193" s="4"/>
      <c r="X193" s="4"/>
      <c r="Y193" s="4"/>
      <c r="Z193" s="4"/>
    </row>
    <row r="194" ht="14.25" customHeight="1">
      <c r="A194" s="4"/>
      <c r="B194" s="4"/>
      <c r="C194" s="4"/>
      <c r="D194" s="4"/>
      <c r="E194" s="4"/>
      <c r="F194" s="188"/>
      <c r="G194" s="188"/>
      <c r="H194" s="4"/>
      <c r="I194" s="4"/>
      <c r="J194" s="4"/>
      <c r="K194" s="4"/>
      <c r="L194" s="4"/>
      <c r="M194" s="4"/>
      <c r="N194" s="4"/>
      <c r="O194" s="4"/>
      <c r="P194" s="4"/>
      <c r="Q194" s="4"/>
      <c r="R194" s="4"/>
      <c r="S194" s="4"/>
      <c r="T194" s="4"/>
      <c r="U194" s="4"/>
      <c r="V194" s="4"/>
      <c r="W194" s="4"/>
      <c r="X194" s="4"/>
      <c r="Y194" s="4"/>
      <c r="Z194" s="4"/>
    </row>
    <row r="195" ht="14.25" customHeight="1">
      <c r="A195" s="4"/>
      <c r="B195" s="4"/>
      <c r="C195" s="4"/>
      <c r="D195" s="4"/>
      <c r="E195" s="4"/>
      <c r="F195" s="188"/>
      <c r="G195" s="188"/>
      <c r="H195" s="4"/>
      <c r="I195" s="4"/>
      <c r="J195" s="4"/>
      <c r="K195" s="4"/>
      <c r="L195" s="4"/>
      <c r="M195" s="4"/>
      <c r="N195" s="4"/>
      <c r="O195" s="4"/>
      <c r="P195" s="4"/>
      <c r="Q195" s="4"/>
      <c r="R195" s="4"/>
      <c r="S195" s="4"/>
      <c r="T195" s="4"/>
      <c r="U195" s="4"/>
      <c r="V195" s="4"/>
      <c r="W195" s="4"/>
      <c r="X195" s="4"/>
      <c r="Y195" s="4"/>
      <c r="Z195" s="4"/>
    </row>
    <row r="196" ht="14.25" customHeight="1">
      <c r="A196" s="4"/>
      <c r="B196" s="4"/>
      <c r="C196" s="4"/>
      <c r="D196" s="4"/>
      <c r="E196" s="4"/>
      <c r="F196" s="188"/>
      <c r="G196" s="188"/>
      <c r="H196" s="4"/>
      <c r="I196" s="4"/>
      <c r="J196" s="4"/>
      <c r="K196" s="4"/>
      <c r="L196" s="4"/>
      <c r="M196" s="4"/>
      <c r="N196" s="4"/>
      <c r="O196" s="4"/>
      <c r="P196" s="4"/>
      <c r="Q196" s="4"/>
      <c r="R196" s="4"/>
      <c r="S196" s="4"/>
      <c r="T196" s="4"/>
      <c r="U196" s="4"/>
      <c r="V196" s="4"/>
      <c r="W196" s="4"/>
      <c r="X196" s="4"/>
      <c r="Y196" s="4"/>
      <c r="Z196" s="4"/>
    </row>
    <row r="197" ht="14.25" customHeight="1">
      <c r="A197" s="4"/>
      <c r="B197" s="4"/>
      <c r="C197" s="4"/>
      <c r="D197" s="4"/>
      <c r="E197" s="4"/>
      <c r="F197" s="188"/>
      <c r="G197" s="188"/>
      <c r="H197" s="4"/>
      <c r="I197" s="4"/>
      <c r="J197" s="4"/>
      <c r="K197" s="4"/>
      <c r="L197" s="4"/>
      <c r="M197" s="4"/>
      <c r="N197" s="4"/>
      <c r="O197" s="4"/>
      <c r="P197" s="4"/>
      <c r="Q197" s="4"/>
      <c r="R197" s="4"/>
      <c r="S197" s="4"/>
      <c r="T197" s="4"/>
      <c r="U197" s="4"/>
      <c r="V197" s="4"/>
      <c r="W197" s="4"/>
      <c r="X197" s="4"/>
      <c r="Y197" s="4"/>
      <c r="Z197" s="4"/>
    </row>
    <row r="198" ht="14.25" customHeight="1">
      <c r="A198" s="4"/>
      <c r="B198" s="4"/>
      <c r="C198" s="4"/>
      <c r="D198" s="4"/>
      <c r="E198" s="4"/>
      <c r="F198" s="188"/>
      <c r="G198" s="188"/>
      <c r="H198" s="4"/>
      <c r="I198" s="4"/>
      <c r="J198" s="4"/>
      <c r="K198" s="4"/>
      <c r="L198" s="4"/>
      <c r="M198" s="4"/>
      <c r="N198" s="4"/>
      <c r="O198" s="4"/>
      <c r="P198" s="4"/>
      <c r="Q198" s="4"/>
      <c r="R198" s="4"/>
      <c r="S198" s="4"/>
      <c r="T198" s="4"/>
      <c r="U198" s="4"/>
      <c r="V198" s="4"/>
      <c r="W198" s="4"/>
      <c r="X198" s="4"/>
      <c r="Y198" s="4"/>
      <c r="Z198" s="4"/>
    </row>
    <row r="199" ht="14.25" customHeight="1">
      <c r="A199" s="4"/>
      <c r="B199" s="4"/>
      <c r="C199" s="4"/>
      <c r="D199" s="4"/>
      <c r="E199" s="4"/>
      <c r="F199" s="188"/>
      <c r="G199" s="188"/>
      <c r="H199" s="4"/>
      <c r="I199" s="4"/>
      <c r="J199" s="4"/>
      <c r="K199" s="4"/>
      <c r="L199" s="4"/>
      <c r="M199" s="4"/>
      <c r="N199" s="4"/>
      <c r="O199" s="4"/>
      <c r="P199" s="4"/>
      <c r="Q199" s="4"/>
      <c r="R199" s="4"/>
      <c r="S199" s="4"/>
      <c r="T199" s="4"/>
      <c r="U199" s="4"/>
      <c r="V199" s="4"/>
      <c r="W199" s="4"/>
      <c r="X199" s="4"/>
      <c r="Y199" s="4"/>
      <c r="Z199" s="4"/>
    </row>
    <row r="200" ht="14.25" customHeight="1">
      <c r="A200" s="4"/>
      <c r="B200" s="4"/>
      <c r="C200" s="4"/>
      <c r="D200" s="4"/>
      <c r="E200" s="4"/>
      <c r="F200" s="188"/>
      <c r="G200" s="188"/>
      <c r="H200" s="4"/>
      <c r="I200" s="4"/>
      <c r="J200" s="4"/>
      <c r="K200" s="4"/>
      <c r="L200" s="4"/>
      <c r="M200" s="4"/>
      <c r="N200" s="4"/>
      <c r="O200" s="4"/>
      <c r="P200" s="4"/>
      <c r="Q200" s="4"/>
      <c r="R200" s="4"/>
      <c r="S200" s="4"/>
      <c r="T200" s="4"/>
      <c r="U200" s="4"/>
      <c r="V200" s="4"/>
      <c r="W200" s="4"/>
      <c r="X200" s="4"/>
      <c r="Y200" s="4"/>
      <c r="Z200" s="4"/>
    </row>
    <row r="201" ht="14.25" customHeight="1">
      <c r="A201" s="4"/>
      <c r="B201" s="4"/>
      <c r="C201" s="4"/>
      <c r="D201" s="4"/>
      <c r="E201" s="4"/>
      <c r="F201" s="188"/>
      <c r="G201" s="188"/>
      <c r="H201" s="4"/>
      <c r="I201" s="4"/>
      <c r="J201" s="4"/>
      <c r="K201" s="4"/>
      <c r="L201" s="4"/>
      <c r="M201" s="4"/>
      <c r="N201" s="4"/>
      <c r="O201" s="4"/>
      <c r="P201" s="4"/>
      <c r="Q201" s="4"/>
      <c r="R201" s="4"/>
      <c r="S201" s="4"/>
      <c r="T201" s="4"/>
      <c r="U201" s="4"/>
      <c r="V201" s="4"/>
      <c r="W201" s="4"/>
      <c r="X201" s="4"/>
      <c r="Y201" s="4"/>
      <c r="Z201" s="4"/>
    </row>
    <row r="202" ht="14.25" customHeight="1">
      <c r="A202" s="4"/>
      <c r="B202" s="4"/>
      <c r="C202" s="4"/>
      <c r="D202" s="4"/>
      <c r="E202" s="4"/>
      <c r="F202" s="188"/>
      <c r="G202" s="188"/>
      <c r="H202" s="4"/>
      <c r="I202" s="4"/>
      <c r="J202" s="4"/>
      <c r="K202" s="4"/>
      <c r="L202" s="4"/>
      <c r="M202" s="4"/>
      <c r="N202" s="4"/>
      <c r="O202" s="4"/>
      <c r="P202" s="4"/>
      <c r="Q202" s="4"/>
      <c r="R202" s="4"/>
      <c r="S202" s="4"/>
      <c r="T202" s="4"/>
      <c r="U202" s="4"/>
      <c r="V202" s="4"/>
      <c r="W202" s="4"/>
      <c r="X202" s="4"/>
      <c r="Y202" s="4"/>
      <c r="Z202" s="4"/>
    </row>
    <row r="203" ht="14.25" customHeight="1">
      <c r="A203" s="4"/>
      <c r="B203" s="4"/>
      <c r="C203" s="4"/>
      <c r="D203" s="4"/>
      <c r="E203" s="4"/>
      <c r="F203" s="188"/>
      <c r="G203" s="188"/>
      <c r="H203" s="4"/>
      <c r="I203" s="4"/>
      <c r="J203" s="4"/>
      <c r="K203" s="4"/>
      <c r="L203" s="4"/>
      <c r="M203" s="4"/>
      <c r="N203" s="4"/>
      <c r="O203" s="4"/>
      <c r="P203" s="4"/>
      <c r="Q203" s="4"/>
      <c r="R203" s="4"/>
      <c r="S203" s="4"/>
      <c r="T203" s="4"/>
      <c r="U203" s="4"/>
      <c r="V203" s="4"/>
      <c r="W203" s="4"/>
      <c r="X203" s="4"/>
      <c r="Y203" s="4"/>
      <c r="Z203" s="4"/>
    </row>
    <row r="204" ht="14.25" customHeight="1">
      <c r="A204" s="4"/>
      <c r="B204" s="4"/>
      <c r="C204" s="4"/>
      <c r="D204" s="4"/>
      <c r="E204" s="4"/>
      <c r="F204" s="188"/>
      <c r="G204" s="188"/>
      <c r="H204" s="4"/>
      <c r="I204" s="4"/>
      <c r="J204" s="4"/>
      <c r="K204" s="4"/>
      <c r="L204" s="4"/>
      <c r="M204" s="4"/>
      <c r="N204" s="4"/>
      <c r="O204" s="4"/>
      <c r="P204" s="4"/>
      <c r="Q204" s="4"/>
      <c r="R204" s="4"/>
      <c r="S204" s="4"/>
      <c r="T204" s="4"/>
      <c r="U204" s="4"/>
      <c r="V204" s="4"/>
      <c r="W204" s="4"/>
      <c r="X204" s="4"/>
      <c r="Y204" s="4"/>
      <c r="Z204" s="4"/>
    </row>
    <row r="205" ht="14.25" customHeight="1">
      <c r="A205" s="4"/>
      <c r="B205" s="4"/>
      <c r="C205" s="4"/>
      <c r="D205" s="4"/>
      <c r="E205" s="4"/>
      <c r="F205" s="188"/>
      <c r="G205" s="188"/>
      <c r="H205" s="4"/>
      <c r="I205" s="4"/>
      <c r="J205" s="4"/>
      <c r="K205" s="4"/>
      <c r="L205" s="4"/>
      <c r="M205" s="4"/>
      <c r="N205" s="4"/>
      <c r="O205" s="4"/>
      <c r="P205" s="4"/>
      <c r="Q205" s="4"/>
      <c r="R205" s="4"/>
      <c r="S205" s="4"/>
      <c r="T205" s="4"/>
      <c r="U205" s="4"/>
      <c r="V205" s="4"/>
      <c r="W205" s="4"/>
      <c r="X205" s="4"/>
      <c r="Y205" s="4"/>
      <c r="Z205" s="4"/>
    </row>
    <row r="206" ht="14.25" customHeight="1">
      <c r="A206" s="4"/>
      <c r="B206" s="4"/>
      <c r="C206" s="4"/>
      <c r="D206" s="4"/>
      <c r="E206" s="4"/>
      <c r="F206" s="188"/>
      <c r="G206" s="188"/>
      <c r="H206" s="4"/>
      <c r="I206" s="4"/>
      <c r="J206" s="4"/>
      <c r="K206" s="4"/>
      <c r="L206" s="4"/>
      <c r="M206" s="4"/>
      <c r="N206" s="4"/>
      <c r="O206" s="4"/>
      <c r="P206" s="4"/>
      <c r="Q206" s="4"/>
      <c r="R206" s="4"/>
      <c r="S206" s="4"/>
      <c r="T206" s="4"/>
      <c r="U206" s="4"/>
      <c r="V206" s="4"/>
      <c r="W206" s="4"/>
      <c r="X206" s="4"/>
      <c r="Y206" s="4"/>
      <c r="Z206" s="4"/>
    </row>
    <row r="207" ht="14.25" customHeight="1">
      <c r="A207" s="4"/>
      <c r="B207" s="4"/>
      <c r="C207" s="4"/>
      <c r="D207" s="4"/>
      <c r="E207" s="4"/>
      <c r="F207" s="188"/>
      <c r="G207" s="188"/>
      <c r="H207" s="4"/>
      <c r="I207" s="4"/>
      <c r="J207" s="4"/>
      <c r="K207" s="4"/>
      <c r="L207" s="4"/>
      <c r="M207" s="4"/>
      <c r="N207" s="4"/>
      <c r="O207" s="4"/>
      <c r="P207" s="4"/>
      <c r="Q207" s="4"/>
      <c r="R207" s="4"/>
      <c r="S207" s="4"/>
      <c r="T207" s="4"/>
      <c r="U207" s="4"/>
      <c r="V207" s="4"/>
      <c r="W207" s="4"/>
      <c r="X207" s="4"/>
      <c r="Y207" s="4"/>
      <c r="Z207" s="4"/>
    </row>
    <row r="208" ht="14.25" customHeight="1">
      <c r="A208" s="4"/>
      <c r="B208" s="4"/>
      <c r="C208" s="4"/>
      <c r="D208" s="4"/>
      <c r="E208" s="4"/>
      <c r="F208" s="188"/>
      <c r="G208" s="188"/>
      <c r="H208" s="4"/>
      <c r="I208" s="4"/>
      <c r="J208" s="4"/>
      <c r="K208" s="4"/>
      <c r="L208" s="4"/>
      <c r="M208" s="4"/>
      <c r="N208" s="4"/>
      <c r="O208" s="4"/>
      <c r="P208" s="4"/>
      <c r="Q208" s="4"/>
      <c r="R208" s="4"/>
      <c r="S208" s="4"/>
      <c r="T208" s="4"/>
      <c r="U208" s="4"/>
      <c r="V208" s="4"/>
      <c r="W208" s="4"/>
      <c r="X208" s="4"/>
      <c r="Y208" s="4"/>
      <c r="Z208" s="4"/>
    </row>
    <row r="209" ht="14.25" customHeight="1">
      <c r="A209" s="4"/>
      <c r="B209" s="4"/>
      <c r="C209" s="4"/>
      <c r="D209" s="4"/>
      <c r="E209" s="4"/>
      <c r="F209" s="188"/>
      <c r="G209" s="188"/>
      <c r="H209" s="4"/>
      <c r="I209" s="4"/>
      <c r="J209" s="4"/>
      <c r="K209" s="4"/>
      <c r="L209" s="4"/>
      <c r="M209" s="4"/>
      <c r="N209" s="4"/>
      <c r="O209" s="4"/>
      <c r="P209" s="4"/>
      <c r="Q209" s="4"/>
      <c r="R209" s="4"/>
      <c r="S209" s="4"/>
      <c r="T209" s="4"/>
      <c r="U209" s="4"/>
      <c r="V209" s="4"/>
      <c r="W209" s="4"/>
      <c r="X209" s="4"/>
      <c r="Y209" s="4"/>
      <c r="Z209" s="4"/>
    </row>
    <row r="210" ht="14.25" customHeight="1">
      <c r="A210" s="4"/>
      <c r="B210" s="4"/>
      <c r="C210" s="4"/>
      <c r="D210" s="4"/>
      <c r="E210" s="4"/>
      <c r="F210" s="188"/>
      <c r="G210" s="188"/>
      <c r="H210" s="4"/>
      <c r="I210" s="4"/>
      <c r="J210" s="4"/>
      <c r="K210" s="4"/>
      <c r="L210" s="4"/>
      <c r="M210" s="4"/>
      <c r="N210" s="4"/>
      <c r="O210" s="4"/>
      <c r="P210" s="4"/>
      <c r="Q210" s="4"/>
      <c r="R210" s="4"/>
      <c r="S210" s="4"/>
      <c r="T210" s="4"/>
      <c r="U210" s="4"/>
      <c r="V210" s="4"/>
      <c r="W210" s="4"/>
      <c r="X210" s="4"/>
      <c r="Y210" s="4"/>
      <c r="Z210" s="4"/>
    </row>
    <row r="211" ht="14.25" customHeight="1">
      <c r="A211" s="4"/>
      <c r="B211" s="4"/>
      <c r="C211" s="4"/>
      <c r="D211" s="4"/>
      <c r="E211" s="4"/>
      <c r="F211" s="188"/>
      <c r="G211" s="188"/>
      <c r="H211" s="4"/>
      <c r="I211" s="4"/>
      <c r="J211" s="4"/>
      <c r="K211" s="4"/>
      <c r="L211" s="4"/>
      <c r="M211" s="4"/>
      <c r="N211" s="4"/>
      <c r="O211" s="4"/>
      <c r="P211" s="4"/>
      <c r="Q211" s="4"/>
      <c r="R211" s="4"/>
      <c r="S211" s="4"/>
      <c r="T211" s="4"/>
      <c r="U211" s="4"/>
      <c r="V211" s="4"/>
      <c r="W211" s="4"/>
      <c r="X211" s="4"/>
      <c r="Y211" s="4"/>
      <c r="Z211" s="4"/>
    </row>
    <row r="212" ht="14.25" customHeight="1">
      <c r="A212" s="4"/>
      <c r="B212" s="4"/>
      <c r="C212" s="4"/>
      <c r="D212" s="4"/>
      <c r="E212" s="4"/>
      <c r="F212" s="188"/>
      <c r="G212" s="188"/>
      <c r="H212" s="4"/>
      <c r="I212" s="4"/>
      <c r="J212" s="4"/>
      <c r="K212" s="4"/>
      <c r="L212" s="4"/>
      <c r="M212" s="4"/>
      <c r="N212" s="4"/>
      <c r="O212" s="4"/>
      <c r="P212" s="4"/>
      <c r="Q212" s="4"/>
      <c r="R212" s="4"/>
      <c r="S212" s="4"/>
      <c r="T212" s="4"/>
      <c r="U212" s="4"/>
      <c r="V212" s="4"/>
      <c r="W212" s="4"/>
      <c r="X212" s="4"/>
      <c r="Y212" s="4"/>
      <c r="Z212" s="4"/>
    </row>
    <row r="213" ht="14.25" customHeight="1">
      <c r="A213" s="4"/>
      <c r="B213" s="4"/>
      <c r="C213" s="4"/>
      <c r="D213" s="4"/>
      <c r="E213" s="4"/>
      <c r="F213" s="188"/>
      <c r="G213" s="188"/>
      <c r="H213" s="4"/>
      <c r="I213" s="4"/>
      <c r="J213" s="4"/>
      <c r="K213" s="4"/>
      <c r="L213" s="4"/>
      <c r="M213" s="4"/>
      <c r="N213" s="4"/>
      <c r="O213" s="4"/>
      <c r="P213" s="4"/>
      <c r="Q213" s="4"/>
      <c r="R213" s="4"/>
      <c r="S213" s="4"/>
      <c r="T213" s="4"/>
      <c r="U213" s="4"/>
      <c r="V213" s="4"/>
      <c r="W213" s="4"/>
      <c r="X213" s="4"/>
      <c r="Y213" s="4"/>
      <c r="Z213" s="4"/>
    </row>
    <row r="214" ht="14.25" customHeight="1">
      <c r="A214" s="4"/>
      <c r="B214" s="4"/>
      <c r="C214" s="4"/>
      <c r="D214" s="4"/>
      <c r="E214" s="4"/>
      <c r="F214" s="188"/>
      <c r="G214" s="188"/>
      <c r="H214" s="4"/>
      <c r="I214" s="4"/>
      <c r="J214" s="4"/>
      <c r="K214" s="4"/>
      <c r="L214" s="4"/>
      <c r="M214" s="4"/>
      <c r="N214" s="4"/>
      <c r="O214" s="4"/>
      <c r="P214" s="4"/>
      <c r="Q214" s="4"/>
      <c r="R214" s="4"/>
      <c r="S214" s="4"/>
      <c r="T214" s="4"/>
      <c r="U214" s="4"/>
      <c r="V214" s="4"/>
      <c r="W214" s="4"/>
      <c r="X214" s="4"/>
      <c r="Y214" s="4"/>
      <c r="Z214" s="4"/>
    </row>
    <row r="215" ht="14.25" customHeight="1">
      <c r="A215" s="4"/>
      <c r="B215" s="4"/>
      <c r="C215" s="4"/>
      <c r="D215" s="4"/>
      <c r="E215" s="4"/>
      <c r="F215" s="188"/>
      <c r="G215" s="188"/>
      <c r="H215" s="4"/>
      <c r="I215" s="4"/>
      <c r="J215" s="4"/>
      <c r="K215" s="4"/>
      <c r="L215" s="4"/>
      <c r="M215" s="4"/>
      <c r="N215" s="4"/>
      <c r="O215" s="4"/>
      <c r="P215" s="4"/>
      <c r="Q215" s="4"/>
      <c r="R215" s="4"/>
      <c r="S215" s="4"/>
      <c r="T215" s="4"/>
      <c r="U215" s="4"/>
      <c r="V215" s="4"/>
      <c r="W215" s="4"/>
      <c r="X215" s="4"/>
      <c r="Y215" s="4"/>
      <c r="Z215" s="4"/>
    </row>
    <row r="216" ht="14.25" customHeight="1">
      <c r="A216" s="4"/>
      <c r="B216" s="4"/>
      <c r="C216" s="4"/>
      <c r="D216" s="4"/>
      <c r="E216" s="4"/>
      <c r="F216" s="188"/>
      <c r="G216" s="188"/>
      <c r="H216" s="4"/>
      <c r="I216" s="4"/>
      <c r="J216" s="4"/>
      <c r="K216" s="4"/>
      <c r="L216" s="4"/>
      <c r="M216" s="4"/>
      <c r="N216" s="4"/>
      <c r="O216" s="4"/>
      <c r="P216" s="4"/>
      <c r="Q216" s="4"/>
      <c r="R216" s="4"/>
      <c r="S216" s="4"/>
      <c r="T216" s="4"/>
      <c r="U216" s="4"/>
      <c r="V216" s="4"/>
      <c r="W216" s="4"/>
      <c r="X216" s="4"/>
      <c r="Y216" s="4"/>
      <c r="Z216" s="4"/>
    </row>
    <row r="217" ht="14.25" customHeight="1">
      <c r="A217" s="4"/>
      <c r="B217" s="4"/>
      <c r="C217" s="4"/>
      <c r="D217" s="4"/>
      <c r="E217" s="4"/>
      <c r="F217" s="188"/>
      <c r="G217" s="188"/>
      <c r="H217" s="4"/>
      <c r="I217" s="4"/>
      <c r="J217" s="4"/>
      <c r="K217" s="4"/>
      <c r="L217" s="4"/>
      <c r="M217" s="4"/>
      <c r="N217" s="4"/>
      <c r="O217" s="4"/>
      <c r="P217" s="4"/>
      <c r="Q217" s="4"/>
      <c r="R217" s="4"/>
      <c r="S217" s="4"/>
      <c r="T217" s="4"/>
      <c r="U217" s="4"/>
      <c r="V217" s="4"/>
      <c r="W217" s="4"/>
      <c r="X217" s="4"/>
      <c r="Y217" s="4"/>
      <c r="Z217" s="4"/>
    </row>
    <row r="218" ht="14.25" customHeight="1">
      <c r="A218" s="4"/>
      <c r="B218" s="4"/>
      <c r="C218" s="4"/>
      <c r="D218" s="4"/>
      <c r="E218" s="4"/>
      <c r="F218" s="188"/>
      <c r="G218" s="188"/>
      <c r="H218" s="4"/>
      <c r="I218" s="4"/>
      <c r="J218" s="4"/>
      <c r="K218" s="4"/>
      <c r="L218" s="4"/>
      <c r="M218" s="4"/>
      <c r="N218" s="4"/>
      <c r="O218" s="4"/>
      <c r="P218" s="4"/>
      <c r="Q218" s="4"/>
      <c r="R218" s="4"/>
      <c r="S218" s="4"/>
      <c r="T218" s="4"/>
      <c r="U218" s="4"/>
      <c r="V218" s="4"/>
      <c r="W218" s="4"/>
      <c r="X218" s="4"/>
      <c r="Y218" s="4"/>
      <c r="Z218" s="4"/>
    </row>
    <row r="219" ht="14.25" customHeight="1">
      <c r="A219" s="4"/>
      <c r="B219" s="4"/>
      <c r="C219" s="4"/>
      <c r="D219" s="4"/>
      <c r="E219" s="4"/>
      <c r="F219" s="188"/>
      <c r="G219" s="188"/>
      <c r="H219" s="4"/>
      <c r="I219" s="4"/>
      <c r="J219" s="4"/>
      <c r="K219" s="4"/>
      <c r="L219" s="4"/>
      <c r="M219" s="4"/>
      <c r="N219" s="4"/>
      <c r="O219" s="4"/>
      <c r="P219" s="4"/>
      <c r="Q219" s="4"/>
      <c r="R219" s="4"/>
      <c r="S219" s="4"/>
      <c r="T219" s="4"/>
      <c r="U219" s="4"/>
      <c r="V219" s="4"/>
      <c r="W219" s="4"/>
      <c r="X219" s="4"/>
      <c r="Y219" s="4"/>
      <c r="Z219" s="4"/>
    </row>
    <row r="220" ht="14.25" customHeight="1">
      <c r="A220" s="4"/>
      <c r="B220" s="4"/>
      <c r="C220" s="4"/>
      <c r="D220" s="4"/>
      <c r="E220" s="4"/>
      <c r="F220" s="188"/>
      <c r="G220" s="188"/>
      <c r="H220" s="4"/>
      <c r="I220" s="4"/>
      <c r="J220" s="4"/>
      <c r="K220" s="4"/>
      <c r="L220" s="4"/>
      <c r="M220" s="4"/>
      <c r="N220" s="4"/>
      <c r="O220" s="4"/>
      <c r="P220" s="4"/>
      <c r="Q220" s="4"/>
      <c r="R220" s="4"/>
      <c r="S220" s="4"/>
      <c r="T220" s="4"/>
      <c r="U220" s="4"/>
      <c r="V220" s="4"/>
      <c r="W220" s="4"/>
      <c r="X220" s="4"/>
      <c r="Y220" s="4"/>
      <c r="Z220" s="4"/>
    </row>
    <row r="221" ht="14.25" customHeight="1">
      <c r="A221" s="4"/>
      <c r="B221" s="4"/>
      <c r="C221" s="4"/>
      <c r="D221" s="4"/>
      <c r="E221" s="4"/>
      <c r="F221" s="188"/>
      <c r="G221" s="188"/>
      <c r="H221" s="4"/>
      <c r="I221" s="4"/>
      <c r="J221" s="4"/>
      <c r="K221" s="4"/>
      <c r="L221" s="4"/>
      <c r="M221" s="4"/>
      <c r="N221" s="4"/>
      <c r="O221" s="4"/>
      <c r="P221" s="4"/>
      <c r="Q221" s="4"/>
      <c r="R221" s="4"/>
      <c r="S221" s="4"/>
      <c r="T221" s="4"/>
      <c r="U221" s="4"/>
      <c r="V221" s="4"/>
      <c r="W221" s="4"/>
      <c r="X221" s="4"/>
      <c r="Y221" s="4"/>
      <c r="Z221" s="4"/>
    </row>
    <row r="222" ht="14.25" customHeight="1">
      <c r="A222" s="4"/>
      <c r="B222" s="4"/>
      <c r="C222" s="4"/>
      <c r="D222" s="4"/>
      <c r="E222" s="4"/>
      <c r="F222" s="188"/>
      <c r="G222" s="188"/>
      <c r="H222" s="4"/>
      <c r="I222" s="4"/>
      <c r="J222" s="4"/>
      <c r="K222" s="4"/>
      <c r="L222" s="4"/>
      <c r="M222" s="4"/>
      <c r="N222" s="4"/>
      <c r="O222" s="4"/>
      <c r="P222" s="4"/>
      <c r="Q222" s="4"/>
      <c r="R222" s="4"/>
      <c r="S222" s="4"/>
      <c r="T222" s="4"/>
      <c r="U222" s="4"/>
      <c r="V222" s="4"/>
      <c r="W222" s="4"/>
      <c r="X222" s="4"/>
      <c r="Y222" s="4"/>
      <c r="Z222" s="4"/>
    </row>
    <row r="223" ht="14.25" customHeight="1">
      <c r="A223" s="4"/>
      <c r="B223" s="4"/>
      <c r="C223" s="4"/>
      <c r="D223" s="4"/>
      <c r="E223" s="4"/>
      <c r="F223" s="188"/>
      <c r="G223" s="188"/>
      <c r="H223" s="4"/>
      <c r="I223" s="4"/>
      <c r="J223" s="4"/>
      <c r="K223" s="4"/>
      <c r="L223" s="4"/>
      <c r="M223" s="4"/>
      <c r="N223" s="4"/>
      <c r="O223" s="4"/>
      <c r="P223" s="4"/>
      <c r="Q223" s="4"/>
      <c r="R223" s="4"/>
      <c r="S223" s="4"/>
      <c r="T223" s="4"/>
      <c r="U223" s="4"/>
      <c r="V223" s="4"/>
      <c r="W223" s="4"/>
      <c r="X223" s="4"/>
      <c r="Y223" s="4"/>
      <c r="Z223" s="4"/>
    </row>
    <row r="224" ht="14.25" customHeight="1">
      <c r="A224" s="4"/>
      <c r="B224" s="4"/>
      <c r="C224" s="4"/>
      <c r="D224" s="4"/>
      <c r="E224" s="4"/>
      <c r="F224" s="188"/>
      <c r="G224" s="188"/>
      <c r="H224" s="4"/>
      <c r="I224" s="4"/>
      <c r="J224" s="4"/>
      <c r="K224" s="4"/>
      <c r="L224" s="4"/>
      <c r="M224" s="4"/>
      <c r="N224" s="4"/>
      <c r="O224" s="4"/>
      <c r="P224" s="4"/>
      <c r="Q224" s="4"/>
      <c r="R224" s="4"/>
      <c r="S224" s="4"/>
      <c r="T224" s="4"/>
      <c r="U224" s="4"/>
      <c r="V224" s="4"/>
      <c r="W224" s="4"/>
      <c r="X224" s="4"/>
      <c r="Y224" s="4"/>
      <c r="Z224" s="4"/>
    </row>
    <row r="225" ht="14.25" customHeight="1">
      <c r="A225" s="4"/>
      <c r="B225" s="4"/>
      <c r="C225" s="4"/>
      <c r="D225" s="4"/>
      <c r="E225" s="4"/>
      <c r="F225" s="188"/>
      <c r="G225" s="188"/>
      <c r="H225" s="4"/>
      <c r="I225" s="4"/>
      <c r="J225" s="4"/>
      <c r="K225" s="4"/>
      <c r="L225" s="4"/>
      <c r="M225" s="4"/>
      <c r="N225" s="4"/>
      <c r="O225" s="4"/>
      <c r="P225" s="4"/>
      <c r="Q225" s="4"/>
      <c r="R225" s="4"/>
      <c r="S225" s="4"/>
      <c r="T225" s="4"/>
      <c r="U225" s="4"/>
      <c r="V225" s="4"/>
      <c r="W225" s="4"/>
      <c r="X225" s="4"/>
      <c r="Y225" s="4"/>
      <c r="Z225" s="4"/>
    </row>
    <row r="226" ht="14.25" customHeight="1">
      <c r="A226" s="4"/>
      <c r="B226" s="4"/>
      <c r="C226" s="4"/>
      <c r="D226" s="4"/>
      <c r="E226" s="4"/>
      <c r="F226" s="188"/>
      <c r="G226" s="188"/>
      <c r="H226" s="4"/>
      <c r="I226" s="4"/>
      <c r="J226" s="4"/>
      <c r="K226" s="4"/>
      <c r="L226" s="4"/>
      <c r="M226" s="4"/>
      <c r="N226" s="4"/>
      <c r="O226" s="4"/>
      <c r="P226" s="4"/>
      <c r="Q226" s="4"/>
      <c r="R226" s="4"/>
      <c r="S226" s="4"/>
      <c r="T226" s="4"/>
      <c r="U226" s="4"/>
      <c r="V226" s="4"/>
      <c r="W226" s="4"/>
      <c r="X226" s="4"/>
      <c r="Y226" s="4"/>
      <c r="Z226" s="4"/>
    </row>
    <row r="227" ht="14.25" customHeight="1">
      <c r="A227" s="4"/>
      <c r="B227" s="4"/>
      <c r="C227" s="4"/>
      <c r="D227" s="4"/>
      <c r="E227" s="4"/>
      <c r="F227" s="188"/>
      <c r="G227" s="188"/>
      <c r="H227" s="4"/>
      <c r="I227" s="4"/>
      <c r="J227" s="4"/>
      <c r="K227" s="4"/>
      <c r="L227" s="4"/>
      <c r="M227" s="4"/>
      <c r="N227" s="4"/>
      <c r="O227" s="4"/>
      <c r="P227" s="4"/>
      <c r="Q227" s="4"/>
      <c r="R227" s="4"/>
      <c r="S227" s="4"/>
      <c r="T227" s="4"/>
      <c r="U227" s="4"/>
      <c r="V227" s="4"/>
      <c r="W227" s="4"/>
      <c r="X227" s="4"/>
      <c r="Y227" s="4"/>
      <c r="Z227" s="4"/>
    </row>
    <row r="228" ht="14.25" customHeight="1">
      <c r="A228" s="4"/>
      <c r="B228" s="4"/>
      <c r="C228" s="4"/>
      <c r="D228" s="4"/>
      <c r="E228" s="4"/>
      <c r="F228" s="188"/>
      <c r="G228" s="188"/>
      <c r="H228" s="4"/>
      <c r="I228" s="4"/>
      <c r="J228" s="4"/>
      <c r="K228" s="4"/>
      <c r="L228" s="4"/>
      <c r="M228" s="4"/>
      <c r="N228" s="4"/>
      <c r="O228" s="4"/>
      <c r="P228" s="4"/>
      <c r="Q228" s="4"/>
      <c r="R228" s="4"/>
      <c r="S228" s="4"/>
      <c r="T228" s="4"/>
      <c r="U228" s="4"/>
      <c r="V228" s="4"/>
      <c r="W228" s="4"/>
      <c r="X228" s="4"/>
      <c r="Y228" s="4"/>
      <c r="Z228" s="4"/>
    </row>
    <row r="229" ht="14.25" customHeight="1">
      <c r="A229" s="4"/>
      <c r="B229" s="4"/>
      <c r="C229" s="4"/>
      <c r="D229" s="4"/>
      <c r="E229" s="4"/>
      <c r="F229" s="188"/>
      <c r="G229" s="188"/>
      <c r="H229" s="4"/>
      <c r="I229" s="4"/>
      <c r="J229" s="4"/>
      <c r="K229" s="4"/>
      <c r="L229" s="4"/>
      <c r="M229" s="4"/>
      <c r="N229" s="4"/>
      <c r="O229" s="4"/>
      <c r="P229" s="4"/>
      <c r="Q229" s="4"/>
      <c r="R229" s="4"/>
      <c r="S229" s="4"/>
      <c r="T229" s="4"/>
      <c r="U229" s="4"/>
      <c r="V229" s="4"/>
      <c r="W229" s="4"/>
      <c r="X229" s="4"/>
      <c r="Y229" s="4"/>
      <c r="Z229" s="4"/>
    </row>
    <row r="230" ht="14.25" customHeight="1">
      <c r="A230" s="4"/>
      <c r="B230" s="4"/>
      <c r="C230" s="4"/>
      <c r="D230" s="4"/>
      <c r="E230" s="4"/>
      <c r="F230" s="188"/>
      <c r="G230" s="188"/>
      <c r="H230" s="4"/>
      <c r="I230" s="4"/>
      <c r="J230" s="4"/>
      <c r="K230" s="4"/>
      <c r="L230" s="4"/>
      <c r="M230" s="4"/>
      <c r="N230" s="4"/>
      <c r="O230" s="4"/>
      <c r="P230" s="4"/>
      <c r="Q230" s="4"/>
      <c r="R230" s="4"/>
      <c r="S230" s="4"/>
      <c r="T230" s="4"/>
      <c r="U230" s="4"/>
      <c r="V230" s="4"/>
      <c r="W230" s="4"/>
      <c r="X230" s="4"/>
      <c r="Y230" s="4"/>
      <c r="Z230" s="4"/>
    </row>
    <row r="231" ht="14.25" customHeight="1">
      <c r="A231" s="4"/>
      <c r="B231" s="4"/>
      <c r="C231" s="4"/>
      <c r="D231" s="4"/>
      <c r="E231" s="4"/>
      <c r="F231" s="188"/>
      <c r="G231" s="188"/>
      <c r="H231" s="4"/>
      <c r="I231" s="4"/>
      <c r="J231" s="4"/>
      <c r="K231" s="4"/>
      <c r="L231" s="4"/>
      <c r="M231" s="4"/>
      <c r="N231" s="4"/>
      <c r="O231" s="4"/>
      <c r="P231" s="4"/>
      <c r="Q231" s="4"/>
      <c r="R231" s="4"/>
      <c r="S231" s="4"/>
      <c r="T231" s="4"/>
      <c r="U231" s="4"/>
      <c r="V231" s="4"/>
      <c r="W231" s="4"/>
      <c r="X231" s="4"/>
      <c r="Y231" s="4"/>
      <c r="Z231" s="4"/>
    </row>
    <row r="232" ht="14.25" customHeight="1">
      <c r="A232" s="4"/>
      <c r="B232" s="4"/>
      <c r="C232" s="4"/>
      <c r="D232" s="4"/>
      <c r="E232" s="4"/>
      <c r="F232" s="188"/>
      <c r="G232" s="188"/>
      <c r="H232" s="4"/>
      <c r="I232" s="4"/>
      <c r="J232" s="4"/>
      <c r="K232" s="4"/>
      <c r="L232" s="4"/>
      <c r="M232" s="4"/>
      <c r="N232" s="4"/>
      <c r="O232" s="4"/>
      <c r="P232" s="4"/>
      <c r="Q232" s="4"/>
      <c r="R232" s="4"/>
      <c r="S232" s="4"/>
      <c r="T232" s="4"/>
      <c r="U232" s="4"/>
      <c r="V232" s="4"/>
      <c r="W232" s="4"/>
      <c r="X232" s="4"/>
      <c r="Y232" s="4"/>
      <c r="Z232" s="4"/>
    </row>
    <row r="233" ht="14.25" customHeight="1">
      <c r="A233" s="4"/>
      <c r="B233" s="4"/>
      <c r="C233" s="4"/>
      <c r="D233" s="4"/>
      <c r="E233" s="4"/>
      <c r="F233" s="188"/>
      <c r="G233" s="188"/>
      <c r="H233" s="4"/>
      <c r="I233" s="4"/>
      <c r="J233" s="4"/>
      <c r="K233" s="4"/>
      <c r="L233" s="4"/>
      <c r="M233" s="4"/>
      <c r="N233" s="4"/>
      <c r="O233" s="4"/>
      <c r="P233" s="4"/>
      <c r="Q233" s="4"/>
      <c r="R233" s="4"/>
      <c r="S233" s="4"/>
      <c r="T233" s="4"/>
      <c r="U233" s="4"/>
      <c r="V233" s="4"/>
      <c r="W233" s="4"/>
      <c r="X233" s="4"/>
      <c r="Y233" s="4"/>
      <c r="Z233" s="4"/>
    </row>
    <row r="234" ht="14.25" customHeight="1">
      <c r="A234" s="4"/>
      <c r="B234" s="4"/>
      <c r="C234" s="4"/>
      <c r="D234" s="4"/>
      <c r="E234" s="4"/>
      <c r="F234" s="188"/>
      <c r="G234" s="188"/>
      <c r="H234" s="4"/>
      <c r="I234" s="4"/>
      <c r="J234" s="4"/>
      <c r="K234" s="4"/>
      <c r="L234" s="4"/>
      <c r="M234" s="4"/>
      <c r="N234" s="4"/>
      <c r="O234" s="4"/>
      <c r="P234" s="4"/>
      <c r="Q234" s="4"/>
      <c r="R234" s="4"/>
      <c r="S234" s="4"/>
      <c r="T234" s="4"/>
      <c r="U234" s="4"/>
      <c r="V234" s="4"/>
      <c r="W234" s="4"/>
      <c r="X234" s="4"/>
      <c r="Y234" s="4"/>
      <c r="Z234" s="4"/>
    </row>
    <row r="235" ht="14.25" customHeight="1">
      <c r="A235" s="4"/>
      <c r="B235" s="4"/>
      <c r="C235" s="4"/>
      <c r="D235" s="4"/>
      <c r="E235" s="4"/>
      <c r="F235" s="188"/>
      <c r="G235" s="188"/>
      <c r="H235" s="4"/>
      <c r="I235" s="4"/>
      <c r="J235" s="4"/>
      <c r="K235" s="4"/>
      <c r="L235" s="4"/>
      <c r="M235" s="4"/>
      <c r="N235" s="4"/>
      <c r="O235" s="4"/>
      <c r="P235" s="4"/>
      <c r="Q235" s="4"/>
      <c r="R235" s="4"/>
      <c r="S235" s="4"/>
      <c r="T235" s="4"/>
      <c r="U235" s="4"/>
      <c r="V235" s="4"/>
      <c r="W235" s="4"/>
      <c r="X235" s="4"/>
      <c r="Y235" s="4"/>
      <c r="Z235" s="4"/>
    </row>
    <row r="236" ht="14.25" customHeight="1">
      <c r="A236" s="4"/>
      <c r="B236" s="4"/>
      <c r="C236" s="4"/>
      <c r="D236" s="4"/>
      <c r="E236" s="4"/>
      <c r="F236" s="188"/>
      <c r="G236" s="188"/>
      <c r="H236" s="4"/>
      <c r="I236" s="4"/>
      <c r="J236" s="4"/>
      <c r="K236" s="4"/>
      <c r="L236" s="4"/>
      <c r="M236" s="4"/>
      <c r="N236" s="4"/>
      <c r="O236" s="4"/>
      <c r="P236" s="4"/>
      <c r="Q236" s="4"/>
      <c r="R236" s="4"/>
      <c r="S236" s="4"/>
      <c r="T236" s="4"/>
      <c r="U236" s="4"/>
      <c r="V236" s="4"/>
      <c r="W236" s="4"/>
      <c r="X236" s="4"/>
      <c r="Y236" s="4"/>
      <c r="Z236" s="4"/>
    </row>
    <row r="237" ht="14.25" customHeight="1">
      <c r="A237" s="4"/>
      <c r="B237" s="4"/>
      <c r="C237" s="4"/>
      <c r="D237" s="4"/>
      <c r="E237" s="4"/>
      <c r="F237" s="188"/>
      <c r="G237" s="188"/>
      <c r="H237" s="4"/>
      <c r="I237" s="4"/>
      <c r="J237" s="4"/>
      <c r="K237" s="4"/>
      <c r="L237" s="4"/>
      <c r="M237" s="4"/>
      <c r="N237" s="4"/>
      <c r="O237" s="4"/>
      <c r="P237" s="4"/>
      <c r="Q237" s="4"/>
      <c r="R237" s="4"/>
      <c r="S237" s="4"/>
      <c r="T237" s="4"/>
      <c r="U237" s="4"/>
      <c r="V237" s="4"/>
      <c r="W237" s="4"/>
      <c r="X237" s="4"/>
      <c r="Y237" s="4"/>
      <c r="Z237" s="4"/>
    </row>
    <row r="238" ht="14.25" customHeight="1">
      <c r="A238" s="4"/>
      <c r="B238" s="4"/>
      <c r="C238" s="4"/>
      <c r="D238" s="4"/>
      <c r="E238" s="4"/>
      <c r="F238" s="188"/>
      <c r="G238" s="188"/>
      <c r="H238" s="4"/>
      <c r="I238" s="4"/>
      <c r="J238" s="4"/>
      <c r="K238" s="4"/>
      <c r="L238" s="4"/>
      <c r="M238" s="4"/>
      <c r="N238" s="4"/>
      <c r="O238" s="4"/>
      <c r="P238" s="4"/>
      <c r="Q238" s="4"/>
      <c r="R238" s="4"/>
      <c r="S238" s="4"/>
      <c r="T238" s="4"/>
      <c r="U238" s="4"/>
      <c r="V238" s="4"/>
      <c r="W238" s="4"/>
      <c r="X238" s="4"/>
      <c r="Y238" s="4"/>
      <c r="Z238" s="4"/>
    </row>
    <row r="239" ht="14.25" customHeight="1">
      <c r="A239" s="4"/>
      <c r="B239" s="4"/>
      <c r="C239" s="4"/>
      <c r="D239" s="4"/>
      <c r="E239" s="4"/>
      <c r="F239" s="188"/>
      <c r="G239" s="188"/>
      <c r="H239" s="4"/>
      <c r="I239" s="4"/>
      <c r="J239" s="4"/>
      <c r="K239" s="4"/>
      <c r="L239" s="4"/>
      <c r="M239" s="4"/>
      <c r="N239" s="4"/>
      <c r="O239" s="4"/>
      <c r="P239" s="4"/>
      <c r="Q239" s="4"/>
      <c r="R239" s="4"/>
      <c r="S239" s="4"/>
      <c r="T239" s="4"/>
      <c r="U239" s="4"/>
      <c r="V239" s="4"/>
      <c r="W239" s="4"/>
      <c r="X239" s="4"/>
      <c r="Y239" s="4"/>
      <c r="Z239" s="4"/>
    </row>
    <row r="240" ht="14.25" customHeight="1">
      <c r="A240" s="4"/>
      <c r="B240" s="4"/>
      <c r="C240" s="4"/>
      <c r="D240" s="4"/>
      <c r="E240" s="4"/>
      <c r="F240" s="188"/>
      <c r="G240" s="188"/>
      <c r="H240" s="4"/>
      <c r="I240" s="4"/>
      <c r="J240" s="4"/>
      <c r="K240" s="4"/>
      <c r="L240" s="4"/>
      <c r="M240" s="4"/>
      <c r="N240" s="4"/>
      <c r="O240" s="4"/>
      <c r="P240" s="4"/>
      <c r="Q240" s="4"/>
      <c r="R240" s="4"/>
      <c r="S240" s="4"/>
      <c r="T240" s="4"/>
      <c r="U240" s="4"/>
      <c r="V240" s="4"/>
      <c r="W240" s="4"/>
      <c r="X240" s="4"/>
      <c r="Y240" s="4"/>
      <c r="Z240" s="4"/>
    </row>
    <row r="241" ht="14.25" customHeight="1">
      <c r="A241" s="4"/>
      <c r="B241" s="4"/>
      <c r="C241" s="4"/>
      <c r="D241" s="4"/>
      <c r="E241" s="4"/>
      <c r="F241" s="188"/>
      <c r="G241" s="188"/>
      <c r="H241" s="4"/>
      <c r="I241" s="4"/>
      <c r="J241" s="4"/>
      <c r="K241" s="4"/>
      <c r="L241" s="4"/>
      <c r="M241" s="4"/>
      <c r="N241" s="4"/>
      <c r="O241" s="4"/>
      <c r="P241" s="4"/>
      <c r="Q241" s="4"/>
      <c r="R241" s="4"/>
      <c r="S241" s="4"/>
      <c r="T241" s="4"/>
      <c r="U241" s="4"/>
      <c r="V241" s="4"/>
      <c r="W241" s="4"/>
      <c r="X241" s="4"/>
      <c r="Y241" s="4"/>
      <c r="Z241" s="4"/>
    </row>
    <row r="242" ht="14.25" customHeight="1">
      <c r="A242" s="4"/>
      <c r="B242" s="4"/>
      <c r="C242" s="4"/>
      <c r="D242" s="4"/>
      <c r="E242" s="4"/>
      <c r="F242" s="188"/>
      <c r="G242" s="188"/>
      <c r="H242" s="4"/>
      <c r="I242" s="4"/>
      <c r="J242" s="4"/>
      <c r="K242" s="4"/>
      <c r="L242" s="4"/>
      <c r="M242" s="4"/>
      <c r="N242" s="4"/>
      <c r="O242" s="4"/>
      <c r="P242" s="4"/>
      <c r="Q242" s="4"/>
      <c r="R242" s="4"/>
      <c r="S242" s="4"/>
      <c r="T242" s="4"/>
      <c r="U242" s="4"/>
      <c r="V242" s="4"/>
      <c r="W242" s="4"/>
      <c r="X242" s="4"/>
      <c r="Y242" s="4"/>
      <c r="Z242" s="4"/>
    </row>
    <row r="243" ht="14.25" customHeight="1">
      <c r="A243" s="4"/>
      <c r="B243" s="4"/>
      <c r="C243" s="4"/>
      <c r="D243" s="4"/>
      <c r="E243" s="4"/>
      <c r="F243" s="188"/>
      <c r="G243" s="188"/>
      <c r="H243" s="4"/>
      <c r="I243" s="4"/>
      <c r="J243" s="4"/>
      <c r="K243" s="4"/>
      <c r="L243" s="4"/>
      <c r="M243" s="4"/>
      <c r="N243" s="4"/>
      <c r="O243" s="4"/>
      <c r="P243" s="4"/>
      <c r="Q243" s="4"/>
      <c r="R243" s="4"/>
      <c r="S243" s="4"/>
      <c r="T243" s="4"/>
      <c r="U243" s="4"/>
      <c r="V243" s="4"/>
      <c r="W243" s="4"/>
      <c r="X243" s="4"/>
      <c r="Y243" s="4"/>
      <c r="Z243" s="4"/>
    </row>
    <row r="244" ht="14.25" customHeight="1">
      <c r="A244" s="4"/>
      <c r="B244" s="4"/>
      <c r="C244" s="4"/>
      <c r="D244" s="4"/>
      <c r="E244" s="4"/>
      <c r="F244" s="188"/>
      <c r="G244" s="188"/>
      <c r="H244" s="4"/>
      <c r="I244" s="4"/>
      <c r="J244" s="4"/>
      <c r="K244" s="4"/>
      <c r="L244" s="4"/>
      <c r="M244" s="4"/>
      <c r="N244" s="4"/>
      <c r="O244" s="4"/>
      <c r="P244" s="4"/>
      <c r="Q244" s="4"/>
      <c r="R244" s="4"/>
      <c r="S244" s="4"/>
      <c r="T244" s="4"/>
      <c r="U244" s="4"/>
      <c r="V244" s="4"/>
      <c r="W244" s="4"/>
      <c r="X244" s="4"/>
      <c r="Y244" s="4"/>
      <c r="Z244" s="4"/>
    </row>
    <row r="245" ht="14.25" customHeight="1">
      <c r="A245" s="4"/>
      <c r="B245" s="4"/>
      <c r="C245" s="4"/>
      <c r="D245" s="4"/>
      <c r="E245" s="4"/>
      <c r="F245" s="188"/>
      <c r="G245" s="188"/>
      <c r="H245" s="4"/>
      <c r="I245" s="4"/>
      <c r="J245" s="4"/>
      <c r="K245" s="4"/>
      <c r="L245" s="4"/>
      <c r="M245" s="4"/>
      <c r="N245" s="4"/>
      <c r="O245" s="4"/>
      <c r="P245" s="4"/>
      <c r="Q245" s="4"/>
      <c r="R245" s="4"/>
      <c r="S245" s="4"/>
      <c r="T245" s="4"/>
      <c r="U245" s="4"/>
      <c r="V245" s="4"/>
      <c r="W245" s="4"/>
      <c r="X245" s="4"/>
      <c r="Y245" s="4"/>
      <c r="Z245" s="4"/>
    </row>
    <row r="246" ht="14.25" customHeight="1">
      <c r="A246" s="4"/>
      <c r="B246" s="4"/>
      <c r="C246" s="4"/>
      <c r="D246" s="4"/>
      <c r="E246" s="4"/>
      <c r="F246" s="188"/>
      <c r="G246" s="188"/>
      <c r="H246" s="4"/>
      <c r="I246" s="4"/>
      <c r="J246" s="4"/>
      <c r="K246" s="4"/>
      <c r="L246" s="4"/>
      <c r="M246" s="4"/>
      <c r="N246" s="4"/>
      <c r="O246" s="4"/>
      <c r="P246" s="4"/>
      <c r="Q246" s="4"/>
      <c r="R246" s="4"/>
      <c r="S246" s="4"/>
      <c r="T246" s="4"/>
      <c r="U246" s="4"/>
      <c r="V246" s="4"/>
      <c r="W246" s="4"/>
      <c r="X246" s="4"/>
      <c r="Y246" s="4"/>
      <c r="Z246" s="4"/>
    </row>
    <row r="247" ht="14.25" customHeight="1">
      <c r="A247" s="4"/>
      <c r="B247" s="4"/>
      <c r="C247" s="4"/>
      <c r="D247" s="4"/>
      <c r="E247" s="4"/>
      <c r="F247" s="188"/>
      <c r="G247" s="188"/>
      <c r="H247" s="4"/>
      <c r="I247" s="4"/>
      <c r="J247" s="4"/>
      <c r="K247" s="4"/>
      <c r="L247" s="4"/>
      <c r="M247" s="4"/>
      <c r="N247" s="4"/>
      <c r="O247" s="4"/>
      <c r="P247" s="4"/>
      <c r="Q247" s="4"/>
      <c r="R247" s="4"/>
      <c r="S247" s="4"/>
      <c r="T247" s="4"/>
      <c r="U247" s="4"/>
      <c r="V247" s="4"/>
      <c r="W247" s="4"/>
      <c r="X247" s="4"/>
      <c r="Y247" s="4"/>
      <c r="Z247" s="4"/>
    </row>
    <row r="248" ht="14.25" customHeight="1">
      <c r="A248" s="4"/>
      <c r="B248" s="4"/>
      <c r="C248" s="4"/>
      <c r="D248" s="4"/>
      <c r="E248" s="4"/>
      <c r="F248" s="188"/>
      <c r="G248" s="188"/>
      <c r="H248" s="4"/>
      <c r="I248" s="4"/>
      <c r="J248" s="4"/>
      <c r="K248" s="4"/>
      <c r="L248" s="4"/>
      <c r="M248" s="4"/>
      <c r="N248" s="4"/>
      <c r="O248" s="4"/>
      <c r="P248" s="4"/>
      <c r="Q248" s="4"/>
      <c r="R248" s="4"/>
      <c r="S248" s="4"/>
      <c r="T248" s="4"/>
      <c r="U248" s="4"/>
      <c r="V248" s="4"/>
      <c r="W248" s="4"/>
      <c r="X248" s="4"/>
      <c r="Y248" s="4"/>
      <c r="Z248" s="4"/>
    </row>
    <row r="249" ht="14.25" customHeight="1">
      <c r="A249" s="4"/>
      <c r="B249" s="4"/>
      <c r="C249" s="4"/>
      <c r="D249" s="4"/>
      <c r="E249" s="4"/>
      <c r="F249" s="188"/>
      <c r="G249" s="188"/>
      <c r="H249" s="4"/>
      <c r="I249" s="4"/>
      <c r="J249" s="4"/>
      <c r="K249" s="4"/>
      <c r="L249" s="4"/>
      <c r="M249" s="4"/>
      <c r="N249" s="4"/>
      <c r="O249" s="4"/>
      <c r="P249" s="4"/>
      <c r="Q249" s="4"/>
      <c r="R249" s="4"/>
      <c r="S249" s="4"/>
      <c r="T249" s="4"/>
      <c r="U249" s="4"/>
      <c r="V249" s="4"/>
      <c r="W249" s="4"/>
      <c r="X249" s="4"/>
      <c r="Y249" s="4"/>
      <c r="Z249" s="4"/>
    </row>
    <row r="250" ht="14.25" customHeight="1">
      <c r="A250" s="4"/>
      <c r="B250" s="4"/>
      <c r="C250" s="4"/>
      <c r="D250" s="4"/>
      <c r="E250" s="4"/>
      <c r="F250" s="188"/>
      <c r="G250" s="188"/>
      <c r="H250" s="4"/>
      <c r="I250" s="4"/>
      <c r="J250" s="4"/>
      <c r="K250" s="4"/>
      <c r="L250" s="4"/>
      <c r="M250" s="4"/>
      <c r="N250" s="4"/>
      <c r="O250" s="4"/>
      <c r="P250" s="4"/>
      <c r="Q250" s="4"/>
      <c r="R250" s="4"/>
      <c r="S250" s="4"/>
      <c r="T250" s="4"/>
      <c r="U250" s="4"/>
      <c r="V250" s="4"/>
      <c r="W250" s="4"/>
      <c r="X250" s="4"/>
      <c r="Y250" s="4"/>
      <c r="Z250" s="4"/>
    </row>
    <row r="251" ht="14.25" customHeight="1">
      <c r="A251" s="4"/>
      <c r="B251" s="4"/>
      <c r="C251" s="4"/>
      <c r="D251" s="4"/>
      <c r="E251" s="4"/>
      <c r="F251" s="188"/>
      <c r="G251" s="188"/>
      <c r="H251" s="4"/>
      <c r="I251" s="4"/>
      <c r="J251" s="4"/>
      <c r="K251" s="4"/>
      <c r="L251" s="4"/>
      <c r="M251" s="4"/>
      <c r="N251" s="4"/>
      <c r="O251" s="4"/>
      <c r="P251" s="4"/>
      <c r="Q251" s="4"/>
      <c r="R251" s="4"/>
      <c r="S251" s="4"/>
      <c r="T251" s="4"/>
      <c r="U251" s="4"/>
      <c r="V251" s="4"/>
      <c r="W251" s="4"/>
      <c r="X251" s="4"/>
      <c r="Y251" s="4"/>
      <c r="Z251" s="4"/>
    </row>
    <row r="252" ht="14.25" customHeight="1">
      <c r="A252" s="4"/>
      <c r="B252" s="4"/>
      <c r="C252" s="4"/>
      <c r="D252" s="4"/>
      <c r="E252" s="4"/>
      <c r="F252" s="188"/>
      <c r="G252" s="188"/>
      <c r="H252" s="4"/>
      <c r="I252" s="4"/>
      <c r="J252" s="4"/>
      <c r="K252" s="4"/>
      <c r="L252" s="4"/>
      <c r="M252" s="4"/>
      <c r="N252" s="4"/>
      <c r="O252" s="4"/>
      <c r="P252" s="4"/>
      <c r="Q252" s="4"/>
      <c r="R252" s="4"/>
      <c r="S252" s="4"/>
      <c r="T252" s="4"/>
      <c r="U252" s="4"/>
      <c r="V252" s="4"/>
      <c r="W252" s="4"/>
      <c r="X252" s="4"/>
      <c r="Y252" s="4"/>
      <c r="Z252" s="4"/>
    </row>
    <row r="253" ht="14.25" customHeight="1">
      <c r="A253" s="4"/>
      <c r="B253" s="4"/>
      <c r="C253" s="4"/>
      <c r="D253" s="4"/>
      <c r="E253" s="4"/>
      <c r="F253" s="188"/>
      <c r="G253" s="188"/>
      <c r="H253" s="4"/>
      <c r="I253" s="4"/>
      <c r="J253" s="4"/>
      <c r="K253" s="4"/>
      <c r="L253" s="4"/>
      <c r="M253" s="4"/>
      <c r="N253" s="4"/>
      <c r="O253" s="4"/>
      <c r="P253" s="4"/>
      <c r="Q253" s="4"/>
      <c r="R253" s="4"/>
      <c r="S253" s="4"/>
      <c r="T253" s="4"/>
      <c r="U253" s="4"/>
      <c r="V253" s="4"/>
      <c r="W253" s="4"/>
      <c r="X253" s="4"/>
      <c r="Y253" s="4"/>
      <c r="Z253" s="4"/>
    </row>
    <row r="254" ht="14.25" customHeight="1">
      <c r="A254" s="4"/>
      <c r="B254" s="4"/>
      <c r="C254" s="4"/>
      <c r="D254" s="4"/>
      <c r="E254" s="4"/>
      <c r="F254" s="188"/>
      <c r="G254" s="188"/>
      <c r="H254" s="4"/>
      <c r="I254" s="4"/>
      <c r="J254" s="4"/>
      <c r="K254" s="4"/>
      <c r="L254" s="4"/>
      <c r="M254" s="4"/>
      <c r="N254" s="4"/>
      <c r="O254" s="4"/>
      <c r="P254" s="4"/>
      <c r="Q254" s="4"/>
      <c r="R254" s="4"/>
      <c r="S254" s="4"/>
      <c r="T254" s="4"/>
      <c r="U254" s="4"/>
      <c r="V254" s="4"/>
      <c r="W254" s="4"/>
      <c r="X254" s="4"/>
      <c r="Y254" s="4"/>
      <c r="Z254" s="4"/>
    </row>
    <row r="255" ht="14.25" customHeight="1">
      <c r="A255" s="4"/>
      <c r="B255" s="4"/>
      <c r="C255" s="4"/>
      <c r="D255" s="4"/>
      <c r="E255" s="4"/>
      <c r="F255" s="188"/>
      <c r="G255" s="188"/>
      <c r="H255" s="4"/>
      <c r="I255" s="4"/>
      <c r="J255" s="4"/>
      <c r="K255" s="4"/>
      <c r="L255" s="4"/>
      <c r="M255" s="4"/>
      <c r="N255" s="4"/>
      <c r="O255" s="4"/>
      <c r="P255" s="4"/>
      <c r="Q255" s="4"/>
      <c r="R255" s="4"/>
      <c r="S255" s="4"/>
      <c r="T255" s="4"/>
      <c r="U255" s="4"/>
      <c r="V255" s="4"/>
      <c r="W255" s="4"/>
      <c r="X255" s="4"/>
      <c r="Y255" s="4"/>
      <c r="Z255" s="4"/>
    </row>
    <row r="256" ht="14.25" customHeight="1">
      <c r="A256" s="4"/>
      <c r="B256" s="4"/>
      <c r="C256" s="4"/>
      <c r="D256" s="4"/>
      <c r="E256" s="4"/>
      <c r="F256" s="188"/>
      <c r="G256" s="188"/>
      <c r="H256" s="4"/>
      <c r="I256" s="4"/>
      <c r="J256" s="4"/>
      <c r="K256" s="4"/>
      <c r="L256" s="4"/>
      <c r="M256" s="4"/>
      <c r="N256" s="4"/>
      <c r="O256" s="4"/>
      <c r="P256" s="4"/>
      <c r="Q256" s="4"/>
      <c r="R256" s="4"/>
      <c r="S256" s="4"/>
      <c r="T256" s="4"/>
      <c r="U256" s="4"/>
      <c r="V256" s="4"/>
      <c r="W256" s="4"/>
      <c r="X256" s="4"/>
      <c r="Y256" s="4"/>
      <c r="Z256" s="4"/>
    </row>
    <row r="257" ht="14.25" customHeight="1">
      <c r="A257" s="4"/>
      <c r="B257" s="4"/>
      <c r="C257" s="4"/>
      <c r="D257" s="4"/>
      <c r="E257" s="4"/>
      <c r="F257" s="188"/>
      <c r="G257" s="188"/>
      <c r="H257" s="4"/>
      <c r="I257" s="4"/>
      <c r="J257" s="4"/>
      <c r="K257" s="4"/>
      <c r="L257" s="4"/>
      <c r="M257" s="4"/>
      <c r="N257" s="4"/>
      <c r="O257" s="4"/>
      <c r="P257" s="4"/>
      <c r="Q257" s="4"/>
      <c r="R257" s="4"/>
      <c r="S257" s="4"/>
      <c r="T257" s="4"/>
      <c r="U257" s="4"/>
      <c r="V257" s="4"/>
      <c r="W257" s="4"/>
      <c r="X257" s="4"/>
      <c r="Y257" s="4"/>
      <c r="Z257" s="4"/>
    </row>
    <row r="258" ht="14.25" customHeight="1">
      <c r="A258" s="4"/>
      <c r="B258" s="4"/>
      <c r="C258" s="4"/>
      <c r="D258" s="4"/>
      <c r="E258" s="4"/>
      <c r="F258" s="188"/>
      <c r="G258" s="188"/>
      <c r="H258" s="4"/>
      <c r="I258" s="4"/>
      <c r="J258" s="4"/>
      <c r="K258" s="4"/>
      <c r="L258" s="4"/>
      <c r="M258" s="4"/>
      <c r="N258" s="4"/>
      <c r="O258" s="4"/>
      <c r="P258" s="4"/>
      <c r="Q258" s="4"/>
      <c r="R258" s="4"/>
      <c r="S258" s="4"/>
      <c r="T258" s="4"/>
      <c r="U258" s="4"/>
      <c r="V258" s="4"/>
      <c r="W258" s="4"/>
      <c r="X258" s="4"/>
      <c r="Y258" s="4"/>
      <c r="Z258" s="4"/>
    </row>
    <row r="259" ht="14.25" customHeight="1">
      <c r="A259" s="4"/>
      <c r="B259" s="4"/>
      <c r="C259" s="4"/>
      <c r="D259" s="4"/>
      <c r="E259" s="4"/>
      <c r="F259" s="188"/>
      <c r="G259" s="188"/>
      <c r="H259" s="4"/>
      <c r="I259" s="4"/>
      <c r="J259" s="4"/>
      <c r="K259" s="4"/>
      <c r="L259" s="4"/>
      <c r="M259" s="4"/>
      <c r="N259" s="4"/>
      <c r="O259" s="4"/>
      <c r="P259" s="4"/>
      <c r="Q259" s="4"/>
      <c r="R259" s="4"/>
      <c r="S259" s="4"/>
      <c r="T259" s="4"/>
      <c r="U259" s="4"/>
      <c r="V259" s="4"/>
      <c r="W259" s="4"/>
      <c r="X259" s="4"/>
      <c r="Y259" s="4"/>
      <c r="Z259" s="4"/>
    </row>
    <row r="260" ht="14.25" customHeight="1">
      <c r="A260" s="4"/>
      <c r="B260" s="4"/>
      <c r="C260" s="4"/>
      <c r="D260" s="4"/>
      <c r="E260" s="4"/>
      <c r="F260" s="188"/>
      <c r="G260" s="188"/>
      <c r="H260" s="4"/>
      <c r="I260" s="4"/>
      <c r="J260" s="4"/>
      <c r="K260" s="4"/>
      <c r="L260" s="4"/>
      <c r="M260" s="4"/>
      <c r="N260" s="4"/>
      <c r="O260" s="4"/>
      <c r="P260" s="4"/>
      <c r="Q260" s="4"/>
      <c r="R260" s="4"/>
      <c r="S260" s="4"/>
      <c r="T260" s="4"/>
      <c r="U260" s="4"/>
      <c r="V260" s="4"/>
      <c r="W260" s="4"/>
      <c r="X260" s="4"/>
      <c r="Y260" s="4"/>
      <c r="Z260" s="4"/>
    </row>
    <row r="261" ht="14.25" customHeight="1">
      <c r="A261" s="4"/>
      <c r="B261" s="4"/>
      <c r="C261" s="4"/>
      <c r="D261" s="4"/>
      <c r="E261" s="4"/>
      <c r="F261" s="188"/>
      <c r="G261" s="188"/>
      <c r="H261" s="4"/>
      <c r="I261" s="4"/>
      <c r="J261" s="4"/>
      <c r="K261" s="4"/>
      <c r="L261" s="4"/>
      <c r="M261" s="4"/>
      <c r="N261" s="4"/>
      <c r="O261" s="4"/>
      <c r="P261" s="4"/>
      <c r="Q261" s="4"/>
      <c r="R261" s="4"/>
      <c r="S261" s="4"/>
      <c r="T261" s="4"/>
      <c r="U261" s="4"/>
      <c r="V261" s="4"/>
      <c r="W261" s="4"/>
      <c r="X261" s="4"/>
      <c r="Y261" s="4"/>
      <c r="Z261" s="4"/>
    </row>
    <row r="262" ht="14.25" customHeight="1">
      <c r="A262" s="4"/>
      <c r="B262" s="4"/>
      <c r="C262" s="4"/>
      <c r="D262" s="4"/>
      <c r="E262" s="4"/>
      <c r="F262" s="188"/>
      <c r="G262" s="188"/>
      <c r="H262" s="4"/>
      <c r="I262" s="4"/>
      <c r="J262" s="4"/>
      <c r="K262" s="4"/>
      <c r="L262" s="4"/>
      <c r="M262" s="4"/>
      <c r="N262" s="4"/>
      <c r="O262" s="4"/>
      <c r="P262" s="4"/>
      <c r="Q262" s="4"/>
      <c r="R262" s="4"/>
      <c r="S262" s="4"/>
      <c r="T262" s="4"/>
      <c r="U262" s="4"/>
      <c r="V262" s="4"/>
      <c r="W262" s="4"/>
      <c r="X262" s="4"/>
      <c r="Y262" s="4"/>
      <c r="Z262" s="4"/>
    </row>
    <row r="263" ht="14.25" customHeight="1">
      <c r="A263" s="4"/>
      <c r="B263" s="4"/>
      <c r="C263" s="4"/>
      <c r="D263" s="4"/>
      <c r="E263" s="4"/>
      <c r="F263" s="188"/>
      <c r="G263" s="188"/>
      <c r="H263" s="4"/>
      <c r="I263" s="4"/>
      <c r="J263" s="4"/>
      <c r="K263" s="4"/>
      <c r="L263" s="4"/>
      <c r="M263" s="4"/>
      <c r="N263" s="4"/>
      <c r="O263" s="4"/>
      <c r="P263" s="4"/>
      <c r="Q263" s="4"/>
      <c r="R263" s="4"/>
      <c r="S263" s="4"/>
      <c r="T263" s="4"/>
      <c r="U263" s="4"/>
      <c r="V263" s="4"/>
      <c r="W263" s="4"/>
      <c r="X263" s="4"/>
      <c r="Y263" s="4"/>
      <c r="Z263" s="4"/>
    </row>
    <row r="264" ht="14.25" customHeight="1">
      <c r="A264" s="4"/>
      <c r="B264" s="4"/>
      <c r="C264" s="4"/>
      <c r="D264" s="4"/>
      <c r="E264" s="4"/>
      <c r="F264" s="188"/>
      <c r="G264" s="188"/>
      <c r="H264" s="4"/>
      <c r="I264" s="4"/>
      <c r="J264" s="4"/>
      <c r="K264" s="4"/>
      <c r="L264" s="4"/>
      <c r="M264" s="4"/>
      <c r="N264" s="4"/>
      <c r="O264" s="4"/>
      <c r="P264" s="4"/>
      <c r="Q264" s="4"/>
      <c r="R264" s="4"/>
      <c r="S264" s="4"/>
      <c r="T264" s="4"/>
      <c r="U264" s="4"/>
      <c r="V264" s="4"/>
      <c r="W264" s="4"/>
      <c r="X264" s="4"/>
      <c r="Y264" s="4"/>
      <c r="Z264" s="4"/>
    </row>
    <row r="265" ht="14.25" customHeight="1">
      <c r="A265" s="4"/>
      <c r="B265" s="4"/>
      <c r="C265" s="4"/>
      <c r="D265" s="4"/>
      <c r="E265" s="4"/>
      <c r="F265" s="188"/>
      <c r="G265" s="188"/>
      <c r="H265" s="4"/>
      <c r="I265" s="4"/>
      <c r="J265" s="4"/>
      <c r="K265" s="4"/>
      <c r="L265" s="4"/>
      <c r="M265" s="4"/>
      <c r="N265" s="4"/>
      <c r="O265" s="4"/>
      <c r="P265" s="4"/>
      <c r="Q265" s="4"/>
      <c r="R265" s="4"/>
      <c r="S265" s="4"/>
      <c r="T265" s="4"/>
      <c r="U265" s="4"/>
      <c r="V265" s="4"/>
      <c r="W265" s="4"/>
      <c r="X265" s="4"/>
      <c r="Y265" s="4"/>
      <c r="Z265" s="4"/>
    </row>
    <row r="266" ht="14.25" customHeight="1">
      <c r="A266" s="4"/>
      <c r="B266" s="4"/>
      <c r="C266" s="4"/>
      <c r="D266" s="4"/>
      <c r="E266" s="4"/>
      <c r="F266" s="188"/>
      <c r="G266" s="188"/>
      <c r="H266" s="4"/>
      <c r="I266" s="4"/>
      <c r="J266" s="4"/>
      <c r="K266" s="4"/>
      <c r="L266" s="4"/>
      <c r="M266" s="4"/>
      <c r="N266" s="4"/>
      <c r="O266" s="4"/>
      <c r="P266" s="4"/>
      <c r="Q266" s="4"/>
      <c r="R266" s="4"/>
      <c r="S266" s="4"/>
      <c r="T266" s="4"/>
      <c r="U266" s="4"/>
      <c r="V266" s="4"/>
      <c r="W266" s="4"/>
      <c r="X266" s="4"/>
      <c r="Y266" s="4"/>
      <c r="Z266" s="4"/>
    </row>
    <row r="267" ht="14.25" customHeight="1">
      <c r="A267" s="4"/>
      <c r="B267" s="4"/>
      <c r="C267" s="4"/>
      <c r="D267" s="4"/>
      <c r="E267" s="4"/>
      <c r="F267" s="188"/>
      <c r="G267" s="188"/>
      <c r="H267" s="4"/>
      <c r="I267" s="4"/>
      <c r="J267" s="4"/>
      <c r="K267" s="4"/>
      <c r="L267" s="4"/>
      <c r="M267" s="4"/>
      <c r="N267" s="4"/>
      <c r="O267" s="4"/>
      <c r="P267" s="4"/>
      <c r="Q267" s="4"/>
      <c r="R267" s="4"/>
      <c r="S267" s="4"/>
      <c r="T267" s="4"/>
      <c r="U267" s="4"/>
      <c r="V267" s="4"/>
      <c r="W267" s="4"/>
      <c r="X267" s="4"/>
      <c r="Y267" s="4"/>
      <c r="Z267" s="4"/>
    </row>
    <row r="268" ht="14.25" customHeight="1">
      <c r="A268" s="4"/>
      <c r="B268" s="4"/>
      <c r="C268" s="4"/>
      <c r="D268" s="4"/>
      <c r="E268" s="4"/>
      <c r="F268" s="188"/>
      <c r="G268" s="188"/>
      <c r="H268" s="4"/>
      <c r="I268" s="4"/>
      <c r="J268" s="4"/>
      <c r="K268" s="4"/>
      <c r="L268" s="4"/>
      <c r="M268" s="4"/>
      <c r="N268" s="4"/>
      <c r="O268" s="4"/>
      <c r="P268" s="4"/>
      <c r="Q268" s="4"/>
      <c r="R268" s="4"/>
      <c r="S268" s="4"/>
      <c r="T268" s="4"/>
      <c r="U268" s="4"/>
      <c r="V268" s="4"/>
      <c r="W268" s="4"/>
      <c r="X268" s="4"/>
      <c r="Y268" s="4"/>
      <c r="Z268" s="4"/>
    </row>
    <row r="269" ht="14.25" customHeight="1">
      <c r="A269" s="4"/>
      <c r="B269" s="4"/>
      <c r="C269" s="4"/>
      <c r="D269" s="4"/>
      <c r="E269" s="4"/>
      <c r="F269" s="188"/>
      <c r="G269" s="188"/>
      <c r="H269" s="4"/>
      <c r="I269" s="4"/>
      <c r="J269" s="4"/>
      <c r="K269" s="4"/>
      <c r="L269" s="4"/>
      <c r="M269" s="4"/>
      <c r="N269" s="4"/>
      <c r="O269" s="4"/>
      <c r="P269" s="4"/>
      <c r="Q269" s="4"/>
      <c r="R269" s="4"/>
      <c r="S269" s="4"/>
      <c r="T269" s="4"/>
      <c r="U269" s="4"/>
      <c r="V269" s="4"/>
      <c r="W269" s="4"/>
      <c r="X269" s="4"/>
      <c r="Y269" s="4"/>
      <c r="Z269" s="4"/>
    </row>
    <row r="270" ht="14.25" customHeight="1">
      <c r="A270" s="4"/>
      <c r="B270" s="4"/>
      <c r="C270" s="4"/>
      <c r="D270" s="4"/>
      <c r="E270" s="4"/>
      <c r="F270" s="188"/>
      <c r="G270" s="188"/>
      <c r="H270" s="4"/>
      <c r="I270" s="4"/>
      <c r="J270" s="4"/>
      <c r="K270" s="4"/>
      <c r="L270" s="4"/>
      <c r="M270" s="4"/>
      <c r="N270" s="4"/>
      <c r="O270" s="4"/>
      <c r="P270" s="4"/>
      <c r="Q270" s="4"/>
      <c r="R270" s="4"/>
      <c r="S270" s="4"/>
      <c r="T270" s="4"/>
      <c r="U270" s="4"/>
      <c r="V270" s="4"/>
      <c r="W270" s="4"/>
      <c r="X270" s="4"/>
      <c r="Y270" s="4"/>
      <c r="Z270" s="4"/>
    </row>
    <row r="271" ht="14.25" customHeight="1">
      <c r="A271" s="4"/>
      <c r="B271" s="4"/>
      <c r="C271" s="4"/>
      <c r="D271" s="4"/>
      <c r="E271" s="4"/>
      <c r="F271" s="188"/>
      <c r="G271" s="188"/>
      <c r="H271" s="4"/>
      <c r="I271" s="4"/>
      <c r="J271" s="4"/>
      <c r="K271" s="4"/>
      <c r="L271" s="4"/>
      <c r="M271" s="4"/>
      <c r="N271" s="4"/>
      <c r="O271" s="4"/>
      <c r="P271" s="4"/>
      <c r="Q271" s="4"/>
      <c r="R271" s="4"/>
      <c r="S271" s="4"/>
      <c r="T271" s="4"/>
      <c r="U271" s="4"/>
      <c r="V271" s="4"/>
      <c r="W271" s="4"/>
      <c r="X271" s="4"/>
      <c r="Y271" s="4"/>
      <c r="Z271" s="4"/>
    </row>
    <row r="272" ht="14.25" customHeight="1">
      <c r="A272" s="4"/>
      <c r="B272" s="4"/>
      <c r="C272" s="4"/>
      <c r="D272" s="4"/>
      <c r="E272" s="4"/>
      <c r="F272" s="188"/>
      <c r="G272" s="188"/>
      <c r="H272" s="4"/>
      <c r="I272" s="4"/>
      <c r="J272" s="4"/>
      <c r="K272" s="4"/>
      <c r="L272" s="4"/>
      <c r="M272" s="4"/>
      <c r="N272" s="4"/>
      <c r="O272" s="4"/>
      <c r="P272" s="4"/>
      <c r="Q272" s="4"/>
      <c r="R272" s="4"/>
      <c r="S272" s="4"/>
      <c r="T272" s="4"/>
      <c r="U272" s="4"/>
      <c r="V272" s="4"/>
      <c r="W272" s="4"/>
      <c r="X272" s="4"/>
      <c r="Y272" s="4"/>
      <c r="Z272" s="4"/>
    </row>
    <row r="273" ht="14.25" customHeight="1">
      <c r="A273" s="4"/>
      <c r="B273" s="4"/>
      <c r="C273" s="4"/>
      <c r="D273" s="4"/>
      <c r="E273" s="4"/>
      <c r="F273" s="188"/>
      <c r="G273" s="188"/>
      <c r="H273" s="4"/>
      <c r="I273" s="4"/>
      <c r="J273" s="4"/>
      <c r="K273" s="4"/>
      <c r="L273" s="4"/>
      <c r="M273" s="4"/>
      <c r="N273" s="4"/>
      <c r="O273" s="4"/>
      <c r="P273" s="4"/>
      <c r="Q273" s="4"/>
      <c r="R273" s="4"/>
      <c r="S273" s="4"/>
      <c r="T273" s="4"/>
      <c r="U273" s="4"/>
      <c r="V273" s="4"/>
      <c r="W273" s="4"/>
      <c r="X273" s="4"/>
      <c r="Y273" s="4"/>
      <c r="Z273" s="4"/>
    </row>
    <row r="274" ht="14.25" customHeight="1">
      <c r="A274" s="4"/>
      <c r="B274" s="4"/>
      <c r="C274" s="4"/>
      <c r="D274" s="4"/>
      <c r="E274" s="4"/>
      <c r="F274" s="188"/>
      <c r="G274" s="188"/>
      <c r="H274" s="4"/>
      <c r="I274" s="4"/>
      <c r="J274" s="4"/>
      <c r="K274" s="4"/>
      <c r="L274" s="4"/>
      <c r="M274" s="4"/>
      <c r="N274" s="4"/>
      <c r="O274" s="4"/>
      <c r="P274" s="4"/>
      <c r="Q274" s="4"/>
      <c r="R274" s="4"/>
      <c r="S274" s="4"/>
      <c r="T274" s="4"/>
      <c r="U274" s="4"/>
      <c r="V274" s="4"/>
      <c r="W274" s="4"/>
      <c r="X274" s="4"/>
      <c r="Y274" s="4"/>
      <c r="Z274" s="4"/>
    </row>
    <row r="275" ht="14.25" customHeight="1">
      <c r="A275" s="4"/>
      <c r="B275" s="4"/>
      <c r="C275" s="4"/>
      <c r="D275" s="4"/>
      <c r="E275" s="4"/>
      <c r="F275" s="188"/>
      <c r="G275" s="188"/>
      <c r="H275" s="4"/>
      <c r="I275" s="4"/>
      <c r="J275" s="4"/>
      <c r="K275" s="4"/>
      <c r="L275" s="4"/>
      <c r="M275" s="4"/>
      <c r="N275" s="4"/>
      <c r="O275" s="4"/>
      <c r="P275" s="4"/>
      <c r="Q275" s="4"/>
      <c r="R275" s="4"/>
      <c r="S275" s="4"/>
      <c r="T275" s="4"/>
      <c r="U275" s="4"/>
      <c r="V275" s="4"/>
      <c r="W275" s="4"/>
      <c r="X275" s="4"/>
      <c r="Y275" s="4"/>
      <c r="Z275" s="4"/>
    </row>
    <row r="276" ht="14.25" customHeight="1">
      <c r="A276" s="4"/>
      <c r="B276" s="4"/>
      <c r="C276" s="4"/>
      <c r="D276" s="4"/>
      <c r="E276" s="4"/>
      <c r="F276" s="188"/>
      <c r="G276" s="188"/>
      <c r="H276" s="4"/>
      <c r="I276" s="4"/>
      <c r="J276" s="4"/>
      <c r="K276" s="4"/>
      <c r="L276" s="4"/>
      <c r="M276" s="4"/>
      <c r="N276" s="4"/>
      <c r="O276" s="4"/>
      <c r="P276" s="4"/>
      <c r="Q276" s="4"/>
      <c r="R276" s="4"/>
      <c r="S276" s="4"/>
      <c r="T276" s="4"/>
      <c r="U276" s="4"/>
      <c r="V276" s="4"/>
      <c r="W276" s="4"/>
      <c r="X276" s="4"/>
      <c r="Y276" s="4"/>
      <c r="Z276" s="4"/>
    </row>
    <row r="277" ht="14.25" customHeight="1">
      <c r="A277" s="4"/>
      <c r="B277" s="4"/>
      <c r="C277" s="4"/>
      <c r="D277" s="4"/>
      <c r="E277" s="4"/>
      <c r="F277" s="188"/>
      <c r="G277" s="188"/>
      <c r="H277" s="4"/>
      <c r="I277" s="4"/>
      <c r="J277" s="4"/>
      <c r="K277" s="4"/>
      <c r="L277" s="4"/>
      <c r="M277" s="4"/>
      <c r="N277" s="4"/>
      <c r="O277" s="4"/>
      <c r="P277" s="4"/>
      <c r="Q277" s="4"/>
      <c r="R277" s="4"/>
      <c r="S277" s="4"/>
      <c r="T277" s="4"/>
      <c r="U277" s="4"/>
      <c r="V277" s="4"/>
      <c r="W277" s="4"/>
      <c r="X277" s="4"/>
      <c r="Y277" s="4"/>
      <c r="Z277" s="4"/>
    </row>
    <row r="278" ht="14.25" customHeight="1">
      <c r="A278" s="4"/>
      <c r="B278" s="4"/>
      <c r="C278" s="4"/>
      <c r="D278" s="4"/>
      <c r="E278" s="4"/>
      <c r="F278" s="188"/>
      <c r="G278" s="188"/>
      <c r="H278" s="4"/>
      <c r="I278" s="4"/>
      <c r="J278" s="4"/>
      <c r="K278" s="4"/>
      <c r="L278" s="4"/>
      <c r="M278" s="4"/>
      <c r="N278" s="4"/>
      <c r="O278" s="4"/>
      <c r="P278" s="4"/>
      <c r="Q278" s="4"/>
      <c r="R278" s="4"/>
      <c r="S278" s="4"/>
      <c r="T278" s="4"/>
      <c r="U278" s="4"/>
      <c r="V278" s="4"/>
      <c r="W278" s="4"/>
      <c r="X278" s="4"/>
      <c r="Y278" s="4"/>
      <c r="Z278" s="4"/>
    </row>
    <row r="279" ht="14.25" customHeight="1">
      <c r="A279" s="4"/>
      <c r="B279" s="4"/>
      <c r="C279" s="4"/>
      <c r="D279" s="4"/>
      <c r="E279" s="4"/>
      <c r="F279" s="188"/>
      <c r="G279" s="188"/>
      <c r="H279" s="4"/>
      <c r="I279" s="4"/>
      <c r="J279" s="4"/>
      <c r="K279" s="4"/>
      <c r="L279" s="4"/>
      <c r="M279" s="4"/>
      <c r="N279" s="4"/>
      <c r="O279" s="4"/>
      <c r="P279" s="4"/>
      <c r="Q279" s="4"/>
      <c r="R279" s="4"/>
      <c r="S279" s="4"/>
      <c r="T279" s="4"/>
      <c r="U279" s="4"/>
      <c r="V279" s="4"/>
      <c r="W279" s="4"/>
      <c r="X279" s="4"/>
      <c r="Y279" s="4"/>
      <c r="Z279" s="4"/>
    </row>
    <row r="280" ht="14.25" customHeight="1">
      <c r="A280" s="4"/>
      <c r="B280" s="4"/>
      <c r="C280" s="4"/>
      <c r="D280" s="4"/>
      <c r="E280" s="4"/>
      <c r="F280" s="188"/>
      <c r="G280" s="188"/>
      <c r="H280" s="4"/>
      <c r="I280" s="4"/>
      <c r="J280" s="4"/>
      <c r="K280" s="4"/>
      <c r="L280" s="4"/>
      <c r="M280" s="4"/>
      <c r="N280" s="4"/>
      <c r="O280" s="4"/>
      <c r="P280" s="4"/>
      <c r="Q280" s="4"/>
      <c r="R280" s="4"/>
      <c r="S280" s="4"/>
      <c r="T280" s="4"/>
      <c r="U280" s="4"/>
      <c r="V280" s="4"/>
      <c r="W280" s="4"/>
      <c r="X280" s="4"/>
      <c r="Y280" s="4"/>
      <c r="Z280" s="4"/>
    </row>
    <row r="281" ht="14.25" customHeight="1">
      <c r="A281" s="4"/>
      <c r="B281" s="4"/>
      <c r="C281" s="4"/>
      <c r="D281" s="4"/>
      <c r="E281" s="4"/>
      <c r="F281" s="188"/>
      <c r="G281" s="188"/>
      <c r="H281" s="4"/>
      <c r="I281" s="4"/>
      <c r="J281" s="4"/>
      <c r="K281" s="4"/>
      <c r="L281" s="4"/>
      <c r="M281" s="4"/>
      <c r="N281" s="4"/>
      <c r="O281" s="4"/>
      <c r="P281" s="4"/>
      <c r="Q281" s="4"/>
      <c r="R281" s="4"/>
      <c r="S281" s="4"/>
      <c r="T281" s="4"/>
      <c r="U281" s="4"/>
      <c r="V281" s="4"/>
      <c r="W281" s="4"/>
      <c r="X281" s="4"/>
      <c r="Y281" s="4"/>
      <c r="Z281" s="4"/>
    </row>
    <row r="282" ht="14.25" customHeight="1">
      <c r="A282" s="4"/>
      <c r="B282" s="4"/>
      <c r="C282" s="4"/>
      <c r="D282" s="4"/>
      <c r="E282" s="4"/>
      <c r="F282" s="188"/>
      <c r="G282" s="188"/>
      <c r="H282" s="4"/>
      <c r="I282" s="4"/>
      <c r="J282" s="4"/>
      <c r="K282" s="4"/>
      <c r="L282" s="4"/>
      <c r="M282" s="4"/>
      <c r="N282" s="4"/>
      <c r="O282" s="4"/>
      <c r="P282" s="4"/>
      <c r="Q282" s="4"/>
      <c r="R282" s="4"/>
      <c r="S282" s="4"/>
      <c r="T282" s="4"/>
      <c r="U282" s="4"/>
      <c r="V282" s="4"/>
      <c r="W282" s="4"/>
      <c r="X282" s="4"/>
      <c r="Y282" s="4"/>
      <c r="Z282" s="4"/>
    </row>
    <row r="283" ht="14.25" customHeight="1">
      <c r="A283" s="4"/>
      <c r="B283" s="4"/>
      <c r="C283" s="4"/>
      <c r="D283" s="4"/>
      <c r="E283" s="4"/>
      <c r="F283" s="188"/>
      <c r="G283" s="188"/>
      <c r="H283" s="4"/>
      <c r="I283" s="4"/>
      <c r="J283" s="4"/>
      <c r="K283" s="4"/>
      <c r="L283" s="4"/>
      <c r="M283" s="4"/>
      <c r="N283" s="4"/>
      <c r="O283" s="4"/>
      <c r="P283" s="4"/>
      <c r="Q283" s="4"/>
      <c r="R283" s="4"/>
      <c r="S283" s="4"/>
      <c r="T283" s="4"/>
      <c r="U283" s="4"/>
      <c r="V283" s="4"/>
      <c r="W283" s="4"/>
      <c r="X283" s="4"/>
      <c r="Y283" s="4"/>
      <c r="Z283" s="4"/>
    </row>
    <row r="284" ht="14.25" customHeight="1">
      <c r="A284" s="4"/>
      <c r="B284" s="4"/>
      <c r="C284" s="4"/>
      <c r="D284" s="4"/>
      <c r="E284" s="4"/>
      <c r="F284" s="188"/>
      <c r="G284" s="188"/>
      <c r="H284" s="4"/>
      <c r="I284" s="4"/>
      <c r="J284" s="4"/>
      <c r="K284" s="4"/>
      <c r="L284" s="4"/>
      <c r="M284" s="4"/>
      <c r="N284" s="4"/>
      <c r="O284" s="4"/>
      <c r="P284" s="4"/>
      <c r="Q284" s="4"/>
      <c r="R284" s="4"/>
      <c r="S284" s="4"/>
      <c r="T284" s="4"/>
      <c r="U284" s="4"/>
      <c r="V284" s="4"/>
      <c r="W284" s="4"/>
      <c r="X284" s="4"/>
      <c r="Y284" s="4"/>
      <c r="Z284" s="4"/>
    </row>
    <row r="285" ht="14.25" customHeight="1">
      <c r="A285" s="4"/>
      <c r="B285" s="4"/>
      <c r="C285" s="4"/>
      <c r="D285" s="4"/>
      <c r="E285" s="4"/>
      <c r="F285" s="188"/>
      <c r="G285" s="188"/>
      <c r="H285" s="4"/>
      <c r="I285" s="4"/>
      <c r="J285" s="4"/>
      <c r="K285" s="4"/>
      <c r="L285" s="4"/>
      <c r="M285" s="4"/>
      <c r="N285" s="4"/>
      <c r="O285" s="4"/>
      <c r="P285" s="4"/>
      <c r="Q285" s="4"/>
      <c r="R285" s="4"/>
      <c r="S285" s="4"/>
      <c r="T285" s="4"/>
      <c r="U285" s="4"/>
      <c r="V285" s="4"/>
      <c r="W285" s="4"/>
      <c r="X285" s="4"/>
      <c r="Y285" s="4"/>
      <c r="Z285" s="4"/>
    </row>
    <row r="286" ht="14.25" customHeight="1">
      <c r="A286" s="4"/>
      <c r="B286" s="4"/>
      <c r="C286" s="4"/>
      <c r="D286" s="4"/>
      <c r="E286" s="4"/>
      <c r="F286" s="188"/>
      <c r="G286" s="188"/>
      <c r="H286" s="4"/>
      <c r="I286" s="4"/>
      <c r="J286" s="4"/>
      <c r="K286" s="4"/>
      <c r="L286" s="4"/>
      <c r="M286" s="4"/>
      <c r="N286" s="4"/>
      <c r="O286" s="4"/>
      <c r="P286" s="4"/>
      <c r="Q286" s="4"/>
      <c r="R286" s="4"/>
      <c r="S286" s="4"/>
      <c r="T286" s="4"/>
      <c r="U286" s="4"/>
      <c r="V286" s="4"/>
      <c r="W286" s="4"/>
      <c r="X286" s="4"/>
      <c r="Y286" s="4"/>
      <c r="Z286" s="4"/>
    </row>
    <row r="287" ht="14.25" customHeight="1">
      <c r="A287" s="4"/>
      <c r="B287" s="4"/>
      <c r="C287" s="4"/>
      <c r="D287" s="4"/>
      <c r="E287" s="4"/>
      <c r="F287" s="188"/>
      <c r="G287" s="188"/>
      <c r="H287" s="4"/>
      <c r="I287" s="4"/>
      <c r="J287" s="4"/>
      <c r="K287" s="4"/>
      <c r="L287" s="4"/>
      <c r="M287" s="4"/>
      <c r="N287" s="4"/>
      <c r="O287" s="4"/>
      <c r="P287" s="4"/>
      <c r="Q287" s="4"/>
      <c r="R287" s="4"/>
      <c r="S287" s="4"/>
      <c r="T287" s="4"/>
      <c r="U287" s="4"/>
      <c r="V287" s="4"/>
      <c r="W287" s="4"/>
      <c r="X287" s="4"/>
      <c r="Y287" s="4"/>
      <c r="Z287" s="4"/>
    </row>
    <row r="288" ht="14.25" customHeight="1">
      <c r="A288" s="4"/>
      <c r="B288" s="4"/>
      <c r="C288" s="4"/>
      <c r="D288" s="4"/>
      <c r="E288" s="4"/>
      <c r="F288" s="188"/>
      <c r="G288" s="188"/>
      <c r="H288" s="4"/>
      <c r="I288" s="4"/>
      <c r="J288" s="4"/>
      <c r="K288" s="4"/>
      <c r="L288" s="4"/>
      <c r="M288" s="4"/>
      <c r="N288" s="4"/>
      <c r="O288" s="4"/>
      <c r="P288" s="4"/>
      <c r="Q288" s="4"/>
      <c r="R288" s="4"/>
      <c r="S288" s="4"/>
      <c r="T288" s="4"/>
      <c r="U288" s="4"/>
      <c r="V288" s="4"/>
      <c r="W288" s="4"/>
      <c r="X288" s="4"/>
      <c r="Y288" s="4"/>
      <c r="Z288" s="4"/>
    </row>
    <row r="289" ht="14.25" customHeight="1">
      <c r="A289" s="4"/>
      <c r="B289" s="4"/>
      <c r="C289" s="4"/>
      <c r="D289" s="4"/>
      <c r="E289" s="4"/>
      <c r="F289" s="188"/>
      <c r="G289" s="188"/>
      <c r="H289" s="4"/>
      <c r="I289" s="4"/>
      <c r="J289" s="4"/>
      <c r="K289" s="4"/>
      <c r="L289" s="4"/>
      <c r="M289" s="4"/>
      <c r="N289" s="4"/>
      <c r="O289" s="4"/>
      <c r="P289" s="4"/>
      <c r="Q289" s="4"/>
      <c r="R289" s="4"/>
      <c r="S289" s="4"/>
      <c r="T289" s="4"/>
      <c r="U289" s="4"/>
      <c r="V289" s="4"/>
      <c r="W289" s="4"/>
      <c r="X289" s="4"/>
      <c r="Y289" s="4"/>
      <c r="Z289" s="4"/>
    </row>
    <row r="290" ht="14.25" customHeight="1">
      <c r="A290" s="4"/>
      <c r="B290" s="4"/>
      <c r="C290" s="4"/>
      <c r="D290" s="4"/>
      <c r="E290" s="4"/>
      <c r="F290" s="188"/>
      <c r="G290" s="188"/>
      <c r="H290" s="4"/>
      <c r="I290" s="4"/>
      <c r="J290" s="4"/>
      <c r="K290" s="4"/>
      <c r="L290" s="4"/>
      <c r="M290" s="4"/>
      <c r="N290" s="4"/>
      <c r="O290" s="4"/>
      <c r="P290" s="4"/>
      <c r="Q290" s="4"/>
      <c r="R290" s="4"/>
      <c r="S290" s="4"/>
      <c r="T290" s="4"/>
      <c r="U290" s="4"/>
      <c r="V290" s="4"/>
      <c r="W290" s="4"/>
      <c r="X290" s="4"/>
      <c r="Y290" s="4"/>
      <c r="Z290" s="4"/>
    </row>
    <row r="291" ht="14.25" customHeight="1">
      <c r="A291" s="4"/>
      <c r="B291" s="4"/>
      <c r="C291" s="4"/>
      <c r="D291" s="4"/>
      <c r="E291" s="4"/>
      <c r="F291" s="188"/>
      <c r="G291" s="188"/>
      <c r="H291" s="4"/>
      <c r="I291" s="4"/>
      <c r="J291" s="4"/>
      <c r="K291" s="4"/>
      <c r="L291" s="4"/>
      <c r="M291" s="4"/>
      <c r="N291" s="4"/>
      <c r="O291" s="4"/>
      <c r="P291" s="4"/>
      <c r="Q291" s="4"/>
      <c r="R291" s="4"/>
      <c r="S291" s="4"/>
      <c r="T291" s="4"/>
      <c r="U291" s="4"/>
      <c r="V291" s="4"/>
      <c r="W291" s="4"/>
      <c r="X291" s="4"/>
      <c r="Y291" s="4"/>
      <c r="Z291" s="4"/>
    </row>
    <row r="292" ht="14.25" customHeight="1">
      <c r="A292" s="4"/>
      <c r="B292" s="4"/>
      <c r="C292" s="4"/>
      <c r="D292" s="4"/>
      <c r="E292" s="4"/>
      <c r="F292" s="188"/>
      <c r="G292" s="188"/>
      <c r="H292" s="4"/>
      <c r="I292" s="4"/>
      <c r="J292" s="4"/>
      <c r="K292" s="4"/>
      <c r="L292" s="4"/>
      <c r="M292" s="4"/>
      <c r="N292" s="4"/>
      <c r="O292" s="4"/>
      <c r="P292" s="4"/>
      <c r="Q292" s="4"/>
      <c r="R292" s="4"/>
      <c r="S292" s="4"/>
      <c r="T292" s="4"/>
      <c r="U292" s="4"/>
      <c r="V292" s="4"/>
      <c r="W292" s="4"/>
      <c r="X292" s="4"/>
      <c r="Y292" s="4"/>
      <c r="Z292" s="4"/>
    </row>
    <row r="293" ht="14.25" customHeight="1">
      <c r="A293" s="4"/>
      <c r="B293" s="4"/>
      <c r="C293" s="4"/>
      <c r="D293" s="4"/>
      <c r="E293" s="4"/>
      <c r="F293" s="188"/>
      <c r="G293" s="188"/>
      <c r="H293" s="4"/>
      <c r="I293" s="4"/>
      <c r="J293" s="4"/>
      <c r="K293" s="4"/>
      <c r="L293" s="4"/>
      <c r="M293" s="4"/>
      <c r="N293" s="4"/>
      <c r="O293" s="4"/>
      <c r="P293" s="4"/>
      <c r="Q293" s="4"/>
      <c r="R293" s="4"/>
      <c r="S293" s="4"/>
      <c r="T293" s="4"/>
      <c r="U293" s="4"/>
      <c r="V293" s="4"/>
      <c r="W293" s="4"/>
      <c r="X293" s="4"/>
      <c r="Y293" s="4"/>
      <c r="Z293" s="4"/>
    </row>
    <row r="294" ht="14.25" customHeight="1">
      <c r="A294" s="4"/>
      <c r="B294" s="4"/>
      <c r="C294" s="4"/>
      <c r="D294" s="4"/>
      <c r="E294" s="4"/>
      <c r="F294" s="188"/>
      <c r="G294" s="188"/>
      <c r="H294" s="4"/>
      <c r="I294" s="4"/>
      <c r="J294" s="4"/>
      <c r="K294" s="4"/>
      <c r="L294" s="4"/>
      <c r="M294" s="4"/>
      <c r="N294" s="4"/>
      <c r="O294" s="4"/>
      <c r="P294" s="4"/>
      <c r="Q294" s="4"/>
      <c r="R294" s="4"/>
      <c r="S294" s="4"/>
      <c r="T294" s="4"/>
      <c r="U294" s="4"/>
      <c r="V294" s="4"/>
      <c r="W294" s="4"/>
      <c r="X294" s="4"/>
      <c r="Y294" s="4"/>
      <c r="Z294" s="4"/>
    </row>
    <row r="295" ht="14.25" customHeight="1">
      <c r="A295" s="4"/>
      <c r="B295" s="4"/>
      <c r="C295" s="4"/>
      <c r="D295" s="4"/>
      <c r="E295" s="4"/>
      <c r="F295" s="188"/>
      <c r="G295" s="188"/>
      <c r="H295" s="4"/>
      <c r="I295" s="4"/>
      <c r="J295" s="4"/>
      <c r="K295" s="4"/>
      <c r="L295" s="4"/>
      <c r="M295" s="4"/>
      <c r="N295" s="4"/>
      <c r="O295" s="4"/>
      <c r="P295" s="4"/>
      <c r="Q295" s="4"/>
      <c r="R295" s="4"/>
      <c r="S295" s="4"/>
      <c r="T295" s="4"/>
      <c r="U295" s="4"/>
      <c r="V295" s="4"/>
      <c r="W295" s="4"/>
      <c r="X295" s="4"/>
      <c r="Y295" s="4"/>
      <c r="Z295" s="4"/>
    </row>
    <row r="296" ht="14.25" customHeight="1">
      <c r="A296" s="4"/>
      <c r="B296" s="4"/>
      <c r="C296" s="4"/>
      <c r="D296" s="4"/>
      <c r="E296" s="4"/>
      <c r="F296" s="188"/>
      <c r="G296" s="188"/>
      <c r="H296" s="4"/>
      <c r="I296" s="4"/>
      <c r="J296" s="4"/>
      <c r="K296" s="4"/>
      <c r="L296" s="4"/>
      <c r="M296" s="4"/>
      <c r="N296" s="4"/>
      <c r="O296" s="4"/>
      <c r="P296" s="4"/>
      <c r="Q296" s="4"/>
      <c r="R296" s="4"/>
      <c r="S296" s="4"/>
      <c r="T296" s="4"/>
      <c r="U296" s="4"/>
      <c r="V296" s="4"/>
      <c r="W296" s="4"/>
      <c r="X296" s="4"/>
      <c r="Y296" s="4"/>
      <c r="Z296" s="4"/>
    </row>
    <row r="297" ht="14.25" customHeight="1">
      <c r="A297" s="4"/>
      <c r="B297" s="4"/>
      <c r="C297" s="4"/>
      <c r="D297" s="4"/>
      <c r="E297" s="4"/>
      <c r="F297" s="188"/>
      <c r="G297" s="188"/>
      <c r="H297" s="4"/>
      <c r="I297" s="4"/>
      <c r="J297" s="4"/>
      <c r="K297" s="4"/>
      <c r="L297" s="4"/>
      <c r="M297" s="4"/>
      <c r="N297" s="4"/>
      <c r="O297" s="4"/>
      <c r="P297" s="4"/>
      <c r="Q297" s="4"/>
      <c r="R297" s="4"/>
      <c r="S297" s="4"/>
      <c r="T297" s="4"/>
      <c r="U297" s="4"/>
      <c r="V297" s="4"/>
      <c r="W297" s="4"/>
      <c r="X297" s="4"/>
      <c r="Y297" s="4"/>
      <c r="Z297" s="4"/>
    </row>
    <row r="298" ht="14.25" customHeight="1">
      <c r="A298" s="4"/>
      <c r="B298" s="4"/>
      <c r="C298" s="4"/>
      <c r="D298" s="4"/>
      <c r="E298" s="4"/>
      <c r="F298" s="188"/>
      <c r="G298" s="188"/>
      <c r="H298" s="4"/>
      <c r="I298" s="4"/>
      <c r="J298" s="4"/>
      <c r="K298" s="4"/>
      <c r="L298" s="4"/>
      <c r="M298" s="4"/>
      <c r="N298" s="4"/>
      <c r="O298" s="4"/>
      <c r="P298" s="4"/>
      <c r="Q298" s="4"/>
      <c r="R298" s="4"/>
      <c r="S298" s="4"/>
      <c r="T298" s="4"/>
      <c r="U298" s="4"/>
      <c r="V298" s="4"/>
      <c r="W298" s="4"/>
      <c r="X298" s="4"/>
      <c r="Y298" s="4"/>
      <c r="Z298" s="4"/>
    </row>
    <row r="299" ht="14.25" customHeight="1">
      <c r="A299" s="4"/>
      <c r="B299" s="4"/>
      <c r="C299" s="4"/>
      <c r="D299" s="4"/>
      <c r="E299" s="4"/>
      <c r="F299" s="188"/>
      <c r="G299" s="188"/>
      <c r="H299" s="4"/>
      <c r="I299" s="4"/>
      <c r="J299" s="4"/>
      <c r="K299" s="4"/>
      <c r="L299" s="4"/>
      <c r="M299" s="4"/>
      <c r="N299" s="4"/>
      <c r="O299" s="4"/>
      <c r="P299" s="4"/>
      <c r="Q299" s="4"/>
      <c r="R299" s="4"/>
      <c r="S299" s="4"/>
      <c r="T299" s="4"/>
      <c r="U299" s="4"/>
      <c r="V299" s="4"/>
      <c r="W299" s="4"/>
      <c r="X299" s="4"/>
      <c r="Y299" s="4"/>
      <c r="Z299" s="4"/>
    </row>
    <row r="300" ht="14.25" customHeight="1">
      <c r="A300" s="4"/>
      <c r="B300" s="4"/>
      <c r="C300" s="4"/>
      <c r="D300" s="4"/>
      <c r="E300" s="4"/>
      <c r="F300" s="188"/>
      <c r="G300" s="188"/>
      <c r="H300" s="4"/>
      <c r="I300" s="4"/>
      <c r="J300" s="4"/>
      <c r="K300" s="4"/>
      <c r="L300" s="4"/>
      <c r="M300" s="4"/>
      <c r="N300" s="4"/>
      <c r="O300" s="4"/>
      <c r="P300" s="4"/>
      <c r="Q300" s="4"/>
      <c r="R300" s="4"/>
      <c r="S300" s="4"/>
      <c r="T300" s="4"/>
      <c r="U300" s="4"/>
      <c r="V300" s="4"/>
      <c r="W300" s="4"/>
      <c r="X300" s="4"/>
      <c r="Y300" s="4"/>
      <c r="Z300" s="4"/>
    </row>
    <row r="301" ht="14.25" customHeight="1">
      <c r="A301" s="4"/>
      <c r="B301" s="4"/>
      <c r="C301" s="4"/>
      <c r="D301" s="4"/>
      <c r="E301" s="4"/>
      <c r="F301" s="188"/>
      <c r="G301" s="188"/>
      <c r="H301" s="4"/>
      <c r="I301" s="4"/>
      <c r="J301" s="4"/>
      <c r="K301" s="4"/>
      <c r="L301" s="4"/>
      <c r="M301" s="4"/>
      <c r="N301" s="4"/>
      <c r="O301" s="4"/>
      <c r="P301" s="4"/>
      <c r="Q301" s="4"/>
      <c r="R301" s="4"/>
      <c r="S301" s="4"/>
      <c r="T301" s="4"/>
      <c r="U301" s="4"/>
      <c r="V301" s="4"/>
      <c r="W301" s="4"/>
      <c r="X301" s="4"/>
      <c r="Y301" s="4"/>
      <c r="Z301" s="4"/>
    </row>
    <row r="302" ht="14.25" customHeight="1">
      <c r="A302" s="4"/>
      <c r="B302" s="4"/>
      <c r="C302" s="4"/>
      <c r="D302" s="4"/>
      <c r="E302" s="4"/>
      <c r="F302" s="188"/>
      <c r="G302" s="188"/>
      <c r="H302" s="4"/>
      <c r="I302" s="4"/>
      <c r="J302" s="4"/>
      <c r="K302" s="4"/>
      <c r="L302" s="4"/>
      <c r="M302" s="4"/>
      <c r="N302" s="4"/>
      <c r="O302" s="4"/>
      <c r="P302" s="4"/>
      <c r="Q302" s="4"/>
      <c r="R302" s="4"/>
      <c r="S302" s="4"/>
      <c r="T302" s="4"/>
      <c r="U302" s="4"/>
      <c r="V302" s="4"/>
      <c r="W302" s="4"/>
      <c r="X302" s="4"/>
      <c r="Y302" s="4"/>
      <c r="Z302" s="4"/>
    </row>
    <row r="303" ht="14.25" customHeight="1">
      <c r="A303" s="4"/>
      <c r="B303" s="4"/>
      <c r="C303" s="4"/>
      <c r="D303" s="4"/>
      <c r="E303" s="4"/>
      <c r="F303" s="188"/>
      <c r="G303" s="188"/>
      <c r="H303" s="4"/>
      <c r="I303" s="4"/>
      <c r="J303" s="4"/>
      <c r="K303" s="4"/>
      <c r="L303" s="4"/>
      <c r="M303" s="4"/>
      <c r="N303" s="4"/>
      <c r="O303" s="4"/>
      <c r="P303" s="4"/>
      <c r="Q303" s="4"/>
      <c r="R303" s="4"/>
      <c r="S303" s="4"/>
      <c r="T303" s="4"/>
      <c r="U303" s="4"/>
      <c r="V303" s="4"/>
      <c r="W303" s="4"/>
      <c r="X303" s="4"/>
      <c r="Y303" s="4"/>
      <c r="Z303" s="4"/>
    </row>
    <row r="304" ht="14.25" customHeight="1">
      <c r="A304" s="4"/>
      <c r="B304" s="4"/>
      <c r="C304" s="4"/>
      <c r="D304" s="4"/>
      <c r="E304" s="4"/>
      <c r="F304" s="188"/>
      <c r="G304" s="188"/>
      <c r="H304" s="4"/>
      <c r="I304" s="4"/>
      <c r="J304" s="4"/>
      <c r="K304" s="4"/>
      <c r="L304" s="4"/>
      <c r="M304" s="4"/>
      <c r="N304" s="4"/>
      <c r="O304" s="4"/>
      <c r="P304" s="4"/>
      <c r="Q304" s="4"/>
      <c r="R304" s="4"/>
      <c r="S304" s="4"/>
      <c r="T304" s="4"/>
      <c r="U304" s="4"/>
      <c r="V304" s="4"/>
      <c r="W304" s="4"/>
      <c r="X304" s="4"/>
      <c r="Y304" s="4"/>
      <c r="Z304" s="4"/>
    </row>
    <row r="305" ht="14.25" customHeight="1">
      <c r="A305" s="4"/>
      <c r="B305" s="4"/>
      <c r="C305" s="4"/>
      <c r="D305" s="4"/>
      <c r="E305" s="4"/>
      <c r="F305" s="188"/>
      <c r="G305" s="188"/>
      <c r="H305" s="4"/>
      <c r="I305" s="4"/>
      <c r="J305" s="4"/>
      <c r="K305" s="4"/>
      <c r="L305" s="4"/>
      <c r="M305" s="4"/>
      <c r="N305" s="4"/>
      <c r="O305" s="4"/>
      <c r="P305" s="4"/>
      <c r="Q305" s="4"/>
      <c r="R305" s="4"/>
      <c r="S305" s="4"/>
      <c r="T305" s="4"/>
      <c r="U305" s="4"/>
      <c r="V305" s="4"/>
      <c r="W305" s="4"/>
      <c r="X305" s="4"/>
      <c r="Y305" s="4"/>
      <c r="Z305" s="4"/>
    </row>
    <row r="306" ht="14.25" customHeight="1">
      <c r="A306" s="4"/>
      <c r="B306" s="4"/>
      <c r="C306" s="4"/>
      <c r="D306" s="4"/>
      <c r="E306" s="4"/>
      <c r="F306" s="188"/>
      <c r="G306" s="188"/>
      <c r="H306" s="4"/>
      <c r="I306" s="4"/>
      <c r="J306" s="4"/>
      <c r="K306" s="4"/>
      <c r="L306" s="4"/>
      <c r="M306" s="4"/>
      <c r="N306" s="4"/>
      <c r="O306" s="4"/>
      <c r="P306" s="4"/>
      <c r="Q306" s="4"/>
      <c r="R306" s="4"/>
      <c r="S306" s="4"/>
      <c r="T306" s="4"/>
      <c r="U306" s="4"/>
      <c r="V306" s="4"/>
      <c r="W306" s="4"/>
      <c r="X306" s="4"/>
      <c r="Y306" s="4"/>
      <c r="Z306" s="4"/>
    </row>
    <row r="307" ht="14.25" customHeight="1">
      <c r="A307" s="4"/>
      <c r="B307" s="4"/>
      <c r="C307" s="4"/>
      <c r="D307" s="4"/>
      <c r="E307" s="4"/>
      <c r="F307" s="188"/>
      <c r="G307" s="188"/>
      <c r="H307" s="4"/>
      <c r="I307" s="4"/>
      <c r="J307" s="4"/>
      <c r="K307" s="4"/>
      <c r="L307" s="4"/>
      <c r="M307" s="4"/>
      <c r="N307" s="4"/>
      <c r="O307" s="4"/>
      <c r="P307" s="4"/>
      <c r="Q307" s="4"/>
      <c r="R307" s="4"/>
      <c r="S307" s="4"/>
      <c r="T307" s="4"/>
      <c r="U307" s="4"/>
      <c r="V307" s="4"/>
      <c r="W307" s="4"/>
      <c r="X307" s="4"/>
      <c r="Y307" s="4"/>
      <c r="Z307" s="4"/>
    </row>
    <row r="308" ht="14.25" customHeight="1">
      <c r="A308" s="4"/>
      <c r="B308" s="4"/>
      <c r="C308" s="4"/>
      <c r="D308" s="4"/>
      <c r="E308" s="4"/>
      <c r="F308" s="188"/>
      <c r="G308" s="188"/>
      <c r="H308" s="4"/>
      <c r="I308" s="4"/>
      <c r="J308" s="4"/>
      <c r="K308" s="4"/>
      <c r="L308" s="4"/>
      <c r="M308" s="4"/>
      <c r="N308" s="4"/>
      <c r="O308" s="4"/>
      <c r="P308" s="4"/>
      <c r="Q308" s="4"/>
      <c r="R308" s="4"/>
      <c r="S308" s="4"/>
      <c r="T308" s="4"/>
      <c r="U308" s="4"/>
      <c r="V308" s="4"/>
      <c r="W308" s="4"/>
      <c r="X308" s="4"/>
      <c r="Y308" s="4"/>
      <c r="Z308" s="4"/>
    </row>
    <row r="309" ht="14.25" customHeight="1">
      <c r="A309" s="4"/>
      <c r="B309" s="4"/>
      <c r="C309" s="4"/>
      <c r="D309" s="4"/>
      <c r="E309" s="4"/>
      <c r="F309" s="188"/>
      <c r="G309" s="188"/>
      <c r="H309" s="4"/>
      <c r="I309" s="4"/>
      <c r="J309" s="4"/>
      <c r="K309" s="4"/>
      <c r="L309" s="4"/>
      <c r="M309" s="4"/>
      <c r="N309" s="4"/>
      <c r="O309" s="4"/>
      <c r="P309" s="4"/>
      <c r="Q309" s="4"/>
      <c r="R309" s="4"/>
      <c r="S309" s="4"/>
      <c r="T309" s="4"/>
      <c r="U309" s="4"/>
      <c r="V309" s="4"/>
      <c r="W309" s="4"/>
      <c r="X309" s="4"/>
      <c r="Y309" s="4"/>
      <c r="Z309" s="4"/>
    </row>
    <row r="310" ht="14.25" customHeight="1">
      <c r="A310" s="4"/>
      <c r="B310" s="4"/>
      <c r="C310" s="4"/>
      <c r="D310" s="4"/>
      <c r="E310" s="4"/>
      <c r="F310" s="188"/>
      <c r="G310" s="188"/>
      <c r="H310" s="4"/>
      <c r="I310" s="4"/>
      <c r="J310" s="4"/>
      <c r="K310" s="4"/>
      <c r="L310" s="4"/>
      <c r="M310" s="4"/>
      <c r="N310" s="4"/>
      <c r="O310" s="4"/>
      <c r="P310" s="4"/>
      <c r="Q310" s="4"/>
      <c r="R310" s="4"/>
      <c r="S310" s="4"/>
      <c r="T310" s="4"/>
      <c r="U310" s="4"/>
      <c r="V310" s="4"/>
      <c r="W310" s="4"/>
      <c r="X310" s="4"/>
      <c r="Y310" s="4"/>
      <c r="Z310" s="4"/>
    </row>
    <row r="311" ht="14.25" customHeight="1">
      <c r="A311" s="4"/>
      <c r="B311" s="4"/>
      <c r="C311" s="4"/>
      <c r="D311" s="4"/>
      <c r="E311" s="4"/>
      <c r="F311" s="188"/>
      <c r="G311" s="188"/>
      <c r="H311" s="4"/>
      <c r="I311" s="4"/>
      <c r="J311" s="4"/>
      <c r="K311" s="4"/>
      <c r="L311" s="4"/>
      <c r="M311" s="4"/>
      <c r="N311" s="4"/>
      <c r="O311" s="4"/>
      <c r="P311" s="4"/>
      <c r="Q311" s="4"/>
      <c r="R311" s="4"/>
      <c r="S311" s="4"/>
      <c r="T311" s="4"/>
      <c r="U311" s="4"/>
      <c r="V311" s="4"/>
      <c r="W311" s="4"/>
      <c r="X311" s="4"/>
      <c r="Y311" s="4"/>
      <c r="Z311" s="4"/>
    </row>
    <row r="312" ht="14.25" customHeight="1">
      <c r="A312" s="4"/>
      <c r="B312" s="4"/>
      <c r="C312" s="4"/>
      <c r="D312" s="4"/>
      <c r="E312" s="4"/>
      <c r="F312" s="188"/>
      <c r="G312" s="188"/>
      <c r="H312" s="4"/>
      <c r="I312" s="4"/>
      <c r="J312" s="4"/>
      <c r="K312" s="4"/>
      <c r="L312" s="4"/>
      <c r="M312" s="4"/>
      <c r="N312" s="4"/>
      <c r="O312" s="4"/>
      <c r="P312" s="4"/>
      <c r="Q312" s="4"/>
      <c r="R312" s="4"/>
      <c r="S312" s="4"/>
      <c r="T312" s="4"/>
      <c r="U312" s="4"/>
      <c r="V312" s="4"/>
      <c r="W312" s="4"/>
      <c r="X312" s="4"/>
      <c r="Y312" s="4"/>
      <c r="Z312" s="4"/>
    </row>
    <row r="313" ht="14.25" customHeight="1">
      <c r="A313" s="4"/>
      <c r="B313" s="4"/>
      <c r="C313" s="4"/>
      <c r="D313" s="4"/>
      <c r="E313" s="4"/>
      <c r="F313" s="188"/>
      <c r="G313" s="188"/>
      <c r="H313" s="4"/>
      <c r="I313" s="4"/>
      <c r="J313" s="4"/>
      <c r="K313" s="4"/>
      <c r="L313" s="4"/>
      <c r="M313" s="4"/>
      <c r="N313" s="4"/>
      <c r="O313" s="4"/>
      <c r="P313" s="4"/>
      <c r="Q313" s="4"/>
      <c r="R313" s="4"/>
      <c r="S313" s="4"/>
      <c r="T313" s="4"/>
      <c r="U313" s="4"/>
      <c r="V313" s="4"/>
      <c r="W313" s="4"/>
      <c r="X313" s="4"/>
      <c r="Y313" s="4"/>
      <c r="Z313" s="4"/>
    </row>
    <row r="314" ht="14.25" customHeight="1">
      <c r="A314" s="4"/>
      <c r="B314" s="4"/>
      <c r="C314" s="4"/>
      <c r="D314" s="4"/>
      <c r="E314" s="4"/>
      <c r="F314" s="188"/>
      <c r="G314" s="188"/>
      <c r="H314" s="4"/>
      <c r="I314" s="4"/>
      <c r="J314" s="4"/>
      <c r="K314" s="4"/>
      <c r="L314" s="4"/>
      <c r="M314" s="4"/>
      <c r="N314" s="4"/>
      <c r="O314" s="4"/>
      <c r="P314" s="4"/>
      <c r="Q314" s="4"/>
      <c r="R314" s="4"/>
      <c r="S314" s="4"/>
      <c r="T314" s="4"/>
      <c r="U314" s="4"/>
      <c r="V314" s="4"/>
      <c r="W314" s="4"/>
      <c r="X314" s="4"/>
      <c r="Y314" s="4"/>
      <c r="Z314" s="4"/>
    </row>
    <row r="315" ht="14.25" customHeight="1">
      <c r="A315" s="4"/>
      <c r="B315" s="4"/>
      <c r="C315" s="4"/>
      <c r="D315" s="4"/>
      <c r="E315" s="4"/>
      <c r="F315" s="188"/>
      <c r="G315" s="188"/>
      <c r="H315" s="4"/>
      <c r="I315" s="4"/>
      <c r="J315" s="4"/>
      <c r="K315" s="4"/>
      <c r="L315" s="4"/>
      <c r="M315" s="4"/>
      <c r="N315" s="4"/>
      <c r="O315" s="4"/>
      <c r="P315" s="4"/>
      <c r="Q315" s="4"/>
      <c r="R315" s="4"/>
      <c r="S315" s="4"/>
      <c r="T315" s="4"/>
      <c r="U315" s="4"/>
      <c r="V315" s="4"/>
      <c r="W315" s="4"/>
      <c r="X315" s="4"/>
      <c r="Y315" s="4"/>
      <c r="Z315" s="4"/>
    </row>
    <row r="316" ht="14.25" customHeight="1">
      <c r="A316" s="4"/>
      <c r="B316" s="4"/>
      <c r="C316" s="4"/>
      <c r="D316" s="4"/>
      <c r="E316" s="4"/>
      <c r="F316" s="188"/>
      <c r="G316" s="188"/>
      <c r="H316" s="4"/>
      <c r="I316" s="4"/>
      <c r="J316" s="4"/>
      <c r="K316" s="4"/>
      <c r="L316" s="4"/>
      <c r="M316" s="4"/>
      <c r="N316" s="4"/>
      <c r="O316" s="4"/>
      <c r="P316" s="4"/>
      <c r="Q316" s="4"/>
      <c r="R316" s="4"/>
      <c r="S316" s="4"/>
      <c r="T316" s="4"/>
      <c r="U316" s="4"/>
      <c r="V316" s="4"/>
      <c r="W316" s="4"/>
      <c r="X316" s="4"/>
      <c r="Y316" s="4"/>
      <c r="Z316" s="4"/>
    </row>
    <row r="317" ht="14.25" customHeight="1">
      <c r="A317" s="4"/>
      <c r="B317" s="4"/>
      <c r="C317" s="4"/>
      <c r="D317" s="4"/>
      <c r="E317" s="4"/>
      <c r="F317" s="188"/>
      <c r="G317" s="188"/>
      <c r="H317" s="4"/>
      <c r="I317" s="4"/>
      <c r="J317" s="4"/>
      <c r="K317" s="4"/>
      <c r="L317" s="4"/>
      <c r="M317" s="4"/>
      <c r="N317" s="4"/>
      <c r="O317" s="4"/>
      <c r="P317" s="4"/>
      <c r="Q317" s="4"/>
      <c r="R317" s="4"/>
      <c r="S317" s="4"/>
      <c r="T317" s="4"/>
      <c r="U317" s="4"/>
      <c r="V317" s="4"/>
      <c r="W317" s="4"/>
      <c r="X317" s="4"/>
      <c r="Y317" s="4"/>
      <c r="Z317" s="4"/>
    </row>
    <row r="318" ht="14.25" customHeight="1">
      <c r="A318" s="4"/>
      <c r="B318" s="4"/>
      <c r="C318" s="4"/>
      <c r="D318" s="4"/>
      <c r="E318" s="4"/>
      <c r="F318" s="188"/>
      <c r="G318" s="188"/>
      <c r="H318" s="4"/>
      <c r="I318" s="4"/>
      <c r="J318" s="4"/>
      <c r="K318" s="4"/>
      <c r="L318" s="4"/>
      <c r="M318" s="4"/>
      <c r="N318" s="4"/>
      <c r="O318" s="4"/>
      <c r="P318" s="4"/>
      <c r="Q318" s="4"/>
      <c r="R318" s="4"/>
      <c r="S318" s="4"/>
      <c r="T318" s="4"/>
      <c r="U318" s="4"/>
      <c r="V318" s="4"/>
      <c r="W318" s="4"/>
      <c r="X318" s="4"/>
      <c r="Y318" s="4"/>
      <c r="Z318" s="4"/>
    </row>
    <row r="319" ht="14.25" customHeight="1">
      <c r="A319" s="4"/>
      <c r="B319" s="4"/>
      <c r="C319" s="4"/>
      <c r="D319" s="4"/>
      <c r="E319" s="4"/>
      <c r="F319" s="188"/>
      <c r="G319" s="188"/>
      <c r="H319" s="4"/>
      <c r="I319" s="4"/>
      <c r="J319" s="4"/>
      <c r="K319" s="4"/>
      <c r="L319" s="4"/>
      <c r="M319" s="4"/>
      <c r="N319" s="4"/>
      <c r="O319" s="4"/>
      <c r="P319" s="4"/>
      <c r="Q319" s="4"/>
      <c r="R319" s="4"/>
      <c r="S319" s="4"/>
      <c r="T319" s="4"/>
      <c r="U319" s="4"/>
      <c r="V319" s="4"/>
      <c r="W319" s="4"/>
      <c r="X319" s="4"/>
      <c r="Y319" s="4"/>
      <c r="Z319" s="4"/>
    </row>
    <row r="320" ht="14.25" customHeight="1">
      <c r="A320" s="4"/>
      <c r="B320" s="4"/>
      <c r="C320" s="4"/>
      <c r="D320" s="4"/>
      <c r="E320" s="4"/>
      <c r="F320" s="188"/>
      <c r="G320" s="188"/>
      <c r="H320" s="4"/>
      <c r="I320" s="4"/>
      <c r="J320" s="4"/>
      <c r="K320" s="4"/>
      <c r="L320" s="4"/>
      <c r="M320" s="4"/>
      <c r="N320" s="4"/>
      <c r="O320" s="4"/>
      <c r="P320" s="4"/>
      <c r="Q320" s="4"/>
      <c r="R320" s="4"/>
      <c r="S320" s="4"/>
      <c r="T320" s="4"/>
      <c r="U320" s="4"/>
      <c r="V320" s="4"/>
      <c r="W320" s="4"/>
      <c r="X320" s="4"/>
      <c r="Y320" s="4"/>
      <c r="Z320" s="4"/>
    </row>
    <row r="321" ht="14.25" customHeight="1">
      <c r="A321" s="4"/>
      <c r="B321" s="4"/>
      <c r="C321" s="4"/>
      <c r="D321" s="4"/>
      <c r="E321" s="4"/>
      <c r="F321" s="188"/>
      <c r="G321" s="188"/>
      <c r="H321" s="4"/>
      <c r="I321" s="4"/>
      <c r="J321" s="4"/>
      <c r="K321" s="4"/>
      <c r="L321" s="4"/>
      <c r="M321" s="4"/>
      <c r="N321" s="4"/>
      <c r="O321" s="4"/>
      <c r="P321" s="4"/>
      <c r="Q321" s="4"/>
      <c r="R321" s="4"/>
      <c r="S321" s="4"/>
      <c r="T321" s="4"/>
      <c r="U321" s="4"/>
      <c r="V321" s="4"/>
      <c r="W321" s="4"/>
      <c r="X321" s="4"/>
      <c r="Y321" s="4"/>
      <c r="Z321" s="4"/>
    </row>
    <row r="322" ht="14.25" customHeight="1">
      <c r="A322" s="4"/>
      <c r="B322" s="4"/>
      <c r="C322" s="4"/>
      <c r="D322" s="4"/>
      <c r="E322" s="4"/>
      <c r="F322" s="188"/>
      <c r="G322" s="188"/>
      <c r="H322" s="4"/>
      <c r="I322" s="4"/>
      <c r="J322" s="4"/>
      <c r="K322" s="4"/>
      <c r="L322" s="4"/>
      <c r="M322" s="4"/>
      <c r="N322" s="4"/>
      <c r="O322" s="4"/>
      <c r="P322" s="4"/>
      <c r="Q322" s="4"/>
      <c r="R322" s="4"/>
      <c r="S322" s="4"/>
      <c r="T322" s="4"/>
      <c r="U322" s="4"/>
      <c r="V322" s="4"/>
      <c r="W322" s="4"/>
      <c r="X322" s="4"/>
      <c r="Y322" s="4"/>
      <c r="Z322" s="4"/>
    </row>
    <row r="323" ht="14.25" customHeight="1">
      <c r="A323" s="4"/>
      <c r="B323" s="4"/>
      <c r="C323" s="4"/>
      <c r="D323" s="4"/>
      <c r="E323" s="4"/>
      <c r="F323" s="188"/>
      <c r="G323" s="188"/>
      <c r="H323" s="4"/>
      <c r="I323" s="4"/>
      <c r="J323" s="4"/>
      <c r="K323" s="4"/>
      <c r="L323" s="4"/>
      <c r="M323" s="4"/>
      <c r="N323" s="4"/>
      <c r="O323" s="4"/>
      <c r="P323" s="4"/>
      <c r="Q323" s="4"/>
      <c r="R323" s="4"/>
      <c r="S323" s="4"/>
      <c r="T323" s="4"/>
      <c r="U323" s="4"/>
      <c r="V323" s="4"/>
      <c r="W323" s="4"/>
      <c r="X323" s="4"/>
      <c r="Y323" s="4"/>
      <c r="Z323" s="4"/>
    </row>
    <row r="324" ht="14.25" customHeight="1">
      <c r="A324" s="4"/>
      <c r="B324" s="4"/>
      <c r="C324" s="4"/>
      <c r="D324" s="4"/>
      <c r="E324" s="4"/>
      <c r="F324" s="188"/>
      <c r="G324" s="188"/>
      <c r="H324" s="4"/>
      <c r="I324" s="4"/>
      <c r="J324" s="4"/>
      <c r="K324" s="4"/>
      <c r="L324" s="4"/>
      <c r="M324" s="4"/>
      <c r="N324" s="4"/>
      <c r="O324" s="4"/>
      <c r="P324" s="4"/>
      <c r="Q324" s="4"/>
      <c r="R324" s="4"/>
      <c r="S324" s="4"/>
      <c r="T324" s="4"/>
      <c r="U324" s="4"/>
      <c r="V324" s="4"/>
      <c r="W324" s="4"/>
      <c r="X324" s="4"/>
      <c r="Y324" s="4"/>
      <c r="Z324" s="4"/>
    </row>
    <row r="325" ht="14.25" customHeight="1">
      <c r="A325" s="4"/>
      <c r="B325" s="4"/>
      <c r="C325" s="4"/>
      <c r="D325" s="4"/>
      <c r="E325" s="4"/>
      <c r="F325" s="188"/>
      <c r="G325" s="188"/>
      <c r="H325" s="4"/>
      <c r="I325" s="4"/>
      <c r="J325" s="4"/>
      <c r="K325" s="4"/>
      <c r="L325" s="4"/>
      <c r="M325" s="4"/>
      <c r="N325" s="4"/>
      <c r="O325" s="4"/>
      <c r="P325" s="4"/>
      <c r="Q325" s="4"/>
      <c r="R325" s="4"/>
      <c r="S325" s="4"/>
      <c r="T325" s="4"/>
      <c r="U325" s="4"/>
      <c r="V325" s="4"/>
      <c r="W325" s="4"/>
      <c r="X325" s="4"/>
      <c r="Y325" s="4"/>
      <c r="Z325" s="4"/>
    </row>
    <row r="326" ht="14.25" customHeight="1">
      <c r="A326" s="4"/>
      <c r="B326" s="4"/>
      <c r="C326" s="4"/>
      <c r="D326" s="4"/>
      <c r="E326" s="4"/>
      <c r="F326" s="188"/>
      <c r="G326" s="188"/>
      <c r="H326" s="4"/>
      <c r="I326" s="4"/>
      <c r="J326" s="4"/>
      <c r="K326" s="4"/>
      <c r="L326" s="4"/>
      <c r="M326" s="4"/>
      <c r="N326" s="4"/>
      <c r="O326" s="4"/>
      <c r="P326" s="4"/>
      <c r="Q326" s="4"/>
      <c r="R326" s="4"/>
      <c r="S326" s="4"/>
      <c r="T326" s="4"/>
      <c r="U326" s="4"/>
      <c r="V326" s="4"/>
      <c r="W326" s="4"/>
      <c r="X326" s="4"/>
      <c r="Y326" s="4"/>
      <c r="Z326" s="4"/>
    </row>
    <row r="327" ht="14.25" customHeight="1">
      <c r="A327" s="4"/>
      <c r="B327" s="4"/>
      <c r="C327" s="4"/>
      <c r="D327" s="4"/>
      <c r="E327" s="4"/>
      <c r="F327" s="188"/>
      <c r="G327" s="188"/>
      <c r="H327" s="4"/>
      <c r="I327" s="4"/>
      <c r="J327" s="4"/>
      <c r="K327" s="4"/>
      <c r="L327" s="4"/>
      <c r="M327" s="4"/>
      <c r="N327" s="4"/>
      <c r="O327" s="4"/>
      <c r="P327" s="4"/>
      <c r="Q327" s="4"/>
      <c r="R327" s="4"/>
      <c r="S327" s="4"/>
      <c r="T327" s="4"/>
      <c r="U327" s="4"/>
      <c r="V327" s="4"/>
      <c r="W327" s="4"/>
      <c r="X327" s="4"/>
      <c r="Y327" s="4"/>
      <c r="Z327" s="4"/>
    </row>
    <row r="328" ht="14.25" customHeight="1">
      <c r="A328" s="4"/>
      <c r="B328" s="4"/>
      <c r="C328" s="4"/>
      <c r="D328" s="4"/>
      <c r="E328" s="4"/>
      <c r="F328" s="188"/>
      <c r="G328" s="188"/>
      <c r="H328" s="4"/>
      <c r="I328" s="4"/>
      <c r="J328" s="4"/>
      <c r="K328" s="4"/>
      <c r="L328" s="4"/>
      <c r="M328" s="4"/>
      <c r="N328" s="4"/>
      <c r="O328" s="4"/>
      <c r="P328" s="4"/>
      <c r="Q328" s="4"/>
      <c r="R328" s="4"/>
      <c r="S328" s="4"/>
      <c r="T328" s="4"/>
      <c r="U328" s="4"/>
      <c r="V328" s="4"/>
      <c r="W328" s="4"/>
      <c r="X328" s="4"/>
      <c r="Y328" s="4"/>
      <c r="Z328" s="4"/>
    </row>
    <row r="329" ht="14.25" customHeight="1">
      <c r="A329" s="4"/>
      <c r="B329" s="4"/>
      <c r="C329" s="4"/>
      <c r="D329" s="4"/>
      <c r="E329" s="4"/>
      <c r="F329" s="188"/>
      <c r="G329" s="188"/>
      <c r="H329" s="4"/>
      <c r="I329" s="4"/>
      <c r="J329" s="4"/>
      <c r="K329" s="4"/>
      <c r="L329" s="4"/>
      <c r="M329" s="4"/>
      <c r="N329" s="4"/>
      <c r="O329" s="4"/>
      <c r="P329" s="4"/>
      <c r="Q329" s="4"/>
      <c r="R329" s="4"/>
      <c r="S329" s="4"/>
      <c r="T329" s="4"/>
      <c r="U329" s="4"/>
      <c r="V329" s="4"/>
      <c r="W329" s="4"/>
      <c r="X329" s="4"/>
      <c r="Y329" s="4"/>
      <c r="Z329" s="4"/>
    </row>
    <row r="330" ht="14.25" customHeight="1">
      <c r="A330" s="4"/>
      <c r="B330" s="4"/>
      <c r="C330" s="4"/>
      <c r="D330" s="4"/>
      <c r="E330" s="4"/>
      <c r="F330" s="188"/>
      <c r="G330" s="188"/>
      <c r="H330" s="4"/>
      <c r="I330" s="4"/>
      <c r="J330" s="4"/>
      <c r="K330" s="4"/>
      <c r="L330" s="4"/>
      <c r="M330" s="4"/>
      <c r="N330" s="4"/>
      <c r="O330" s="4"/>
      <c r="P330" s="4"/>
      <c r="Q330" s="4"/>
      <c r="R330" s="4"/>
      <c r="S330" s="4"/>
      <c r="T330" s="4"/>
      <c r="U330" s="4"/>
      <c r="V330" s="4"/>
      <c r="W330" s="4"/>
      <c r="X330" s="4"/>
      <c r="Y330" s="4"/>
      <c r="Z330" s="4"/>
    </row>
    <row r="331" ht="14.25" customHeight="1">
      <c r="A331" s="4"/>
      <c r="B331" s="4"/>
      <c r="C331" s="4"/>
      <c r="D331" s="4"/>
      <c r="E331" s="4"/>
      <c r="F331" s="188"/>
      <c r="G331" s="188"/>
      <c r="H331" s="4"/>
      <c r="I331" s="4"/>
      <c r="J331" s="4"/>
      <c r="K331" s="4"/>
      <c r="L331" s="4"/>
      <c r="M331" s="4"/>
      <c r="N331" s="4"/>
      <c r="O331" s="4"/>
      <c r="P331" s="4"/>
      <c r="Q331" s="4"/>
      <c r="R331" s="4"/>
      <c r="S331" s="4"/>
      <c r="T331" s="4"/>
      <c r="U331" s="4"/>
      <c r="V331" s="4"/>
      <c r="W331" s="4"/>
      <c r="X331" s="4"/>
      <c r="Y331" s="4"/>
      <c r="Z331" s="4"/>
    </row>
    <row r="332" ht="14.25" customHeight="1">
      <c r="A332" s="4"/>
      <c r="B332" s="4"/>
      <c r="C332" s="4"/>
      <c r="D332" s="4"/>
      <c r="E332" s="4"/>
      <c r="F332" s="188"/>
      <c r="G332" s="188"/>
      <c r="H332" s="4"/>
      <c r="I332" s="4"/>
      <c r="J332" s="4"/>
      <c r="K332" s="4"/>
      <c r="L332" s="4"/>
      <c r="M332" s="4"/>
      <c r="N332" s="4"/>
      <c r="O332" s="4"/>
      <c r="P332" s="4"/>
      <c r="Q332" s="4"/>
      <c r="R332" s="4"/>
      <c r="S332" s="4"/>
      <c r="T332" s="4"/>
      <c r="U332" s="4"/>
      <c r="V332" s="4"/>
      <c r="W332" s="4"/>
      <c r="X332" s="4"/>
      <c r="Y332" s="4"/>
      <c r="Z332" s="4"/>
    </row>
    <row r="333" ht="14.25" customHeight="1">
      <c r="A333" s="4"/>
      <c r="B333" s="4"/>
      <c r="C333" s="4"/>
      <c r="D333" s="4"/>
      <c r="E333" s="4"/>
      <c r="F333" s="188"/>
      <c r="G333" s="188"/>
      <c r="H333" s="4"/>
      <c r="I333" s="4"/>
      <c r="J333" s="4"/>
      <c r="K333" s="4"/>
      <c r="L333" s="4"/>
      <c r="M333" s="4"/>
      <c r="N333" s="4"/>
      <c r="O333" s="4"/>
      <c r="P333" s="4"/>
      <c r="Q333" s="4"/>
      <c r="R333" s="4"/>
      <c r="S333" s="4"/>
      <c r="T333" s="4"/>
      <c r="U333" s="4"/>
      <c r="V333" s="4"/>
      <c r="W333" s="4"/>
      <c r="X333" s="4"/>
      <c r="Y333" s="4"/>
      <c r="Z333" s="4"/>
    </row>
    <row r="334" ht="14.25" customHeight="1">
      <c r="A334" s="4"/>
      <c r="B334" s="4"/>
      <c r="C334" s="4"/>
      <c r="D334" s="4"/>
      <c r="E334" s="4"/>
      <c r="F334" s="188"/>
      <c r="G334" s="188"/>
      <c r="H334" s="4"/>
      <c r="I334" s="4"/>
      <c r="J334" s="4"/>
      <c r="K334" s="4"/>
      <c r="L334" s="4"/>
      <c r="M334" s="4"/>
      <c r="N334" s="4"/>
      <c r="O334" s="4"/>
      <c r="P334" s="4"/>
      <c r="Q334" s="4"/>
      <c r="R334" s="4"/>
      <c r="S334" s="4"/>
      <c r="T334" s="4"/>
      <c r="U334" s="4"/>
      <c r="V334" s="4"/>
      <c r="W334" s="4"/>
      <c r="X334" s="4"/>
      <c r="Y334" s="4"/>
      <c r="Z334" s="4"/>
    </row>
    <row r="335" ht="14.25" customHeight="1">
      <c r="A335" s="4"/>
      <c r="B335" s="4"/>
      <c r="C335" s="4"/>
      <c r="D335" s="4"/>
      <c r="E335" s="4"/>
      <c r="F335" s="188"/>
      <c r="G335" s="188"/>
      <c r="H335" s="4"/>
      <c r="I335" s="4"/>
      <c r="J335" s="4"/>
      <c r="K335" s="4"/>
      <c r="L335" s="4"/>
      <c r="M335" s="4"/>
      <c r="N335" s="4"/>
      <c r="O335" s="4"/>
      <c r="P335" s="4"/>
      <c r="Q335" s="4"/>
      <c r="R335" s="4"/>
      <c r="S335" s="4"/>
      <c r="T335" s="4"/>
      <c r="U335" s="4"/>
      <c r="V335" s="4"/>
      <c r="W335" s="4"/>
      <c r="X335" s="4"/>
      <c r="Y335" s="4"/>
      <c r="Z335" s="4"/>
    </row>
    <row r="336" ht="14.25" customHeight="1">
      <c r="A336" s="4"/>
      <c r="B336" s="4"/>
      <c r="C336" s="4"/>
      <c r="D336" s="4"/>
      <c r="E336" s="4"/>
      <c r="F336" s="188"/>
      <c r="G336" s="188"/>
      <c r="H336" s="4"/>
      <c r="I336" s="4"/>
      <c r="J336" s="4"/>
      <c r="K336" s="4"/>
      <c r="L336" s="4"/>
      <c r="M336" s="4"/>
      <c r="N336" s="4"/>
      <c r="O336" s="4"/>
      <c r="P336" s="4"/>
      <c r="Q336" s="4"/>
      <c r="R336" s="4"/>
      <c r="S336" s="4"/>
      <c r="T336" s="4"/>
      <c r="U336" s="4"/>
      <c r="V336" s="4"/>
      <c r="W336" s="4"/>
      <c r="X336" s="4"/>
      <c r="Y336" s="4"/>
      <c r="Z336" s="4"/>
    </row>
    <row r="337" ht="14.25" customHeight="1">
      <c r="A337" s="4"/>
      <c r="B337" s="4"/>
      <c r="C337" s="4"/>
      <c r="D337" s="4"/>
      <c r="E337" s="4"/>
      <c r="F337" s="188"/>
      <c r="G337" s="188"/>
      <c r="H337" s="4"/>
      <c r="I337" s="4"/>
      <c r="J337" s="4"/>
      <c r="K337" s="4"/>
      <c r="L337" s="4"/>
      <c r="M337" s="4"/>
      <c r="N337" s="4"/>
      <c r="O337" s="4"/>
      <c r="P337" s="4"/>
      <c r="Q337" s="4"/>
      <c r="R337" s="4"/>
      <c r="S337" s="4"/>
      <c r="T337" s="4"/>
      <c r="U337" s="4"/>
      <c r="V337" s="4"/>
      <c r="W337" s="4"/>
      <c r="X337" s="4"/>
      <c r="Y337" s="4"/>
      <c r="Z337" s="4"/>
    </row>
    <row r="338" ht="14.25" customHeight="1">
      <c r="A338" s="4"/>
      <c r="B338" s="4"/>
      <c r="C338" s="4"/>
      <c r="D338" s="4"/>
      <c r="E338" s="4"/>
      <c r="F338" s="188"/>
      <c r="G338" s="188"/>
      <c r="H338" s="4"/>
      <c r="I338" s="4"/>
      <c r="J338" s="4"/>
      <c r="K338" s="4"/>
      <c r="L338" s="4"/>
      <c r="M338" s="4"/>
      <c r="N338" s="4"/>
      <c r="O338" s="4"/>
      <c r="P338" s="4"/>
      <c r="Q338" s="4"/>
      <c r="R338" s="4"/>
      <c r="S338" s="4"/>
      <c r="T338" s="4"/>
      <c r="U338" s="4"/>
      <c r="V338" s="4"/>
      <c r="W338" s="4"/>
      <c r="X338" s="4"/>
      <c r="Y338" s="4"/>
      <c r="Z338" s="4"/>
    </row>
    <row r="339" ht="14.25" customHeight="1">
      <c r="A339" s="4"/>
      <c r="B339" s="4"/>
      <c r="C339" s="4"/>
      <c r="D339" s="4"/>
      <c r="E339" s="4"/>
      <c r="F339" s="188"/>
      <c r="G339" s="188"/>
      <c r="H339" s="4"/>
      <c r="I339" s="4"/>
      <c r="J339" s="4"/>
      <c r="K339" s="4"/>
      <c r="L339" s="4"/>
      <c r="M339" s="4"/>
      <c r="N339" s="4"/>
      <c r="O339" s="4"/>
      <c r="P339" s="4"/>
      <c r="Q339" s="4"/>
      <c r="R339" s="4"/>
      <c r="S339" s="4"/>
      <c r="T339" s="4"/>
      <c r="U339" s="4"/>
      <c r="V339" s="4"/>
      <c r="W339" s="4"/>
      <c r="X339" s="4"/>
      <c r="Y339" s="4"/>
      <c r="Z339" s="4"/>
    </row>
    <row r="340" ht="14.25" customHeight="1">
      <c r="A340" s="4"/>
      <c r="B340" s="4"/>
      <c r="C340" s="4"/>
      <c r="D340" s="4"/>
      <c r="E340" s="4"/>
      <c r="F340" s="188"/>
      <c r="G340" s="188"/>
      <c r="H340" s="4"/>
      <c r="I340" s="4"/>
      <c r="J340" s="4"/>
      <c r="K340" s="4"/>
      <c r="L340" s="4"/>
      <c r="M340" s="4"/>
      <c r="N340" s="4"/>
      <c r="O340" s="4"/>
      <c r="P340" s="4"/>
      <c r="Q340" s="4"/>
      <c r="R340" s="4"/>
      <c r="S340" s="4"/>
      <c r="T340" s="4"/>
      <c r="U340" s="4"/>
      <c r="V340" s="4"/>
      <c r="W340" s="4"/>
      <c r="X340" s="4"/>
      <c r="Y340" s="4"/>
      <c r="Z340" s="4"/>
    </row>
    <row r="341" ht="14.25" customHeight="1">
      <c r="A341" s="4"/>
      <c r="B341" s="4"/>
      <c r="C341" s="4"/>
      <c r="D341" s="4"/>
      <c r="E341" s="4"/>
      <c r="F341" s="188"/>
      <c r="G341" s="188"/>
      <c r="H341" s="4"/>
      <c r="I341" s="4"/>
      <c r="J341" s="4"/>
      <c r="K341" s="4"/>
      <c r="L341" s="4"/>
      <c r="M341" s="4"/>
      <c r="N341" s="4"/>
      <c r="O341" s="4"/>
      <c r="P341" s="4"/>
      <c r="Q341" s="4"/>
      <c r="R341" s="4"/>
      <c r="S341" s="4"/>
      <c r="T341" s="4"/>
      <c r="U341" s="4"/>
      <c r="V341" s="4"/>
      <c r="W341" s="4"/>
      <c r="X341" s="4"/>
      <c r="Y341" s="4"/>
      <c r="Z341" s="4"/>
    </row>
    <row r="342" ht="14.25" customHeight="1">
      <c r="A342" s="4"/>
      <c r="B342" s="4"/>
      <c r="C342" s="4"/>
      <c r="D342" s="4"/>
      <c r="E342" s="4"/>
      <c r="F342" s="188"/>
      <c r="G342" s="188"/>
      <c r="H342" s="4"/>
      <c r="I342" s="4"/>
      <c r="J342" s="4"/>
      <c r="K342" s="4"/>
      <c r="L342" s="4"/>
      <c r="M342" s="4"/>
      <c r="N342" s="4"/>
      <c r="O342" s="4"/>
      <c r="P342" s="4"/>
      <c r="Q342" s="4"/>
      <c r="R342" s="4"/>
      <c r="S342" s="4"/>
      <c r="T342" s="4"/>
      <c r="U342" s="4"/>
      <c r="V342" s="4"/>
      <c r="W342" s="4"/>
      <c r="X342" s="4"/>
      <c r="Y342" s="4"/>
      <c r="Z342" s="4"/>
    </row>
    <row r="343" ht="14.25" customHeight="1">
      <c r="A343" s="4"/>
      <c r="B343" s="4"/>
      <c r="C343" s="4"/>
      <c r="D343" s="4"/>
      <c r="E343" s="4"/>
      <c r="F343" s="188"/>
      <c r="G343" s="188"/>
      <c r="H343" s="4"/>
      <c r="I343" s="4"/>
      <c r="J343" s="4"/>
      <c r="K343" s="4"/>
      <c r="L343" s="4"/>
      <c r="M343" s="4"/>
      <c r="N343" s="4"/>
      <c r="O343" s="4"/>
      <c r="P343" s="4"/>
      <c r="Q343" s="4"/>
      <c r="R343" s="4"/>
      <c r="S343" s="4"/>
      <c r="T343" s="4"/>
      <c r="U343" s="4"/>
      <c r="V343" s="4"/>
      <c r="W343" s="4"/>
      <c r="X343" s="4"/>
      <c r="Y343" s="4"/>
      <c r="Z343" s="4"/>
    </row>
    <row r="344" ht="14.25" customHeight="1">
      <c r="A344" s="4"/>
      <c r="B344" s="4"/>
      <c r="C344" s="4"/>
      <c r="D344" s="4"/>
      <c r="E344" s="4"/>
      <c r="F344" s="188"/>
      <c r="G344" s="188"/>
      <c r="H344" s="4"/>
      <c r="I344" s="4"/>
      <c r="J344" s="4"/>
      <c r="K344" s="4"/>
      <c r="L344" s="4"/>
      <c r="M344" s="4"/>
      <c r="N344" s="4"/>
      <c r="O344" s="4"/>
      <c r="P344" s="4"/>
      <c r="Q344" s="4"/>
      <c r="R344" s="4"/>
      <c r="S344" s="4"/>
      <c r="T344" s="4"/>
      <c r="U344" s="4"/>
      <c r="V344" s="4"/>
      <c r="W344" s="4"/>
      <c r="X344" s="4"/>
      <c r="Y344" s="4"/>
      <c r="Z344" s="4"/>
    </row>
    <row r="345" ht="14.25" customHeight="1">
      <c r="A345" s="4"/>
      <c r="B345" s="4"/>
      <c r="C345" s="4"/>
      <c r="D345" s="4"/>
      <c r="E345" s="4"/>
      <c r="F345" s="188"/>
      <c r="G345" s="188"/>
      <c r="H345" s="4"/>
      <c r="I345" s="4"/>
      <c r="J345" s="4"/>
      <c r="K345" s="4"/>
      <c r="L345" s="4"/>
      <c r="M345" s="4"/>
      <c r="N345" s="4"/>
      <c r="O345" s="4"/>
      <c r="P345" s="4"/>
      <c r="Q345" s="4"/>
      <c r="R345" s="4"/>
      <c r="S345" s="4"/>
      <c r="T345" s="4"/>
      <c r="U345" s="4"/>
      <c r="V345" s="4"/>
      <c r="W345" s="4"/>
      <c r="X345" s="4"/>
      <c r="Y345" s="4"/>
      <c r="Z345" s="4"/>
    </row>
    <row r="346" ht="14.25" customHeight="1">
      <c r="A346" s="4"/>
      <c r="B346" s="4"/>
      <c r="C346" s="4"/>
      <c r="D346" s="4"/>
      <c r="E346" s="4"/>
      <c r="F346" s="188"/>
      <c r="G346" s="188"/>
      <c r="H346" s="4"/>
      <c r="I346" s="4"/>
      <c r="J346" s="4"/>
      <c r="K346" s="4"/>
      <c r="L346" s="4"/>
      <c r="M346" s="4"/>
      <c r="N346" s="4"/>
      <c r="O346" s="4"/>
      <c r="P346" s="4"/>
      <c r="Q346" s="4"/>
      <c r="R346" s="4"/>
      <c r="S346" s="4"/>
      <c r="T346" s="4"/>
      <c r="U346" s="4"/>
      <c r="V346" s="4"/>
      <c r="W346" s="4"/>
      <c r="X346" s="4"/>
      <c r="Y346" s="4"/>
      <c r="Z346" s="4"/>
    </row>
    <row r="347" ht="14.25" customHeight="1">
      <c r="A347" s="4"/>
      <c r="B347" s="4"/>
      <c r="C347" s="4"/>
      <c r="D347" s="4"/>
      <c r="E347" s="4"/>
      <c r="F347" s="188"/>
      <c r="G347" s="188"/>
      <c r="H347" s="4"/>
      <c r="I347" s="4"/>
      <c r="J347" s="4"/>
      <c r="K347" s="4"/>
      <c r="L347" s="4"/>
      <c r="M347" s="4"/>
      <c r="N347" s="4"/>
      <c r="O347" s="4"/>
      <c r="P347" s="4"/>
      <c r="Q347" s="4"/>
      <c r="R347" s="4"/>
      <c r="S347" s="4"/>
      <c r="T347" s="4"/>
      <c r="U347" s="4"/>
      <c r="V347" s="4"/>
      <c r="W347" s="4"/>
      <c r="X347" s="4"/>
      <c r="Y347" s="4"/>
      <c r="Z347" s="4"/>
    </row>
    <row r="348" ht="14.25" customHeight="1">
      <c r="A348" s="4"/>
      <c r="B348" s="4"/>
      <c r="C348" s="4"/>
      <c r="D348" s="4"/>
      <c r="E348" s="4"/>
      <c r="F348" s="188"/>
      <c r="G348" s="188"/>
      <c r="H348" s="4"/>
      <c r="I348" s="4"/>
      <c r="J348" s="4"/>
      <c r="K348" s="4"/>
      <c r="L348" s="4"/>
      <c r="M348" s="4"/>
      <c r="N348" s="4"/>
      <c r="O348" s="4"/>
      <c r="P348" s="4"/>
      <c r="Q348" s="4"/>
      <c r="R348" s="4"/>
      <c r="S348" s="4"/>
      <c r="T348" s="4"/>
      <c r="U348" s="4"/>
      <c r="V348" s="4"/>
      <c r="W348" s="4"/>
      <c r="X348" s="4"/>
      <c r="Y348" s="4"/>
      <c r="Z348" s="4"/>
    </row>
    <row r="349" ht="14.25" customHeight="1">
      <c r="A349" s="4"/>
      <c r="B349" s="4"/>
      <c r="C349" s="4"/>
      <c r="D349" s="4"/>
      <c r="E349" s="4"/>
      <c r="F349" s="188"/>
      <c r="G349" s="188"/>
      <c r="H349" s="4"/>
      <c r="I349" s="4"/>
      <c r="J349" s="4"/>
      <c r="K349" s="4"/>
      <c r="L349" s="4"/>
      <c r="M349" s="4"/>
      <c r="N349" s="4"/>
      <c r="O349" s="4"/>
      <c r="P349" s="4"/>
      <c r="Q349" s="4"/>
      <c r="R349" s="4"/>
      <c r="S349" s="4"/>
      <c r="T349" s="4"/>
      <c r="U349" s="4"/>
      <c r="V349" s="4"/>
      <c r="W349" s="4"/>
      <c r="X349" s="4"/>
      <c r="Y349" s="4"/>
      <c r="Z349" s="4"/>
    </row>
    <row r="350" ht="14.25" customHeight="1">
      <c r="A350" s="4"/>
      <c r="B350" s="4"/>
      <c r="C350" s="4"/>
      <c r="D350" s="4"/>
      <c r="E350" s="4"/>
      <c r="F350" s="188"/>
      <c r="G350" s="188"/>
      <c r="H350" s="4"/>
      <c r="I350" s="4"/>
      <c r="J350" s="4"/>
      <c r="K350" s="4"/>
      <c r="L350" s="4"/>
      <c r="M350" s="4"/>
      <c r="N350" s="4"/>
      <c r="O350" s="4"/>
      <c r="P350" s="4"/>
      <c r="Q350" s="4"/>
      <c r="R350" s="4"/>
      <c r="S350" s="4"/>
      <c r="T350" s="4"/>
      <c r="U350" s="4"/>
      <c r="V350" s="4"/>
      <c r="W350" s="4"/>
      <c r="X350" s="4"/>
      <c r="Y350" s="4"/>
      <c r="Z350" s="4"/>
    </row>
    <row r="351" ht="14.25" customHeight="1">
      <c r="A351" s="4"/>
      <c r="B351" s="4"/>
      <c r="C351" s="4"/>
      <c r="D351" s="4"/>
      <c r="E351" s="4"/>
      <c r="F351" s="188"/>
      <c r="G351" s="188"/>
      <c r="H351" s="4"/>
      <c r="I351" s="4"/>
      <c r="J351" s="4"/>
      <c r="K351" s="4"/>
      <c r="L351" s="4"/>
      <c r="M351" s="4"/>
      <c r="N351" s="4"/>
      <c r="O351" s="4"/>
      <c r="P351" s="4"/>
      <c r="Q351" s="4"/>
      <c r="R351" s="4"/>
      <c r="S351" s="4"/>
      <c r="T351" s="4"/>
      <c r="U351" s="4"/>
      <c r="V351" s="4"/>
      <c r="W351" s="4"/>
      <c r="X351" s="4"/>
      <c r="Y351" s="4"/>
      <c r="Z351" s="4"/>
    </row>
    <row r="352" ht="14.25" customHeight="1">
      <c r="A352" s="4"/>
      <c r="B352" s="4"/>
      <c r="C352" s="4"/>
      <c r="D352" s="4"/>
      <c r="E352" s="4"/>
      <c r="F352" s="188"/>
      <c r="G352" s="188"/>
      <c r="H352" s="4"/>
      <c r="I352" s="4"/>
      <c r="J352" s="4"/>
      <c r="K352" s="4"/>
      <c r="L352" s="4"/>
      <c r="M352" s="4"/>
      <c r="N352" s="4"/>
      <c r="O352" s="4"/>
      <c r="P352" s="4"/>
      <c r="Q352" s="4"/>
      <c r="R352" s="4"/>
      <c r="S352" s="4"/>
      <c r="T352" s="4"/>
      <c r="U352" s="4"/>
      <c r="V352" s="4"/>
      <c r="W352" s="4"/>
      <c r="X352" s="4"/>
      <c r="Y352" s="4"/>
      <c r="Z352" s="4"/>
    </row>
    <row r="353" ht="14.25" customHeight="1">
      <c r="A353" s="4"/>
      <c r="B353" s="4"/>
      <c r="C353" s="4"/>
      <c r="D353" s="4"/>
      <c r="E353" s="4"/>
      <c r="F353" s="188"/>
      <c r="G353" s="188"/>
      <c r="H353" s="4"/>
      <c r="I353" s="4"/>
      <c r="J353" s="4"/>
      <c r="K353" s="4"/>
      <c r="L353" s="4"/>
      <c r="M353" s="4"/>
      <c r="N353" s="4"/>
      <c r="O353" s="4"/>
      <c r="P353" s="4"/>
      <c r="Q353" s="4"/>
      <c r="R353" s="4"/>
      <c r="S353" s="4"/>
      <c r="T353" s="4"/>
      <c r="U353" s="4"/>
      <c r="V353" s="4"/>
      <c r="W353" s="4"/>
      <c r="X353" s="4"/>
      <c r="Y353" s="4"/>
      <c r="Z353" s="4"/>
    </row>
    <row r="354" ht="14.25" customHeight="1">
      <c r="A354" s="4"/>
      <c r="B354" s="4"/>
      <c r="C354" s="4"/>
      <c r="D354" s="4"/>
      <c r="E354" s="4"/>
      <c r="F354" s="188"/>
      <c r="G354" s="188"/>
      <c r="H354" s="4"/>
      <c r="I354" s="4"/>
      <c r="J354" s="4"/>
      <c r="K354" s="4"/>
      <c r="L354" s="4"/>
      <c r="M354" s="4"/>
      <c r="N354" s="4"/>
      <c r="O354" s="4"/>
      <c r="P354" s="4"/>
      <c r="Q354" s="4"/>
      <c r="R354" s="4"/>
      <c r="S354" s="4"/>
      <c r="T354" s="4"/>
      <c r="U354" s="4"/>
      <c r="V354" s="4"/>
      <c r="W354" s="4"/>
      <c r="X354" s="4"/>
      <c r="Y354" s="4"/>
      <c r="Z354" s="4"/>
    </row>
    <row r="355" ht="14.25" customHeight="1">
      <c r="A355" s="4"/>
      <c r="B355" s="4"/>
      <c r="C355" s="4"/>
      <c r="D355" s="4"/>
      <c r="E355" s="4"/>
      <c r="F355" s="188"/>
      <c r="G355" s="188"/>
      <c r="H355" s="4"/>
      <c r="I355" s="4"/>
      <c r="J355" s="4"/>
      <c r="K355" s="4"/>
      <c r="L355" s="4"/>
      <c r="M355" s="4"/>
      <c r="N355" s="4"/>
      <c r="O355" s="4"/>
      <c r="P355" s="4"/>
      <c r="Q355" s="4"/>
      <c r="R355" s="4"/>
      <c r="S355" s="4"/>
      <c r="T355" s="4"/>
      <c r="U355" s="4"/>
      <c r="V355" s="4"/>
      <c r="W355" s="4"/>
      <c r="X355" s="4"/>
      <c r="Y355" s="4"/>
      <c r="Z355" s="4"/>
    </row>
    <row r="356" ht="14.25" customHeight="1">
      <c r="A356" s="4"/>
      <c r="B356" s="4"/>
      <c r="C356" s="4"/>
      <c r="D356" s="4"/>
      <c r="E356" s="4"/>
      <c r="F356" s="188"/>
      <c r="G356" s="188"/>
      <c r="H356" s="4"/>
      <c r="I356" s="4"/>
      <c r="J356" s="4"/>
      <c r="K356" s="4"/>
      <c r="L356" s="4"/>
      <c r="M356" s="4"/>
      <c r="N356" s="4"/>
      <c r="O356" s="4"/>
      <c r="P356" s="4"/>
      <c r="Q356" s="4"/>
      <c r="R356" s="4"/>
      <c r="S356" s="4"/>
      <c r="T356" s="4"/>
      <c r="U356" s="4"/>
      <c r="V356" s="4"/>
      <c r="W356" s="4"/>
      <c r="X356" s="4"/>
      <c r="Y356" s="4"/>
      <c r="Z356" s="4"/>
    </row>
    <row r="357" ht="14.25" customHeight="1">
      <c r="A357" s="4"/>
      <c r="B357" s="4"/>
      <c r="C357" s="4"/>
      <c r="D357" s="4"/>
      <c r="E357" s="4"/>
      <c r="F357" s="188"/>
      <c r="G357" s="188"/>
      <c r="H357" s="4"/>
      <c r="I357" s="4"/>
      <c r="J357" s="4"/>
      <c r="K357" s="4"/>
      <c r="L357" s="4"/>
      <c r="M357" s="4"/>
      <c r="N357" s="4"/>
      <c r="O357" s="4"/>
      <c r="P357" s="4"/>
      <c r="Q357" s="4"/>
      <c r="R357" s="4"/>
      <c r="S357" s="4"/>
      <c r="T357" s="4"/>
      <c r="U357" s="4"/>
      <c r="V357" s="4"/>
      <c r="W357" s="4"/>
      <c r="X357" s="4"/>
      <c r="Y357" s="4"/>
      <c r="Z357" s="4"/>
    </row>
    <row r="358" ht="14.25" customHeight="1">
      <c r="A358" s="4"/>
      <c r="B358" s="4"/>
      <c r="C358" s="4"/>
      <c r="D358" s="4"/>
      <c r="E358" s="4"/>
      <c r="F358" s="188"/>
      <c r="G358" s="188"/>
      <c r="H358" s="4"/>
      <c r="I358" s="4"/>
      <c r="J358" s="4"/>
      <c r="K358" s="4"/>
      <c r="L358" s="4"/>
      <c r="M358" s="4"/>
      <c r="N358" s="4"/>
      <c r="O358" s="4"/>
      <c r="P358" s="4"/>
      <c r="Q358" s="4"/>
      <c r="R358" s="4"/>
      <c r="S358" s="4"/>
      <c r="T358" s="4"/>
      <c r="U358" s="4"/>
      <c r="V358" s="4"/>
      <c r="W358" s="4"/>
      <c r="X358" s="4"/>
      <c r="Y358" s="4"/>
      <c r="Z358" s="4"/>
    </row>
    <row r="359" ht="14.25" customHeight="1">
      <c r="A359" s="4"/>
      <c r="B359" s="4"/>
      <c r="C359" s="4"/>
      <c r="D359" s="4"/>
      <c r="E359" s="4"/>
      <c r="F359" s="188"/>
      <c r="G359" s="188"/>
      <c r="H359" s="4"/>
      <c r="I359" s="4"/>
      <c r="J359" s="4"/>
      <c r="K359" s="4"/>
      <c r="L359" s="4"/>
      <c r="M359" s="4"/>
      <c r="N359" s="4"/>
      <c r="O359" s="4"/>
      <c r="P359" s="4"/>
      <c r="Q359" s="4"/>
      <c r="R359" s="4"/>
      <c r="S359" s="4"/>
      <c r="T359" s="4"/>
      <c r="U359" s="4"/>
      <c r="V359" s="4"/>
      <c r="W359" s="4"/>
      <c r="X359" s="4"/>
      <c r="Y359" s="4"/>
      <c r="Z359" s="4"/>
    </row>
    <row r="360" ht="14.25" customHeight="1">
      <c r="A360" s="4"/>
      <c r="B360" s="4"/>
      <c r="C360" s="4"/>
      <c r="D360" s="4"/>
      <c r="E360" s="4"/>
      <c r="F360" s="188"/>
      <c r="G360" s="188"/>
      <c r="H360" s="4"/>
      <c r="I360" s="4"/>
      <c r="J360" s="4"/>
      <c r="K360" s="4"/>
      <c r="L360" s="4"/>
      <c r="M360" s="4"/>
      <c r="N360" s="4"/>
      <c r="O360" s="4"/>
      <c r="P360" s="4"/>
      <c r="Q360" s="4"/>
      <c r="R360" s="4"/>
      <c r="S360" s="4"/>
      <c r="T360" s="4"/>
      <c r="U360" s="4"/>
      <c r="V360" s="4"/>
      <c r="W360" s="4"/>
      <c r="X360" s="4"/>
      <c r="Y360" s="4"/>
      <c r="Z360" s="4"/>
    </row>
    <row r="361" ht="14.25" customHeight="1">
      <c r="A361" s="4"/>
      <c r="B361" s="4"/>
      <c r="C361" s="4"/>
      <c r="D361" s="4"/>
      <c r="E361" s="4"/>
      <c r="F361" s="188"/>
      <c r="G361" s="188"/>
      <c r="H361" s="4"/>
      <c r="I361" s="4"/>
      <c r="J361" s="4"/>
      <c r="K361" s="4"/>
      <c r="L361" s="4"/>
      <c r="M361" s="4"/>
      <c r="N361" s="4"/>
      <c r="O361" s="4"/>
      <c r="P361" s="4"/>
      <c r="Q361" s="4"/>
      <c r="R361" s="4"/>
      <c r="S361" s="4"/>
      <c r="T361" s="4"/>
      <c r="U361" s="4"/>
      <c r="V361" s="4"/>
      <c r="W361" s="4"/>
      <c r="X361" s="4"/>
      <c r="Y361" s="4"/>
      <c r="Z361" s="4"/>
    </row>
    <row r="362" ht="14.25" customHeight="1">
      <c r="A362" s="4"/>
      <c r="B362" s="4"/>
      <c r="C362" s="4"/>
      <c r="D362" s="4"/>
      <c r="E362" s="4"/>
      <c r="F362" s="188"/>
      <c r="G362" s="188"/>
      <c r="H362" s="4"/>
      <c r="I362" s="4"/>
      <c r="J362" s="4"/>
      <c r="K362" s="4"/>
      <c r="L362" s="4"/>
      <c r="M362" s="4"/>
      <c r="N362" s="4"/>
      <c r="O362" s="4"/>
      <c r="P362" s="4"/>
      <c r="Q362" s="4"/>
      <c r="R362" s="4"/>
      <c r="S362" s="4"/>
      <c r="T362" s="4"/>
      <c r="U362" s="4"/>
      <c r="V362" s="4"/>
      <c r="W362" s="4"/>
      <c r="X362" s="4"/>
      <c r="Y362" s="4"/>
      <c r="Z362" s="4"/>
    </row>
    <row r="363" ht="14.25" customHeight="1">
      <c r="A363" s="4"/>
      <c r="B363" s="4"/>
      <c r="C363" s="4"/>
      <c r="D363" s="4"/>
      <c r="E363" s="4"/>
      <c r="F363" s="188"/>
      <c r="G363" s="188"/>
      <c r="H363" s="4"/>
      <c r="I363" s="4"/>
      <c r="J363" s="4"/>
      <c r="K363" s="4"/>
      <c r="L363" s="4"/>
      <c r="M363" s="4"/>
      <c r="N363" s="4"/>
      <c r="O363" s="4"/>
      <c r="P363" s="4"/>
      <c r="Q363" s="4"/>
      <c r="R363" s="4"/>
      <c r="S363" s="4"/>
      <c r="T363" s="4"/>
      <c r="U363" s="4"/>
      <c r="V363" s="4"/>
      <c r="W363" s="4"/>
      <c r="X363" s="4"/>
      <c r="Y363" s="4"/>
      <c r="Z363" s="4"/>
    </row>
    <row r="364" ht="14.25" customHeight="1">
      <c r="A364" s="4"/>
      <c r="B364" s="4"/>
      <c r="C364" s="4"/>
      <c r="D364" s="4"/>
      <c r="E364" s="4"/>
      <c r="F364" s="188"/>
      <c r="G364" s="188"/>
      <c r="H364" s="4"/>
      <c r="I364" s="4"/>
      <c r="J364" s="4"/>
      <c r="K364" s="4"/>
      <c r="L364" s="4"/>
      <c r="M364" s="4"/>
      <c r="N364" s="4"/>
      <c r="O364" s="4"/>
      <c r="P364" s="4"/>
      <c r="Q364" s="4"/>
      <c r="R364" s="4"/>
      <c r="S364" s="4"/>
      <c r="T364" s="4"/>
      <c r="U364" s="4"/>
      <c r="V364" s="4"/>
      <c r="W364" s="4"/>
      <c r="X364" s="4"/>
      <c r="Y364" s="4"/>
      <c r="Z364" s="4"/>
    </row>
    <row r="365" ht="14.25" customHeight="1">
      <c r="A365" s="4"/>
      <c r="B365" s="4"/>
      <c r="C365" s="4"/>
      <c r="D365" s="4"/>
      <c r="E365" s="4"/>
      <c r="F365" s="188"/>
      <c r="G365" s="188"/>
      <c r="H365" s="4"/>
      <c r="I365" s="4"/>
      <c r="J365" s="4"/>
      <c r="K365" s="4"/>
      <c r="L365" s="4"/>
      <c r="M365" s="4"/>
      <c r="N365" s="4"/>
      <c r="O365" s="4"/>
      <c r="P365" s="4"/>
      <c r="Q365" s="4"/>
      <c r="R365" s="4"/>
      <c r="S365" s="4"/>
      <c r="T365" s="4"/>
      <c r="U365" s="4"/>
      <c r="V365" s="4"/>
      <c r="W365" s="4"/>
      <c r="X365" s="4"/>
      <c r="Y365" s="4"/>
      <c r="Z365" s="4"/>
    </row>
    <row r="366" ht="14.25" customHeight="1">
      <c r="A366" s="4"/>
      <c r="B366" s="4"/>
      <c r="C366" s="4"/>
      <c r="D366" s="4"/>
      <c r="E366" s="4"/>
      <c r="F366" s="188"/>
      <c r="G366" s="188"/>
      <c r="H366" s="4"/>
      <c r="I366" s="4"/>
      <c r="J366" s="4"/>
      <c r="K366" s="4"/>
      <c r="L366" s="4"/>
      <c r="M366" s="4"/>
      <c r="N366" s="4"/>
      <c r="O366" s="4"/>
      <c r="P366" s="4"/>
      <c r="Q366" s="4"/>
      <c r="R366" s="4"/>
      <c r="S366" s="4"/>
      <c r="T366" s="4"/>
      <c r="U366" s="4"/>
      <c r="V366" s="4"/>
      <c r="W366" s="4"/>
      <c r="X366" s="4"/>
      <c r="Y366" s="4"/>
      <c r="Z366" s="4"/>
    </row>
    <row r="367" ht="14.25" customHeight="1">
      <c r="A367" s="4"/>
      <c r="B367" s="4"/>
      <c r="C367" s="4"/>
      <c r="D367" s="4"/>
      <c r="E367" s="4"/>
      <c r="F367" s="188"/>
      <c r="G367" s="188"/>
      <c r="H367" s="4"/>
      <c r="I367" s="4"/>
      <c r="J367" s="4"/>
      <c r="K367" s="4"/>
      <c r="L367" s="4"/>
      <c r="M367" s="4"/>
      <c r="N367" s="4"/>
      <c r="O367" s="4"/>
      <c r="P367" s="4"/>
      <c r="Q367" s="4"/>
      <c r="R367" s="4"/>
      <c r="S367" s="4"/>
      <c r="T367" s="4"/>
      <c r="U367" s="4"/>
      <c r="V367" s="4"/>
      <c r="W367" s="4"/>
      <c r="X367" s="4"/>
      <c r="Y367" s="4"/>
      <c r="Z367" s="4"/>
    </row>
    <row r="368" ht="14.25" customHeight="1">
      <c r="A368" s="4"/>
      <c r="B368" s="4"/>
      <c r="C368" s="4"/>
      <c r="D368" s="4"/>
      <c r="E368" s="4"/>
      <c r="F368" s="188"/>
      <c r="G368" s="188"/>
      <c r="H368" s="4"/>
      <c r="I368" s="4"/>
      <c r="J368" s="4"/>
      <c r="K368" s="4"/>
      <c r="L368" s="4"/>
      <c r="M368" s="4"/>
      <c r="N368" s="4"/>
      <c r="O368" s="4"/>
      <c r="P368" s="4"/>
      <c r="Q368" s="4"/>
      <c r="R368" s="4"/>
      <c r="S368" s="4"/>
      <c r="T368" s="4"/>
      <c r="U368" s="4"/>
      <c r="V368" s="4"/>
      <c r="W368" s="4"/>
      <c r="X368" s="4"/>
      <c r="Y368" s="4"/>
      <c r="Z368" s="4"/>
    </row>
    <row r="369" ht="14.25" customHeight="1">
      <c r="A369" s="4"/>
      <c r="B369" s="4"/>
      <c r="C369" s="4"/>
      <c r="D369" s="4"/>
      <c r="E369" s="4"/>
      <c r="F369" s="188"/>
      <c r="G369" s="188"/>
      <c r="H369" s="4"/>
      <c r="I369" s="4"/>
      <c r="J369" s="4"/>
      <c r="K369" s="4"/>
      <c r="L369" s="4"/>
      <c r="M369" s="4"/>
      <c r="N369" s="4"/>
      <c r="O369" s="4"/>
      <c r="P369" s="4"/>
      <c r="Q369" s="4"/>
      <c r="R369" s="4"/>
      <c r="S369" s="4"/>
      <c r="T369" s="4"/>
      <c r="U369" s="4"/>
      <c r="V369" s="4"/>
      <c r="W369" s="4"/>
      <c r="X369" s="4"/>
      <c r="Y369" s="4"/>
      <c r="Z369" s="4"/>
    </row>
    <row r="370" ht="14.25" customHeight="1">
      <c r="A370" s="4"/>
      <c r="B370" s="4"/>
      <c r="C370" s="4"/>
      <c r="D370" s="4"/>
      <c r="E370" s="4"/>
      <c r="F370" s="188"/>
      <c r="G370" s="188"/>
      <c r="H370" s="4"/>
      <c r="I370" s="4"/>
      <c r="J370" s="4"/>
      <c r="K370" s="4"/>
      <c r="L370" s="4"/>
      <c r="M370" s="4"/>
      <c r="N370" s="4"/>
      <c r="O370" s="4"/>
      <c r="P370" s="4"/>
      <c r="Q370" s="4"/>
      <c r="R370" s="4"/>
      <c r="S370" s="4"/>
      <c r="T370" s="4"/>
      <c r="U370" s="4"/>
      <c r="V370" s="4"/>
      <c r="W370" s="4"/>
      <c r="X370" s="4"/>
      <c r="Y370" s="4"/>
      <c r="Z370" s="4"/>
    </row>
    <row r="371" ht="14.25" customHeight="1">
      <c r="A371" s="4"/>
      <c r="B371" s="4"/>
      <c r="C371" s="4"/>
      <c r="D371" s="4"/>
      <c r="E371" s="4"/>
      <c r="F371" s="188"/>
      <c r="G371" s="188"/>
      <c r="H371" s="4"/>
      <c r="I371" s="4"/>
      <c r="J371" s="4"/>
      <c r="K371" s="4"/>
      <c r="L371" s="4"/>
      <c r="M371" s="4"/>
      <c r="N371" s="4"/>
      <c r="O371" s="4"/>
      <c r="P371" s="4"/>
      <c r="Q371" s="4"/>
      <c r="R371" s="4"/>
      <c r="S371" s="4"/>
      <c r="T371" s="4"/>
      <c r="U371" s="4"/>
      <c r="V371" s="4"/>
      <c r="W371" s="4"/>
      <c r="X371" s="4"/>
      <c r="Y371" s="4"/>
      <c r="Z371" s="4"/>
    </row>
    <row r="372" ht="14.25" customHeight="1">
      <c r="A372" s="4"/>
      <c r="B372" s="4"/>
      <c r="C372" s="4"/>
      <c r="D372" s="4"/>
      <c r="E372" s="4"/>
      <c r="F372" s="188"/>
      <c r="G372" s="188"/>
      <c r="H372" s="4"/>
      <c r="I372" s="4"/>
      <c r="J372" s="4"/>
      <c r="K372" s="4"/>
      <c r="L372" s="4"/>
      <c r="M372" s="4"/>
      <c r="N372" s="4"/>
      <c r="O372" s="4"/>
      <c r="P372" s="4"/>
      <c r="Q372" s="4"/>
      <c r="R372" s="4"/>
      <c r="S372" s="4"/>
      <c r="T372" s="4"/>
      <c r="U372" s="4"/>
      <c r="V372" s="4"/>
      <c r="W372" s="4"/>
      <c r="X372" s="4"/>
      <c r="Y372" s="4"/>
      <c r="Z372" s="4"/>
    </row>
    <row r="373" ht="14.25" customHeight="1">
      <c r="A373" s="4"/>
      <c r="B373" s="4"/>
      <c r="C373" s="4"/>
      <c r="D373" s="4"/>
      <c r="E373" s="4"/>
      <c r="F373" s="188"/>
      <c r="G373" s="188"/>
      <c r="H373" s="4"/>
      <c r="I373" s="4"/>
      <c r="J373" s="4"/>
      <c r="K373" s="4"/>
      <c r="L373" s="4"/>
      <c r="M373" s="4"/>
      <c r="N373" s="4"/>
      <c r="O373" s="4"/>
      <c r="P373" s="4"/>
      <c r="Q373" s="4"/>
      <c r="R373" s="4"/>
      <c r="S373" s="4"/>
      <c r="T373" s="4"/>
      <c r="U373" s="4"/>
      <c r="V373" s="4"/>
      <c r="W373" s="4"/>
      <c r="X373" s="4"/>
      <c r="Y373" s="4"/>
      <c r="Z373" s="4"/>
    </row>
    <row r="374" ht="14.25" customHeight="1">
      <c r="A374" s="4"/>
      <c r="B374" s="4"/>
      <c r="C374" s="4"/>
      <c r="D374" s="4"/>
      <c r="E374" s="4"/>
      <c r="F374" s="188"/>
      <c r="G374" s="188"/>
      <c r="H374" s="4"/>
      <c r="I374" s="4"/>
      <c r="J374" s="4"/>
      <c r="K374" s="4"/>
      <c r="L374" s="4"/>
      <c r="M374" s="4"/>
      <c r="N374" s="4"/>
      <c r="O374" s="4"/>
      <c r="P374" s="4"/>
      <c r="Q374" s="4"/>
      <c r="R374" s="4"/>
      <c r="S374" s="4"/>
      <c r="T374" s="4"/>
      <c r="U374" s="4"/>
      <c r="V374" s="4"/>
      <c r="W374" s="4"/>
      <c r="X374" s="4"/>
      <c r="Y374" s="4"/>
      <c r="Z374" s="4"/>
    </row>
    <row r="375" ht="14.25" customHeight="1">
      <c r="A375" s="4"/>
      <c r="B375" s="4"/>
      <c r="C375" s="4"/>
      <c r="D375" s="4"/>
      <c r="E375" s="4"/>
      <c r="F375" s="188"/>
      <c r="G375" s="188"/>
      <c r="H375" s="4"/>
      <c r="I375" s="4"/>
      <c r="J375" s="4"/>
      <c r="K375" s="4"/>
      <c r="L375" s="4"/>
      <c r="M375" s="4"/>
      <c r="N375" s="4"/>
      <c r="O375" s="4"/>
      <c r="P375" s="4"/>
      <c r="Q375" s="4"/>
      <c r="R375" s="4"/>
      <c r="S375" s="4"/>
      <c r="T375" s="4"/>
      <c r="U375" s="4"/>
      <c r="V375" s="4"/>
      <c r="W375" s="4"/>
      <c r="X375" s="4"/>
      <c r="Y375" s="4"/>
      <c r="Z375" s="4"/>
    </row>
    <row r="376" ht="14.25" customHeight="1">
      <c r="A376" s="4"/>
      <c r="B376" s="4"/>
      <c r="C376" s="4"/>
      <c r="D376" s="4"/>
      <c r="E376" s="4"/>
      <c r="F376" s="188"/>
      <c r="G376" s="188"/>
      <c r="H376" s="4"/>
      <c r="I376" s="4"/>
      <c r="J376" s="4"/>
      <c r="K376" s="4"/>
      <c r="L376" s="4"/>
      <c r="M376" s="4"/>
      <c r="N376" s="4"/>
      <c r="O376" s="4"/>
      <c r="P376" s="4"/>
      <c r="Q376" s="4"/>
      <c r="R376" s="4"/>
      <c r="S376" s="4"/>
      <c r="T376" s="4"/>
      <c r="U376" s="4"/>
      <c r="V376" s="4"/>
      <c r="W376" s="4"/>
      <c r="X376" s="4"/>
      <c r="Y376" s="4"/>
      <c r="Z376" s="4"/>
    </row>
    <row r="377" ht="14.25" customHeight="1">
      <c r="A377" s="4"/>
      <c r="B377" s="4"/>
      <c r="C377" s="4"/>
      <c r="D377" s="4"/>
      <c r="E377" s="4"/>
      <c r="F377" s="188"/>
      <c r="G377" s="188"/>
      <c r="H377" s="4"/>
      <c r="I377" s="4"/>
      <c r="J377" s="4"/>
      <c r="K377" s="4"/>
      <c r="L377" s="4"/>
      <c r="M377" s="4"/>
      <c r="N377" s="4"/>
      <c r="O377" s="4"/>
      <c r="P377" s="4"/>
      <c r="Q377" s="4"/>
      <c r="R377" s="4"/>
      <c r="S377" s="4"/>
      <c r="T377" s="4"/>
      <c r="U377" s="4"/>
      <c r="V377" s="4"/>
      <c r="W377" s="4"/>
      <c r="X377" s="4"/>
      <c r="Y377" s="4"/>
      <c r="Z377" s="4"/>
    </row>
    <row r="378" ht="14.25" customHeight="1">
      <c r="A378" s="4"/>
      <c r="B378" s="4"/>
      <c r="C378" s="4"/>
      <c r="D378" s="4"/>
      <c r="E378" s="4"/>
      <c r="F378" s="188"/>
      <c r="G378" s="188"/>
      <c r="H378" s="4"/>
      <c r="I378" s="4"/>
      <c r="J378" s="4"/>
      <c r="K378" s="4"/>
      <c r="L378" s="4"/>
      <c r="M378" s="4"/>
      <c r="N378" s="4"/>
      <c r="O378" s="4"/>
      <c r="P378" s="4"/>
      <c r="Q378" s="4"/>
      <c r="R378" s="4"/>
      <c r="S378" s="4"/>
      <c r="T378" s="4"/>
      <c r="U378" s="4"/>
      <c r="V378" s="4"/>
      <c r="W378" s="4"/>
      <c r="X378" s="4"/>
      <c r="Y378" s="4"/>
      <c r="Z378" s="4"/>
    </row>
    <row r="379" ht="14.25" customHeight="1">
      <c r="A379" s="4"/>
      <c r="B379" s="4"/>
      <c r="C379" s="4"/>
      <c r="D379" s="4"/>
      <c r="E379" s="4"/>
      <c r="F379" s="188"/>
      <c r="G379" s="188"/>
      <c r="H379" s="4"/>
      <c r="I379" s="4"/>
      <c r="J379" s="4"/>
      <c r="K379" s="4"/>
      <c r="L379" s="4"/>
      <c r="M379" s="4"/>
      <c r="N379" s="4"/>
      <c r="O379" s="4"/>
      <c r="P379" s="4"/>
      <c r="Q379" s="4"/>
      <c r="R379" s="4"/>
      <c r="S379" s="4"/>
      <c r="T379" s="4"/>
      <c r="U379" s="4"/>
      <c r="V379" s="4"/>
      <c r="W379" s="4"/>
      <c r="X379" s="4"/>
      <c r="Y379" s="4"/>
      <c r="Z379" s="4"/>
    </row>
    <row r="380" ht="14.25" customHeight="1">
      <c r="A380" s="4"/>
      <c r="B380" s="4"/>
      <c r="C380" s="4"/>
      <c r="D380" s="4"/>
      <c r="E380" s="4"/>
      <c r="F380" s="188"/>
      <c r="G380" s="188"/>
      <c r="H380" s="4"/>
      <c r="I380" s="4"/>
      <c r="J380" s="4"/>
      <c r="K380" s="4"/>
      <c r="L380" s="4"/>
      <c r="M380" s="4"/>
      <c r="N380" s="4"/>
      <c r="O380" s="4"/>
      <c r="P380" s="4"/>
      <c r="Q380" s="4"/>
      <c r="R380" s="4"/>
      <c r="S380" s="4"/>
      <c r="T380" s="4"/>
      <c r="U380" s="4"/>
      <c r="V380" s="4"/>
      <c r="W380" s="4"/>
      <c r="X380" s="4"/>
      <c r="Y380" s="4"/>
      <c r="Z380" s="4"/>
    </row>
    <row r="381" ht="14.25" customHeight="1">
      <c r="A381" s="4"/>
      <c r="B381" s="4"/>
      <c r="C381" s="4"/>
      <c r="D381" s="4"/>
      <c r="E381" s="4"/>
      <c r="F381" s="188"/>
      <c r="G381" s="188"/>
      <c r="H381" s="4"/>
      <c r="I381" s="4"/>
      <c r="J381" s="4"/>
      <c r="K381" s="4"/>
      <c r="L381" s="4"/>
      <c r="M381" s="4"/>
      <c r="N381" s="4"/>
      <c r="O381" s="4"/>
      <c r="P381" s="4"/>
      <c r="Q381" s="4"/>
      <c r="R381" s="4"/>
      <c r="S381" s="4"/>
      <c r="T381" s="4"/>
      <c r="U381" s="4"/>
      <c r="V381" s="4"/>
      <c r="W381" s="4"/>
      <c r="X381" s="4"/>
      <c r="Y381" s="4"/>
      <c r="Z381" s="4"/>
    </row>
    <row r="382" ht="14.25" customHeight="1">
      <c r="A382" s="4"/>
      <c r="B382" s="4"/>
      <c r="C382" s="4"/>
      <c r="D382" s="4"/>
      <c r="E382" s="4"/>
      <c r="F382" s="188"/>
      <c r="G382" s="188"/>
      <c r="H382" s="4"/>
      <c r="I382" s="4"/>
      <c r="J382" s="4"/>
      <c r="K382" s="4"/>
      <c r="L382" s="4"/>
      <c r="M382" s="4"/>
      <c r="N382" s="4"/>
      <c r="O382" s="4"/>
      <c r="P382" s="4"/>
      <c r="Q382" s="4"/>
      <c r="R382" s="4"/>
      <c r="S382" s="4"/>
      <c r="T382" s="4"/>
      <c r="U382" s="4"/>
      <c r="V382" s="4"/>
      <c r="W382" s="4"/>
      <c r="X382" s="4"/>
      <c r="Y382" s="4"/>
      <c r="Z382" s="4"/>
    </row>
    <row r="383" ht="14.25" customHeight="1">
      <c r="A383" s="4"/>
      <c r="B383" s="4"/>
      <c r="C383" s="4"/>
      <c r="D383" s="4"/>
      <c r="E383" s="4"/>
      <c r="F383" s="188"/>
      <c r="G383" s="188"/>
      <c r="H383" s="4"/>
      <c r="I383" s="4"/>
      <c r="J383" s="4"/>
      <c r="K383" s="4"/>
      <c r="L383" s="4"/>
      <c r="M383" s="4"/>
      <c r="N383" s="4"/>
      <c r="O383" s="4"/>
      <c r="P383" s="4"/>
      <c r="Q383" s="4"/>
      <c r="R383" s="4"/>
      <c r="S383" s="4"/>
      <c r="T383" s="4"/>
      <c r="U383" s="4"/>
      <c r="V383" s="4"/>
      <c r="W383" s="4"/>
      <c r="X383" s="4"/>
      <c r="Y383" s="4"/>
      <c r="Z383" s="4"/>
    </row>
    <row r="384" ht="14.25" customHeight="1">
      <c r="A384" s="4"/>
      <c r="B384" s="4"/>
      <c r="C384" s="4"/>
      <c r="D384" s="4"/>
      <c r="E384" s="4"/>
      <c r="F384" s="188"/>
      <c r="G384" s="188"/>
      <c r="H384" s="4"/>
      <c r="I384" s="4"/>
      <c r="J384" s="4"/>
      <c r="K384" s="4"/>
      <c r="L384" s="4"/>
      <c r="M384" s="4"/>
      <c r="N384" s="4"/>
      <c r="O384" s="4"/>
      <c r="P384" s="4"/>
      <c r="Q384" s="4"/>
      <c r="R384" s="4"/>
      <c r="S384" s="4"/>
      <c r="T384" s="4"/>
      <c r="U384" s="4"/>
      <c r="V384" s="4"/>
      <c r="W384" s="4"/>
      <c r="X384" s="4"/>
      <c r="Y384" s="4"/>
      <c r="Z384" s="4"/>
    </row>
    <row r="385" ht="14.25" customHeight="1">
      <c r="A385" s="4"/>
      <c r="B385" s="4"/>
      <c r="C385" s="4"/>
      <c r="D385" s="4"/>
      <c r="E385" s="4"/>
      <c r="F385" s="188"/>
      <c r="G385" s="188"/>
      <c r="H385" s="4"/>
      <c r="I385" s="4"/>
      <c r="J385" s="4"/>
      <c r="K385" s="4"/>
      <c r="L385" s="4"/>
      <c r="M385" s="4"/>
      <c r="N385" s="4"/>
      <c r="O385" s="4"/>
      <c r="P385" s="4"/>
      <c r="Q385" s="4"/>
      <c r="R385" s="4"/>
      <c r="S385" s="4"/>
      <c r="T385" s="4"/>
      <c r="U385" s="4"/>
      <c r="V385" s="4"/>
      <c r="W385" s="4"/>
      <c r="X385" s="4"/>
      <c r="Y385" s="4"/>
      <c r="Z385" s="4"/>
    </row>
    <row r="386" ht="14.25" customHeight="1">
      <c r="A386" s="4"/>
      <c r="B386" s="4"/>
      <c r="C386" s="4"/>
      <c r="D386" s="4"/>
      <c r="E386" s="4"/>
      <c r="F386" s="188"/>
      <c r="G386" s="188"/>
      <c r="H386" s="4"/>
      <c r="I386" s="4"/>
      <c r="J386" s="4"/>
      <c r="K386" s="4"/>
      <c r="L386" s="4"/>
      <c r="M386" s="4"/>
      <c r="N386" s="4"/>
      <c r="O386" s="4"/>
      <c r="P386" s="4"/>
      <c r="Q386" s="4"/>
      <c r="R386" s="4"/>
      <c r="S386" s="4"/>
      <c r="T386" s="4"/>
      <c r="U386" s="4"/>
      <c r="V386" s="4"/>
      <c r="W386" s="4"/>
      <c r="X386" s="4"/>
      <c r="Y386" s="4"/>
      <c r="Z386" s="4"/>
    </row>
    <row r="387" ht="14.25" customHeight="1">
      <c r="A387" s="4"/>
      <c r="B387" s="4"/>
      <c r="C387" s="4"/>
      <c r="D387" s="4"/>
      <c r="E387" s="4"/>
      <c r="F387" s="188"/>
      <c r="G387" s="188"/>
      <c r="H387" s="4"/>
      <c r="I387" s="4"/>
      <c r="J387" s="4"/>
      <c r="K387" s="4"/>
      <c r="L387" s="4"/>
      <c r="M387" s="4"/>
      <c r="N387" s="4"/>
      <c r="O387" s="4"/>
      <c r="P387" s="4"/>
      <c r="Q387" s="4"/>
      <c r="R387" s="4"/>
      <c r="S387" s="4"/>
      <c r="T387" s="4"/>
      <c r="U387" s="4"/>
      <c r="V387" s="4"/>
      <c r="W387" s="4"/>
      <c r="X387" s="4"/>
      <c r="Y387" s="4"/>
      <c r="Z387" s="4"/>
    </row>
    <row r="388" ht="14.25" customHeight="1">
      <c r="A388" s="4"/>
      <c r="B388" s="4"/>
      <c r="C388" s="4"/>
      <c r="D388" s="4"/>
      <c r="E388" s="4"/>
      <c r="F388" s="188"/>
      <c r="G388" s="188"/>
      <c r="H388" s="4"/>
      <c r="I388" s="4"/>
      <c r="J388" s="4"/>
      <c r="K388" s="4"/>
      <c r="L388" s="4"/>
      <c r="M388" s="4"/>
      <c r="N388" s="4"/>
      <c r="O388" s="4"/>
      <c r="P388" s="4"/>
      <c r="Q388" s="4"/>
      <c r="R388" s="4"/>
      <c r="S388" s="4"/>
      <c r="T388" s="4"/>
      <c r="U388" s="4"/>
      <c r="V388" s="4"/>
      <c r="W388" s="4"/>
      <c r="X388" s="4"/>
      <c r="Y388" s="4"/>
      <c r="Z388" s="4"/>
    </row>
    <row r="389" ht="14.25" customHeight="1">
      <c r="A389" s="4"/>
      <c r="B389" s="4"/>
      <c r="C389" s="4"/>
      <c r="D389" s="4"/>
      <c r="E389" s="4"/>
      <c r="F389" s="188"/>
      <c r="G389" s="188"/>
      <c r="H389" s="4"/>
      <c r="I389" s="4"/>
      <c r="J389" s="4"/>
      <c r="K389" s="4"/>
      <c r="L389" s="4"/>
      <c r="M389" s="4"/>
      <c r="N389" s="4"/>
      <c r="O389" s="4"/>
      <c r="P389" s="4"/>
      <c r="Q389" s="4"/>
      <c r="R389" s="4"/>
      <c r="S389" s="4"/>
      <c r="T389" s="4"/>
      <c r="U389" s="4"/>
      <c r="V389" s="4"/>
      <c r="W389" s="4"/>
      <c r="X389" s="4"/>
      <c r="Y389" s="4"/>
      <c r="Z389" s="4"/>
    </row>
    <row r="390" ht="14.25" customHeight="1">
      <c r="A390" s="4"/>
      <c r="B390" s="4"/>
      <c r="C390" s="4"/>
      <c r="D390" s="4"/>
      <c r="E390" s="4"/>
      <c r="F390" s="188"/>
      <c r="G390" s="188"/>
      <c r="H390" s="4"/>
      <c r="I390" s="4"/>
      <c r="J390" s="4"/>
      <c r="K390" s="4"/>
      <c r="L390" s="4"/>
      <c r="M390" s="4"/>
      <c r="N390" s="4"/>
      <c r="O390" s="4"/>
      <c r="P390" s="4"/>
      <c r="Q390" s="4"/>
      <c r="R390" s="4"/>
      <c r="S390" s="4"/>
      <c r="T390" s="4"/>
      <c r="U390" s="4"/>
      <c r="V390" s="4"/>
      <c r="W390" s="4"/>
      <c r="X390" s="4"/>
      <c r="Y390" s="4"/>
      <c r="Z390" s="4"/>
    </row>
    <row r="391" ht="14.25" customHeight="1">
      <c r="A391" s="4"/>
      <c r="B391" s="4"/>
      <c r="C391" s="4"/>
      <c r="D391" s="4"/>
      <c r="E391" s="4"/>
      <c r="F391" s="188"/>
      <c r="G391" s="188"/>
      <c r="H391" s="4"/>
      <c r="I391" s="4"/>
      <c r="J391" s="4"/>
      <c r="K391" s="4"/>
      <c r="L391" s="4"/>
      <c r="M391" s="4"/>
      <c r="N391" s="4"/>
      <c r="O391" s="4"/>
      <c r="P391" s="4"/>
      <c r="Q391" s="4"/>
      <c r="R391" s="4"/>
      <c r="S391" s="4"/>
      <c r="T391" s="4"/>
      <c r="U391" s="4"/>
      <c r="V391" s="4"/>
      <c r="W391" s="4"/>
      <c r="X391" s="4"/>
      <c r="Y391" s="4"/>
      <c r="Z391" s="4"/>
    </row>
    <row r="392" ht="14.25" customHeight="1">
      <c r="A392" s="4"/>
      <c r="B392" s="4"/>
      <c r="C392" s="4"/>
      <c r="D392" s="4"/>
      <c r="E392" s="4"/>
      <c r="F392" s="188"/>
      <c r="G392" s="188"/>
      <c r="H392" s="4"/>
      <c r="I392" s="4"/>
      <c r="J392" s="4"/>
      <c r="K392" s="4"/>
      <c r="L392" s="4"/>
      <c r="M392" s="4"/>
      <c r="N392" s="4"/>
      <c r="O392" s="4"/>
      <c r="P392" s="4"/>
      <c r="Q392" s="4"/>
      <c r="R392" s="4"/>
      <c r="S392" s="4"/>
      <c r="T392" s="4"/>
      <c r="U392" s="4"/>
      <c r="V392" s="4"/>
      <c r="W392" s="4"/>
      <c r="X392" s="4"/>
      <c r="Y392" s="4"/>
      <c r="Z392" s="4"/>
    </row>
    <row r="393" ht="14.25" customHeight="1">
      <c r="A393" s="4"/>
      <c r="B393" s="4"/>
      <c r="C393" s="4"/>
      <c r="D393" s="4"/>
      <c r="E393" s="4"/>
      <c r="F393" s="188"/>
      <c r="G393" s="188"/>
      <c r="H393" s="4"/>
      <c r="I393" s="4"/>
      <c r="J393" s="4"/>
      <c r="K393" s="4"/>
      <c r="L393" s="4"/>
      <c r="M393" s="4"/>
      <c r="N393" s="4"/>
      <c r="O393" s="4"/>
      <c r="P393" s="4"/>
      <c r="Q393" s="4"/>
      <c r="R393" s="4"/>
      <c r="S393" s="4"/>
      <c r="T393" s="4"/>
      <c r="U393" s="4"/>
      <c r="V393" s="4"/>
      <c r="W393" s="4"/>
      <c r="X393" s="4"/>
      <c r="Y393" s="4"/>
      <c r="Z393" s="4"/>
    </row>
    <row r="394" ht="14.25" customHeight="1">
      <c r="A394" s="4"/>
      <c r="B394" s="4"/>
      <c r="C394" s="4"/>
      <c r="D394" s="4"/>
      <c r="E394" s="4"/>
      <c r="F394" s="188"/>
      <c r="G394" s="188"/>
      <c r="H394" s="4"/>
      <c r="I394" s="4"/>
      <c r="J394" s="4"/>
      <c r="K394" s="4"/>
      <c r="L394" s="4"/>
      <c r="M394" s="4"/>
      <c r="N394" s="4"/>
      <c r="O394" s="4"/>
      <c r="P394" s="4"/>
      <c r="Q394" s="4"/>
      <c r="R394" s="4"/>
      <c r="S394" s="4"/>
      <c r="T394" s="4"/>
      <c r="U394" s="4"/>
      <c r="V394" s="4"/>
      <c r="W394" s="4"/>
      <c r="X394" s="4"/>
      <c r="Y394" s="4"/>
      <c r="Z394" s="4"/>
    </row>
    <row r="395" ht="14.25" customHeight="1">
      <c r="A395" s="4"/>
      <c r="B395" s="4"/>
      <c r="C395" s="4"/>
      <c r="D395" s="4"/>
      <c r="E395" s="4"/>
      <c r="F395" s="188"/>
      <c r="G395" s="188"/>
      <c r="H395" s="4"/>
      <c r="I395" s="4"/>
      <c r="J395" s="4"/>
      <c r="K395" s="4"/>
      <c r="L395" s="4"/>
      <c r="M395" s="4"/>
      <c r="N395" s="4"/>
      <c r="O395" s="4"/>
      <c r="P395" s="4"/>
      <c r="Q395" s="4"/>
      <c r="R395" s="4"/>
      <c r="S395" s="4"/>
      <c r="T395" s="4"/>
      <c r="U395" s="4"/>
      <c r="V395" s="4"/>
      <c r="W395" s="4"/>
      <c r="X395" s="4"/>
      <c r="Y395" s="4"/>
      <c r="Z395" s="4"/>
    </row>
    <row r="396" ht="14.25" customHeight="1">
      <c r="A396" s="4"/>
      <c r="B396" s="4"/>
      <c r="C396" s="4"/>
      <c r="D396" s="4"/>
      <c r="E396" s="4"/>
      <c r="F396" s="188"/>
      <c r="G396" s="188"/>
      <c r="H396" s="4"/>
      <c r="I396" s="4"/>
      <c r="J396" s="4"/>
      <c r="K396" s="4"/>
      <c r="L396" s="4"/>
      <c r="M396" s="4"/>
      <c r="N396" s="4"/>
      <c r="O396" s="4"/>
      <c r="P396" s="4"/>
      <c r="Q396" s="4"/>
      <c r="R396" s="4"/>
      <c r="S396" s="4"/>
      <c r="T396" s="4"/>
      <c r="U396" s="4"/>
      <c r="V396" s="4"/>
      <c r="W396" s="4"/>
      <c r="X396" s="4"/>
      <c r="Y396" s="4"/>
      <c r="Z396" s="4"/>
    </row>
    <row r="397" ht="14.25" customHeight="1">
      <c r="A397" s="4"/>
      <c r="B397" s="4"/>
      <c r="C397" s="4"/>
      <c r="D397" s="4"/>
      <c r="E397" s="4"/>
      <c r="F397" s="188"/>
      <c r="G397" s="188"/>
      <c r="H397" s="4"/>
      <c r="I397" s="4"/>
      <c r="J397" s="4"/>
      <c r="K397" s="4"/>
      <c r="L397" s="4"/>
      <c r="M397" s="4"/>
      <c r="N397" s="4"/>
      <c r="O397" s="4"/>
      <c r="P397" s="4"/>
      <c r="Q397" s="4"/>
      <c r="R397" s="4"/>
      <c r="S397" s="4"/>
      <c r="T397" s="4"/>
      <c r="U397" s="4"/>
      <c r="V397" s="4"/>
      <c r="W397" s="4"/>
      <c r="X397" s="4"/>
      <c r="Y397" s="4"/>
      <c r="Z397" s="4"/>
    </row>
    <row r="398" ht="14.25" customHeight="1">
      <c r="A398" s="4"/>
      <c r="B398" s="4"/>
      <c r="C398" s="4"/>
      <c r="D398" s="4"/>
      <c r="E398" s="4"/>
      <c r="F398" s="188"/>
      <c r="G398" s="188"/>
      <c r="H398" s="4"/>
      <c r="I398" s="4"/>
      <c r="J398" s="4"/>
      <c r="K398" s="4"/>
      <c r="L398" s="4"/>
      <c r="M398" s="4"/>
      <c r="N398" s="4"/>
      <c r="O398" s="4"/>
      <c r="P398" s="4"/>
      <c r="Q398" s="4"/>
      <c r="R398" s="4"/>
      <c r="S398" s="4"/>
      <c r="T398" s="4"/>
      <c r="U398" s="4"/>
      <c r="V398" s="4"/>
      <c r="W398" s="4"/>
      <c r="X398" s="4"/>
      <c r="Y398" s="4"/>
      <c r="Z398" s="4"/>
    </row>
    <row r="399" ht="14.25" customHeight="1">
      <c r="A399" s="4"/>
      <c r="B399" s="4"/>
      <c r="C399" s="4"/>
      <c r="D399" s="4"/>
      <c r="E399" s="4"/>
      <c r="F399" s="188"/>
      <c r="G399" s="188"/>
      <c r="H399" s="4"/>
      <c r="I399" s="4"/>
      <c r="J399" s="4"/>
      <c r="K399" s="4"/>
      <c r="L399" s="4"/>
      <c r="M399" s="4"/>
      <c r="N399" s="4"/>
      <c r="O399" s="4"/>
      <c r="P399" s="4"/>
      <c r="Q399" s="4"/>
      <c r="R399" s="4"/>
      <c r="S399" s="4"/>
      <c r="T399" s="4"/>
      <c r="U399" s="4"/>
      <c r="V399" s="4"/>
      <c r="W399" s="4"/>
      <c r="X399" s="4"/>
      <c r="Y399" s="4"/>
      <c r="Z399" s="4"/>
    </row>
    <row r="400" ht="14.25" customHeight="1">
      <c r="A400" s="4"/>
      <c r="B400" s="4"/>
      <c r="C400" s="4"/>
      <c r="D400" s="4"/>
      <c r="E400" s="4"/>
      <c r="F400" s="188"/>
      <c r="G400" s="188"/>
      <c r="H400" s="4"/>
      <c r="I400" s="4"/>
      <c r="J400" s="4"/>
      <c r="K400" s="4"/>
      <c r="L400" s="4"/>
      <c r="M400" s="4"/>
      <c r="N400" s="4"/>
      <c r="O400" s="4"/>
      <c r="P400" s="4"/>
      <c r="Q400" s="4"/>
      <c r="R400" s="4"/>
      <c r="S400" s="4"/>
      <c r="T400" s="4"/>
      <c r="U400" s="4"/>
      <c r="V400" s="4"/>
      <c r="W400" s="4"/>
      <c r="X400" s="4"/>
      <c r="Y400" s="4"/>
      <c r="Z400" s="4"/>
    </row>
    <row r="401" ht="14.25" customHeight="1">
      <c r="A401" s="4"/>
      <c r="B401" s="4"/>
      <c r="C401" s="4"/>
      <c r="D401" s="4"/>
      <c r="E401" s="4"/>
      <c r="F401" s="188"/>
      <c r="G401" s="188"/>
      <c r="H401" s="4"/>
      <c r="I401" s="4"/>
      <c r="J401" s="4"/>
      <c r="K401" s="4"/>
      <c r="L401" s="4"/>
      <c r="M401" s="4"/>
      <c r="N401" s="4"/>
      <c r="O401" s="4"/>
      <c r="P401" s="4"/>
      <c r="Q401" s="4"/>
      <c r="R401" s="4"/>
      <c r="S401" s="4"/>
      <c r="T401" s="4"/>
      <c r="U401" s="4"/>
      <c r="V401" s="4"/>
      <c r="W401" s="4"/>
      <c r="X401" s="4"/>
      <c r="Y401" s="4"/>
      <c r="Z401" s="4"/>
    </row>
    <row r="402" ht="14.25" customHeight="1">
      <c r="A402" s="4"/>
      <c r="B402" s="4"/>
      <c r="C402" s="4"/>
      <c r="D402" s="4"/>
      <c r="E402" s="4"/>
      <c r="F402" s="188"/>
      <c r="G402" s="188"/>
      <c r="H402" s="4"/>
      <c r="I402" s="4"/>
      <c r="J402" s="4"/>
      <c r="K402" s="4"/>
      <c r="L402" s="4"/>
      <c r="M402" s="4"/>
      <c r="N402" s="4"/>
      <c r="O402" s="4"/>
      <c r="P402" s="4"/>
      <c r="Q402" s="4"/>
      <c r="R402" s="4"/>
      <c r="S402" s="4"/>
      <c r="T402" s="4"/>
      <c r="U402" s="4"/>
      <c r="V402" s="4"/>
      <c r="W402" s="4"/>
      <c r="X402" s="4"/>
      <c r="Y402" s="4"/>
      <c r="Z402" s="4"/>
    </row>
    <row r="403" ht="14.25" customHeight="1">
      <c r="A403" s="4"/>
      <c r="B403" s="4"/>
      <c r="C403" s="4"/>
      <c r="D403" s="4"/>
      <c r="E403" s="4"/>
      <c r="F403" s="188"/>
      <c r="G403" s="188"/>
      <c r="H403" s="4"/>
      <c r="I403" s="4"/>
      <c r="J403" s="4"/>
      <c r="K403" s="4"/>
      <c r="L403" s="4"/>
      <c r="M403" s="4"/>
      <c r="N403" s="4"/>
      <c r="O403" s="4"/>
      <c r="P403" s="4"/>
      <c r="Q403" s="4"/>
      <c r="R403" s="4"/>
      <c r="S403" s="4"/>
      <c r="T403" s="4"/>
      <c r="U403" s="4"/>
      <c r="V403" s="4"/>
      <c r="W403" s="4"/>
      <c r="X403" s="4"/>
      <c r="Y403" s="4"/>
      <c r="Z403" s="4"/>
    </row>
    <row r="404" ht="14.25" customHeight="1">
      <c r="A404" s="4"/>
      <c r="B404" s="4"/>
      <c r="C404" s="4"/>
      <c r="D404" s="4"/>
      <c r="E404" s="4"/>
      <c r="F404" s="188"/>
      <c r="G404" s="188"/>
      <c r="H404" s="4"/>
      <c r="I404" s="4"/>
      <c r="J404" s="4"/>
      <c r="K404" s="4"/>
      <c r="L404" s="4"/>
      <c r="M404" s="4"/>
      <c r="N404" s="4"/>
      <c r="O404" s="4"/>
      <c r="P404" s="4"/>
      <c r="Q404" s="4"/>
      <c r="R404" s="4"/>
      <c r="S404" s="4"/>
      <c r="T404" s="4"/>
      <c r="U404" s="4"/>
      <c r="V404" s="4"/>
      <c r="W404" s="4"/>
      <c r="X404" s="4"/>
      <c r="Y404" s="4"/>
      <c r="Z404" s="4"/>
    </row>
    <row r="405" ht="14.25" customHeight="1">
      <c r="A405" s="4"/>
      <c r="B405" s="4"/>
      <c r="C405" s="4"/>
      <c r="D405" s="4"/>
      <c r="E405" s="4"/>
      <c r="F405" s="188"/>
      <c r="G405" s="188"/>
      <c r="H405" s="4"/>
      <c r="I405" s="4"/>
      <c r="J405" s="4"/>
      <c r="K405" s="4"/>
      <c r="L405" s="4"/>
      <c r="M405" s="4"/>
      <c r="N405" s="4"/>
      <c r="O405" s="4"/>
      <c r="P405" s="4"/>
      <c r="Q405" s="4"/>
      <c r="R405" s="4"/>
      <c r="S405" s="4"/>
      <c r="T405" s="4"/>
      <c r="U405" s="4"/>
      <c r="V405" s="4"/>
      <c r="W405" s="4"/>
      <c r="X405" s="4"/>
      <c r="Y405" s="4"/>
      <c r="Z405" s="4"/>
    </row>
    <row r="406" ht="14.25" customHeight="1">
      <c r="A406" s="4"/>
      <c r="B406" s="4"/>
      <c r="C406" s="4"/>
      <c r="D406" s="4"/>
      <c r="E406" s="4"/>
      <c r="F406" s="188"/>
      <c r="G406" s="188"/>
      <c r="H406" s="4"/>
      <c r="I406" s="4"/>
      <c r="J406" s="4"/>
      <c r="K406" s="4"/>
      <c r="L406" s="4"/>
      <c r="M406" s="4"/>
      <c r="N406" s="4"/>
      <c r="O406" s="4"/>
      <c r="P406" s="4"/>
      <c r="Q406" s="4"/>
      <c r="R406" s="4"/>
      <c r="S406" s="4"/>
      <c r="T406" s="4"/>
      <c r="U406" s="4"/>
      <c r="V406" s="4"/>
      <c r="W406" s="4"/>
      <c r="X406" s="4"/>
      <c r="Y406" s="4"/>
      <c r="Z406" s="4"/>
    </row>
    <row r="407" ht="14.25" customHeight="1">
      <c r="A407" s="4"/>
      <c r="B407" s="4"/>
      <c r="C407" s="4"/>
      <c r="D407" s="4"/>
      <c r="E407" s="4"/>
      <c r="F407" s="188"/>
      <c r="G407" s="188"/>
      <c r="H407" s="4"/>
      <c r="I407" s="4"/>
      <c r="J407" s="4"/>
      <c r="K407" s="4"/>
      <c r="L407" s="4"/>
      <c r="M407" s="4"/>
      <c r="N407" s="4"/>
      <c r="O407" s="4"/>
      <c r="P407" s="4"/>
      <c r="Q407" s="4"/>
      <c r="R407" s="4"/>
      <c r="S407" s="4"/>
      <c r="T407" s="4"/>
      <c r="U407" s="4"/>
      <c r="V407" s="4"/>
      <c r="W407" s="4"/>
      <c r="X407" s="4"/>
      <c r="Y407" s="4"/>
      <c r="Z407" s="4"/>
    </row>
    <row r="408" ht="14.25" customHeight="1">
      <c r="A408" s="4"/>
      <c r="B408" s="4"/>
      <c r="C408" s="4"/>
      <c r="D408" s="4"/>
      <c r="E408" s="4"/>
      <c r="F408" s="188"/>
      <c r="G408" s="188"/>
      <c r="H408" s="4"/>
      <c r="I408" s="4"/>
      <c r="J408" s="4"/>
      <c r="K408" s="4"/>
      <c r="L408" s="4"/>
      <c r="M408" s="4"/>
      <c r="N408" s="4"/>
      <c r="O408" s="4"/>
      <c r="P408" s="4"/>
      <c r="Q408" s="4"/>
      <c r="R408" s="4"/>
      <c r="S408" s="4"/>
      <c r="T408" s="4"/>
      <c r="U408" s="4"/>
      <c r="V408" s="4"/>
      <c r="W408" s="4"/>
      <c r="X408" s="4"/>
      <c r="Y408" s="4"/>
      <c r="Z408" s="4"/>
    </row>
    <row r="409" ht="14.25" customHeight="1">
      <c r="A409" s="4"/>
      <c r="B409" s="4"/>
      <c r="C409" s="4"/>
      <c r="D409" s="4"/>
      <c r="E409" s="4"/>
      <c r="F409" s="188"/>
      <c r="G409" s="188"/>
      <c r="H409" s="4"/>
      <c r="I409" s="4"/>
      <c r="J409" s="4"/>
      <c r="K409" s="4"/>
      <c r="L409" s="4"/>
      <c r="M409" s="4"/>
      <c r="N409" s="4"/>
      <c r="O409" s="4"/>
      <c r="P409" s="4"/>
      <c r="Q409" s="4"/>
      <c r="R409" s="4"/>
      <c r="S409" s="4"/>
      <c r="T409" s="4"/>
      <c r="U409" s="4"/>
      <c r="V409" s="4"/>
      <c r="W409" s="4"/>
      <c r="X409" s="4"/>
      <c r="Y409" s="4"/>
      <c r="Z409" s="4"/>
    </row>
    <row r="410" ht="14.25" customHeight="1">
      <c r="A410" s="4"/>
      <c r="B410" s="4"/>
      <c r="C410" s="4"/>
      <c r="D410" s="4"/>
      <c r="E410" s="4"/>
      <c r="F410" s="188"/>
      <c r="G410" s="188"/>
      <c r="H410" s="4"/>
      <c r="I410" s="4"/>
      <c r="J410" s="4"/>
      <c r="K410" s="4"/>
      <c r="L410" s="4"/>
      <c r="M410" s="4"/>
      <c r="N410" s="4"/>
      <c r="O410" s="4"/>
      <c r="P410" s="4"/>
      <c r="Q410" s="4"/>
      <c r="R410" s="4"/>
      <c r="S410" s="4"/>
      <c r="T410" s="4"/>
      <c r="U410" s="4"/>
      <c r="V410" s="4"/>
      <c r="W410" s="4"/>
      <c r="X410" s="4"/>
      <c r="Y410" s="4"/>
      <c r="Z410" s="4"/>
    </row>
    <row r="411" ht="14.25" customHeight="1">
      <c r="A411" s="4"/>
      <c r="B411" s="4"/>
      <c r="C411" s="4"/>
      <c r="D411" s="4"/>
      <c r="E411" s="4"/>
      <c r="F411" s="188"/>
      <c r="G411" s="188"/>
      <c r="H411" s="4"/>
      <c r="I411" s="4"/>
      <c r="J411" s="4"/>
      <c r="K411" s="4"/>
      <c r="L411" s="4"/>
      <c r="M411" s="4"/>
      <c r="N411" s="4"/>
      <c r="O411" s="4"/>
      <c r="P411" s="4"/>
      <c r="Q411" s="4"/>
      <c r="R411" s="4"/>
      <c r="S411" s="4"/>
      <c r="T411" s="4"/>
      <c r="U411" s="4"/>
      <c r="V411" s="4"/>
      <c r="W411" s="4"/>
      <c r="X411" s="4"/>
      <c r="Y411" s="4"/>
      <c r="Z411" s="4"/>
    </row>
    <row r="412" ht="14.25" customHeight="1">
      <c r="A412" s="4"/>
      <c r="B412" s="4"/>
      <c r="C412" s="4"/>
      <c r="D412" s="4"/>
      <c r="E412" s="4"/>
      <c r="F412" s="188"/>
      <c r="G412" s="188"/>
      <c r="H412" s="4"/>
      <c r="I412" s="4"/>
      <c r="J412" s="4"/>
      <c r="K412" s="4"/>
      <c r="L412" s="4"/>
      <c r="M412" s="4"/>
      <c r="N412" s="4"/>
      <c r="O412" s="4"/>
      <c r="P412" s="4"/>
      <c r="Q412" s="4"/>
      <c r="R412" s="4"/>
      <c r="S412" s="4"/>
      <c r="T412" s="4"/>
      <c r="U412" s="4"/>
      <c r="V412" s="4"/>
      <c r="W412" s="4"/>
      <c r="X412" s="4"/>
      <c r="Y412" s="4"/>
      <c r="Z412" s="4"/>
    </row>
    <row r="413" ht="14.25" customHeight="1">
      <c r="A413" s="4"/>
      <c r="B413" s="4"/>
      <c r="C413" s="4"/>
      <c r="D413" s="4"/>
      <c r="E413" s="4"/>
      <c r="F413" s="188"/>
      <c r="G413" s="188"/>
      <c r="H413" s="4"/>
      <c r="I413" s="4"/>
      <c r="J413" s="4"/>
      <c r="K413" s="4"/>
      <c r="L413" s="4"/>
      <c r="M413" s="4"/>
      <c r="N413" s="4"/>
      <c r="O413" s="4"/>
      <c r="P413" s="4"/>
      <c r="Q413" s="4"/>
      <c r="R413" s="4"/>
      <c r="S413" s="4"/>
      <c r="T413" s="4"/>
      <c r="U413" s="4"/>
      <c r="V413" s="4"/>
      <c r="W413" s="4"/>
      <c r="X413" s="4"/>
      <c r="Y413" s="4"/>
      <c r="Z413" s="4"/>
    </row>
    <row r="414" ht="14.25" customHeight="1">
      <c r="A414" s="4"/>
      <c r="B414" s="4"/>
      <c r="C414" s="4"/>
      <c r="D414" s="4"/>
      <c r="E414" s="4"/>
      <c r="F414" s="188"/>
      <c r="G414" s="188"/>
      <c r="H414" s="4"/>
      <c r="I414" s="4"/>
      <c r="J414" s="4"/>
      <c r="K414" s="4"/>
      <c r="L414" s="4"/>
      <c r="M414" s="4"/>
      <c r="N414" s="4"/>
      <c r="O414" s="4"/>
      <c r="P414" s="4"/>
      <c r="Q414" s="4"/>
      <c r="R414" s="4"/>
      <c r="S414" s="4"/>
      <c r="T414" s="4"/>
      <c r="U414" s="4"/>
      <c r="V414" s="4"/>
      <c r="W414" s="4"/>
      <c r="X414" s="4"/>
      <c r="Y414" s="4"/>
      <c r="Z414" s="4"/>
    </row>
    <row r="415" ht="14.25" customHeight="1">
      <c r="A415" s="4"/>
      <c r="B415" s="4"/>
      <c r="C415" s="4"/>
      <c r="D415" s="4"/>
      <c r="E415" s="4"/>
      <c r="F415" s="188"/>
      <c r="G415" s="188"/>
      <c r="H415" s="4"/>
      <c r="I415" s="4"/>
      <c r="J415" s="4"/>
      <c r="K415" s="4"/>
      <c r="L415" s="4"/>
      <c r="M415" s="4"/>
      <c r="N415" s="4"/>
      <c r="O415" s="4"/>
      <c r="P415" s="4"/>
      <c r="Q415" s="4"/>
      <c r="R415" s="4"/>
      <c r="S415" s="4"/>
      <c r="T415" s="4"/>
      <c r="U415" s="4"/>
      <c r="V415" s="4"/>
      <c r="W415" s="4"/>
      <c r="X415" s="4"/>
      <c r="Y415" s="4"/>
      <c r="Z415" s="4"/>
    </row>
    <row r="416" ht="14.25" customHeight="1">
      <c r="A416" s="4"/>
      <c r="B416" s="4"/>
      <c r="C416" s="4"/>
      <c r="D416" s="4"/>
      <c r="E416" s="4"/>
      <c r="F416" s="188"/>
      <c r="G416" s="188"/>
      <c r="H416" s="4"/>
      <c r="I416" s="4"/>
      <c r="J416" s="4"/>
      <c r="K416" s="4"/>
      <c r="L416" s="4"/>
      <c r="M416" s="4"/>
      <c r="N416" s="4"/>
      <c r="O416" s="4"/>
      <c r="P416" s="4"/>
      <c r="Q416" s="4"/>
      <c r="R416" s="4"/>
      <c r="S416" s="4"/>
      <c r="T416" s="4"/>
      <c r="U416" s="4"/>
      <c r="V416" s="4"/>
      <c r="W416" s="4"/>
      <c r="X416" s="4"/>
      <c r="Y416" s="4"/>
      <c r="Z416" s="4"/>
    </row>
    <row r="417" ht="14.25" customHeight="1">
      <c r="A417" s="4"/>
      <c r="B417" s="4"/>
      <c r="C417" s="4"/>
      <c r="D417" s="4"/>
      <c r="E417" s="4"/>
      <c r="F417" s="188"/>
      <c r="G417" s="188"/>
      <c r="H417" s="4"/>
      <c r="I417" s="4"/>
      <c r="J417" s="4"/>
      <c r="K417" s="4"/>
      <c r="L417" s="4"/>
      <c r="M417" s="4"/>
      <c r="N417" s="4"/>
      <c r="O417" s="4"/>
      <c r="P417" s="4"/>
      <c r="Q417" s="4"/>
      <c r="R417" s="4"/>
      <c r="S417" s="4"/>
      <c r="T417" s="4"/>
      <c r="U417" s="4"/>
      <c r="V417" s="4"/>
      <c r="W417" s="4"/>
      <c r="X417" s="4"/>
      <c r="Y417" s="4"/>
      <c r="Z417" s="4"/>
    </row>
    <row r="418" ht="14.25" customHeight="1">
      <c r="A418" s="4"/>
      <c r="B418" s="4"/>
      <c r="C418" s="4"/>
      <c r="D418" s="4"/>
      <c r="E418" s="4"/>
      <c r="F418" s="188"/>
      <c r="G418" s="188"/>
      <c r="H418" s="4"/>
      <c r="I418" s="4"/>
      <c r="J418" s="4"/>
      <c r="K418" s="4"/>
      <c r="L418" s="4"/>
      <c r="M418" s="4"/>
      <c r="N418" s="4"/>
      <c r="O418" s="4"/>
      <c r="P418" s="4"/>
      <c r="Q418" s="4"/>
      <c r="R418" s="4"/>
      <c r="S418" s="4"/>
      <c r="T418" s="4"/>
      <c r="U418" s="4"/>
      <c r="V418" s="4"/>
      <c r="W418" s="4"/>
      <c r="X418" s="4"/>
      <c r="Y418" s="4"/>
      <c r="Z418" s="4"/>
    </row>
    <row r="419" ht="14.25" customHeight="1">
      <c r="A419" s="4"/>
      <c r="B419" s="4"/>
      <c r="C419" s="4"/>
      <c r="D419" s="4"/>
      <c r="E419" s="4"/>
      <c r="F419" s="188"/>
      <c r="G419" s="188"/>
      <c r="H419" s="4"/>
      <c r="I419" s="4"/>
      <c r="J419" s="4"/>
      <c r="K419" s="4"/>
      <c r="L419" s="4"/>
      <c r="M419" s="4"/>
      <c r="N419" s="4"/>
      <c r="O419" s="4"/>
      <c r="P419" s="4"/>
      <c r="Q419" s="4"/>
      <c r="R419" s="4"/>
      <c r="S419" s="4"/>
      <c r="T419" s="4"/>
      <c r="U419" s="4"/>
      <c r="V419" s="4"/>
      <c r="W419" s="4"/>
      <c r="X419" s="4"/>
      <c r="Y419" s="4"/>
      <c r="Z419" s="4"/>
    </row>
    <row r="420" ht="14.25" customHeight="1">
      <c r="A420" s="4"/>
      <c r="B420" s="4"/>
      <c r="C420" s="4"/>
      <c r="D420" s="4"/>
      <c r="E420" s="4"/>
      <c r="F420" s="188"/>
      <c r="G420" s="188"/>
      <c r="H420" s="4"/>
      <c r="I420" s="4"/>
      <c r="J420" s="4"/>
      <c r="K420" s="4"/>
      <c r="L420" s="4"/>
      <c r="M420" s="4"/>
      <c r="N420" s="4"/>
      <c r="O420" s="4"/>
      <c r="P420" s="4"/>
      <c r="Q420" s="4"/>
      <c r="R420" s="4"/>
      <c r="S420" s="4"/>
      <c r="T420" s="4"/>
      <c r="U420" s="4"/>
      <c r="V420" s="4"/>
      <c r="W420" s="4"/>
      <c r="X420" s="4"/>
      <c r="Y420" s="4"/>
      <c r="Z420" s="4"/>
    </row>
    <row r="421" ht="14.25" customHeight="1">
      <c r="A421" s="4"/>
      <c r="B421" s="4"/>
      <c r="C421" s="4"/>
      <c r="D421" s="4"/>
      <c r="E421" s="4"/>
      <c r="F421" s="188"/>
      <c r="G421" s="188"/>
      <c r="H421" s="4"/>
      <c r="I421" s="4"/>
      <c r="J421" s="4"/>
      <c r="K421" s="4"/>
      <c r="L421" s="4"/>
      <c r="M421" s="4"/>
      <c r="N421" s="4"/>
      <c r="O421" s="4"/>
      <c r="P421" s="4"/>
      <c r="Q421" s="4"/>
      <c r="R421" s="4"/>
      <c r="S421" s="4"/>
      <c r="T421" s="4"/>
      <c r="U421" s="4"/>
      <c r="V421" s="4"/>
      <c r="W421" s="4"/>
      <c r="X421" s="4"/>
      <c r="Y421" s="4"/>
      <c r="Z421" s="4"/>
    </row>
    <row r="422" ht="14.25" customHeight="1">
      <c r="A422" s="4"/>
      <c r="B422" s="4"/>
      <c r="C422" s="4"/>
      <c r="D422" s="4"/>
      <c r="E422" s="4"/>
      <c r="F422" s="188"/>
      <c r="G422" s="188"/>
      <c r="H422" s="4"/>
      <c r="I422" s="4"/>
      <c r="J422" s="4"/>
      <c r="K422" s="4"/>
      <c r="L422" s="4"/>
      <c r="M422" s="4"/>
      <c r="N422" s="4"/>
      <c r="O422" s="4"/>
      <c r="P422" s="4"/>
      <c r="Q422" s="4"/>
      <c r="R422" s="4"/>
      <c r="S422" s="4"/>
      <c r="T422" s="4"/>
      <c r="U422" s="4"/>
      <c r="V422" s="4"/>
      <c r="W422" s="4"/>
      <c r="X422" s="4"/>
      <c r="Y422" s="4"/>
      <c r="Z422" s="4"/>
    </row>
    <row r="423" ht="14.25" customHeight="1">
      <c r="A423" s="4"/>
      <c r="B423" s="4"/>
      <c r="C423" s="4"/>
      <c r="D423" s="4"/>
      <c r="E423" s="4"/>
      <c r="F423" s="188"/>
      <c r="G423" s="188"/>
      <c r="H423" s="4"/>
      <c r="I423" s="4"/>
      <c r="J423" s="4"/>
      <c r="K423" s="4"/>
      <c r="L423" s="4"/>
      <c r="M423" s="4"/>
      <c r="N423" s="4"/>
      <c r="O423" s="4"/>
      <c r="P423" s="4"/>
      <c r="Q423" s="4"/>
      <c r="R423" s="4"/>
      <c r="S423" s="4"/>
      <c r="T423" s="4"/>
      <c r="U423" s="4"/>
      <c r="V423" s="4"/>
      <c r="W423" s="4"/>
      <c r="X423" s="4"/>
      <c r="Y423" s="4"/>
      <c r="Z423" s="4"/>
    </row>
    <row r="424" ht="14.25" customHeight="1">
      <c r="A424" s="4"/>
      <c r="B424" s="4"/>
      <c r="C424" s="4"/>
      <c r="D424" s="4"/>
      <c r="E424" s="4"/>
      <c r="F424" s="188"/>
      <c r="G424" s="188"/>
      <c r="H424" s="4"/>
      <c r="I424" s="4"/>
      <c r="J424" s="4"/>
      <c r="K424" s="4"/>
      <c r="L424" s="4"/>
      <c r="M424" s="4"/>
      <c r="N424" s="4"/>
      <c r="O424" s="4"/>
      <c r="P424" s="4"/>
      <c r="Q424" s="4"/>
      <c r="R424" s="4"/>
      <c r="S424" s="4"/>
      <c r="T424" s="4"/>
      <c r="U424" s="4"/>
      <c r="V424" s="4"/>
      <c r="W424" s="4"/>
      <c r="X424" s="4"/>
      <c r="Y424" s="4"/>
      <c r="Z424" s="4"/>
    </row>
    <row r="425" ht="14.25" customHeight="1">
      <c r="A425" s="4"/>
      <c r="B425" s="4"/>
      <c r="C425" s="4"/>
      <c r="D425" s="4"/>
      <c r="E425" s="4"/>
      <c r="F425" s="188"/>
      <c r="G425" s="188"/>
      <c r="H425" s="4"/>
      <c r="I425" s="4"/>
      <c r="J425" s="4"/>
      <c r="K425" s="4"/>
      <c r="L425" s="4"/>
      <c r="M425" s="4"/>
      <c r="N425" s="4"/>
      <c r="O425" s="4"/>
      <c r="P425" s="4"/>
      <c r="Q425" s="4"/>
      <c r="R425" s="4"/>
      <c r="S425" s="4"/>
      <c r="T425" s="4"/>
      <c r="U425" s="4"/>
      <c r="V425" s="4"/>
      <c r="W425" s="4"/>
      <c r="X425" s="4"/>
      <c r="Y425" s="4"/>
      <c r="Z425" s="4"/>
    </row>
    <row r="426" ht="14.25" customHeight="1">
      <c r="A426" s="4"/>
      <c r="B426" s="4"/>
      <c r="C426" s="4"/>
      <c r="D426" s="4"/>
      <c r="E426" s="4"/>
      <c r="F426" s="188"/>
      <c r="G426" s="188"/>
      <c r="H426" s="4"/>
      <c r="I426" s="4"/>
      <c r="J426" s="4"/>
      <c r="K426" s="4"/>
      <c r="L426" s="4"/>
      <c r="M426" s="4"/>
      <c r="N426" s="4"/>
      <c r="O426" s="4"/>
      <c r="P426" s="4"/>
      <c r="Q426" s="4"/>
      <c r="R426" s="4"/>
      <c r="S426" s="4"/>
      <c r="T426" s="4"/>
      <c r="U426" s="4"/>
      <c r="V426" s="4"/>
      <c r="W426" s="4"/>
      <c r="X426" s="4"/>
      <c r="Y426" s="4"/>
      <c r="Z426" s="4"/>
    </row>
    <row r="427" ht="14.25" customHeight="1">
      <c r="A427" s="4"/>
      <c r="B427" s="4"/>
      <c r="C427" s="4"/>
      <c r="D427" s="4"/>
      <c r="E427" s="4"/>
      <c r="F427" s="188"/>
      <c r="G427" s="188"/>
      <c r="H427" s="4"/>
      <c r="I427" s="4"/>
      <c r="J427" s="4"/>
      <c r="K427" s="4"/>
      <c r="L427" s="4"/>
      <c r="M427" s="4"/>
      <c r="N427" s="4"/>
      <c r="O427" s="4"/>
      <c r="P427" s="4"/>
      <c r="Q427" s="4"/>
      <c r="R427" s="4"/>
      <c r="S427" s="4"/>
      <c r="T427" s="4"/>
      <c r="U427" s="4"/>
      <c r="V427" s="4"/>
      <c r="W427" s="4"/>
      <c r="X427" s="4"/>
      <c r="Y427" s="4"/>
      <c r="Z427" s="4"/>
    </row>
    <row r="428" ht="14.25" customHeight="1">
      <c r="A428" s="4"/>
      <c r="B428" s="4"/>
      <c r="C428" s="4"/>
      <c r="D428" s="4"/>
      <c r="E428" s="4"/>
      <c r="F428" s="188"/>
      <c r="G428" s="188"/>
      <c r="H428" s="4"/>
      <c r="I428" s="4"/>
      <c r="J428" s="4"/>
      <c r="K428" s="4"/>
      <c r="L428" s="4"/>
      <c r="M428" s="4"/>
      <c r="N428" s="4"/>
      <c r="O428" s="4"/>
      <c r="P428" s="4"/>
      <c r="Q428" s="4"/>
      <c r="R428" s="4"/>
      <c r="S428" s="4"/>
      <c r="T428" s="4"/>
      <c r="U428" s="4"/>
      <c r="V428" s="4"/>
      <c r="W428" s="4"/>
      <c r="X428" s="4"/>
      <c r="Y428" s="4"/>
      <c r="Z428" s="4"/>
    </row>
    <row r="429" ht="14.25" customHeight="1">
      <c r="A429" s="4"/>
      <c r="B429" s="4"/>
      <c r="C429" s="4"/>
      <c r="D429" s="4"/>
      <c r="E429" s="4"/>
      <c r="F429" s="188"/>
      <c r="G429" s="188"/>
      <c r="H429" s="4"/>
      <c r="I429" s="4"/>
      <c r="J429" s="4"/>
      <c r="K429" s="4"/>
      <c r="L429" s="4"/>
      <c r="M429" s="4"/>
      <c r="N429" s="4"/>
      <c r="O429" s="4"/>
      <c r="P429" s="4"/>
      <c r="Q429" s="4"/>
      <c r="R429" s="4"/>
      <c r="S429" s="4"/>
      <c r="T429" s="4"/>
      <c r="U429" s="4"/>
      <c r="V429" s="4"/>
      <c r="W429" s="4"/>
      <c r="X429" s="4"/>
      <c r="Y429" s="4"/>
      <c r="Z429" s="4"/>
    </row>
    <row r="430" ht="14.25" customHeight="1">
      <c r="A430" s="4"/>
      <c r="B430" s="4"/>
      <c r="C430" s="4"/>
      <c r="D430" s="4"/>
      <c r="E430" s="4"/>
      <c r="F430" s="188"/>
      <c r="G430" s="188"/>
      <c r="H430" s="4"/>
      <c r="I430" s="4"/>
      <c r="J430" s="4"/>
      <c r="K430" s="4"/>
      <c r="L430" s="4"/>
      <c r="M430" s="4"/>
      <c r="N430" s="4"/>
      <c r="O430" s="4"/>
      <c r="P430" s="4"/>
      <c r="Q430" s="4"/>
      <c r="R430" s="4"/>
      <c r="S430" s="4"/>
      <c r="T430" s="4"/>
      <c r="U430" s="4"/>
      <c r="V430" s="4"/>
      <c r="W430" s="4"/>
      <c r="X430" s="4"/>
      <c r="Y430" s="4"/>
      <c r="Z430" s="4"/>
    </row>
    <row r="431" ht="14.25" customHeight="1">
      <c r="A431" s="4"/>
      <c r="B431" s="4"/>
      <c r="C431" s="4"/>
      <c r="D431" s="4"/>
      <c r="E431" s="4"/>
      <c r="F431" s="188"/>
      <c r="G431" s="188"/>
      <c r="H431" s="4"/>
      <c r="I431" s="4"/>
      <c r="J431" s="4"/>
      <c r="K431" s="4"/>
      <c r="L431" s="4"/>
      <c r="M431" s="4"/>
      <c r="N431" s="4"/>
      <c r="O431" s="4"/>
      <c r="P431" s="4"/>
      <c r="Q431" s="4"/>
      <c r="R431" s="4"/>
      <c r="S431" s="4"/>
      <c r="T431" s="4"/>
      <c r="U431" s="4"/>
      <c r="V431" s="4"/>
      <c r="W431" s="4"/>
      <c r="X431" s="4"/>
      <c r="Y431" s="4"/>
      <c r="Z431" s="4"/>
    </row>
    <row r="432" ht="14.25" customHeight="1">
      <c r="A432" s="4"/>
      <c r="B432" s="4"/>
      <c r="C432" s="4"/>
      <c r="D432" s="4"/>
      <c r="E432" s="4"/>
      <c r="F432" s="188"/>
      <c r="G432" s="188"/>
      <c r="H432" s="4"/>
      <c r="I432" s="4"/>
      <c r="J432" s="4"/>
      <c r="K432" s="4"/>
      <c r="L432" s="4"/>
      <c r="M432" s="4"/>
      <c r="N432" s="4"/>
      <c r="O432" s="4"/>
      <c r="P432" s="4"/>
      <c r="Q432" s="4"/>
      <c r="R432" s="4"/>
      <c r="S432" s="4"/>
      <c r="T432" s="4"/>
      <c r="U432" s="4"/>
      <c r="V432" s="4"/>
      <c r="W432" s="4"/>
      <c r="X432" s="4"/>
      <c r="Y432" s="4"/>
      <c r="Z432" s="4"/>
    </row>
    <row r="433" ht="14.25" customHeight="1">
      <c r="A433" s="4"/>
      <c r="B433" s="4"/>
      <c r="C433" s="4"/>
      <c r="D433" s="4"/>
      <c r="E433" s="4"/>
      <c r="F433" s="188"/>
      <c r="G433" s="188"/>
      <c r="H433" s="4"/>
      <c r="I433" s="4"/>
      <c r="J433" s="4"/>
      <c r="K433" s="4"/>
      <c r="L433" s="4"/>
      <c r="M433" s="4"/>
      <c r="N433" s="4"/>
      <c r="O433" s="4"/>
      <c r="P433" s="4"/>
      <c r="Q433" s="4"/>
      <c r="R433" s="4"/>
      <c r="S433" s="4"/>
      <c r="T433" s="4"/>
      <c r="U433" s="4"/>
      <c r="V433" s="4"/>
      <c r="W433" s="4"/>
      <c r="X433" s="4"/>
      <c r="Y433" s="4"/>
      <c r="Z433" s="4"/>
    </row>
    <row r="434" ht="14.25" customHeight="1">
      <c r="A434" s="4"/>
      <c r="B434" s="4"/>
      <c r="C434" s="4"/>
      <c r="D434" s="4"/>
      <c r="E434" s="4"/>
      <c r="F434" s="188"/>
      <c r="G434" s="188"/>
      <c r="H434" s="4"/>
      <c r="I434" s="4"/>
      <c r="J434" s="4"/>
      <c r="K434" s="4"/>
      <c r="L434" s="4"/>
      <c r="M434" s="4"/>
      <c r="N434" s="4"/>
      <c r="O434" s="4"/>
      <c r="P434" s="4"/>
      <c r="Q434" s="4"/>
      <c r="R434" s="4"/>
      <c r="S434" s="4"/>
      <c r="T434" s="4"/>
      <c r="U434" s="4"/>
      <c r="V434" s="4"/>
      <c r="W434" s="4"/>
      <c r="X434" s="4"/>
      <c r="Y434" s="4"/>
      <c r="Z434" s="4"/>
    </row>
    <row r="435" ht="14.25" customHeight="1">
      <c r="A435" s="4"/>
      <c r="B435" s="4"/>
      <c r="C435" s="4"/>
      <c r="D435" s="4"/>
      <c r="E435" s="4"/>
      <c r="F435" s="188"/>
      <c r="G435" s="188"/>
      <c r="H435" s="4"/>
      <c r="I435" s="4"/>
      <c r="J435" s="4"/>
      <c r="K435" s="4"/>
      <c r="L435" s="4"/>
      <c r="M435" s="4"/>
      <c r="N435" s="4"/>
      <c r="O435" s="4"/>
      <c r="P435" s="4"/>
      <c r="Q435" s="4"/>
      <c r="R435" s="4"/>
      <c r="S435" s="4"/>
      <c r="T435" s="4"/>
      <c r="U435" s="4"/>
      <c r="V435" s="4"/>
      <c r="W435" s="4"/>
      <c r="X435" s="4"/>
      <c r="Y435" s="4"/>
      <c r="Z435" s="4"/>
    </row>
    <row r="436" ht="14.25" customHeight="1">
      <c r="A436" s="4"/>
      <c r="B436" s="4"/>
      <c r="C436" s="4"/>
      <c r="D436" s="4"/>
      <c r="E436" s="4"/>
      <c r="F436" s="188"/>
      <c r="G436" s="188"/>
      <c r="H436" s="4"/>
      <c r="I436" s="4"/>
      <c r="J436" s="4"/>
      <c r="K436" s="4"/>
      <c r="L436" s="4"/>
      <c r="M436" s="4"/>
      <c r="N436" s="4"/>
      <c r="O436" s="4"/>
      <c r="P436" s="4"/>
      <c r="Q436" s="4"/>
      <c r="R436" s="4"/>
      <c r="S436" s="4"/>
      <c r="T436" s="4"/>
      <c r="U436" s="4"/>
      <c r="V436" s="4"/>
      <c r="W436" s="4"/>
      <c r="X436" s="4"/>
      <c r="Y436" s="4"/>
      <c r="Z436" s="4"/>
    </row>
    <row r="437" ht="14.25" customHeight="1">
      <c r="A437" s="4"/>
      <c r="B437" s="4"/>
      <c r="C437" s="4"/>
      <c r="D437" s="4"/>
      <c r="E437" s="4"/>
      <c r="F437" s="188"/>
      <c r="G437" s="188"/>
      <c r="H437" s="4"/>
      <c r="I437" s="4"/>
      <c r="J437" s="4"/>
      <c r="K437" s="4"/>
      <c r="L437" s="4"/>
      <c r="M437" s="4"/>
      <c r="N437" s="4"/>
      <c r="O437" s="4"/>
      <c r="P437" s="4"/>
      <c r="Q437" s="4"/>
      <c r="R437" s="4"/>
      <c r="S437" s="4"/>
      <c r="T437" s="4"/>
      <c r="U437" s="4"/>
      <c r="V437" s="4"/>
      <c r="W437" s="4"/>
      <c r="X437" s="4"/>
      <c r="Y437" s="4"/>
      <c r="Z437" s="4"/>
    </row>
    <row r="438" ht="14.25" customHeight="1">
      <c r="A438" s="4"/>
      <c r="B438" s="4"/>
      <c r="C438" s="4"/>
      <c r="D438" s="4"/>
      <c r="E438" s="4"/>
      <c r="F438" s="188"/>
      <c r="G438" s="188"/>
      <c r="H438" s="4"/>
      <c r="I438" s="4"/>
      <c r="J438" s="4"/>
      <c r="K438" s="4"/>
      <c r="L438" s="4"/>
      <c r="M438" s="4"/>
      <c r="N438" s="4"/>
      <c r="O438" s="4"/>
      <c r="P438" s="4"/>
      <c r="Q438" s="4"/>
      <c r="R438" s="4"/>
      <c r="S438" s="4"/>
      <c r="T438" s="4"/>
      <c r="U438" s="4"/>
      <c r="V438" s="4"/>
      <c r="W438" s="4"/>
      <c r="X438" s="4"/>
      <c r="Y438" s="4"/>
      <c r="Z438" s="4"/>
    </row>
    <row r="439" ht="14.25" customHeight="1">
      <c r="A439" s="4"/>
      <c r="B439" s="4"/>
      <c r="C439" s="4"/>
      <c r="D439" s="4"/>
      <c r="E439" s="4"/>
      <c r="F439" s="188"/>
      <c r="G439" s="188"/>
      <c r="H439" s="4"/>
      <c r="I439" s="4"/>
      <c r="J439" s="4"/>
      <c r="K439" s="4"/>
      <c r="L439" s="4"/>
      <c r="M439" s="4"/>
      <c r="N439" s="4"/>
      <c r="O439" s="4"/>
      <c r="P439" s="4"/>
      <c r="Q439" s="4"/>
      <c r="R439" s="4"/>
      <c r="S439" s="4"/>
      <c r="T439" s="4"/>
      <c r="U439" s="4"/>
      <c r="V439" s="4"/>
      <c r="W439" s="4"/>
      <c r="X439" s="4"/>
      <c r="Y439" s="4"/>
      <c r="Z439" s="4"/>
    </row>
    <row r="440" ht="14.25" customHeight="1">
      <c r="A440" s="4"/>
      <c r="B440" s="4"/>
      <c r="C440" s="4"/>
      <c r="D440" s="4"/>
      <c r="E440" s="4"/>
      <c r="F440" s="188"/>
      <c r="G440" s="188"/>
      <c r="H440" s="4"/>
      <c r="I440" s="4"/>
      <c r="J440" s="4"/>
      <c r="K440" s="4"/>
      <c r="L440" s="4"/>
      <c r="M440" s="4"/>
      <c r="N440" s="4"/>
      <c r="O440" s="4"/>
      <c r="P440" s="4"/>
      <c r="Q440" s="4"/>
      <c r="R440" s="4"/>
      <c r="S440" s="4"/>
      <c r="T440" s="4"/>
      <c r="U440" s="4"/>
      <c r="V440" s="4"/>
      <c r="W440" s="4"/>
      <c r="X440" s="4"/>
      <c r="Y440" s="4"/>
      <c r="Z440" s="4"/>
    </row>
    <row r="441" ht="14.25" customHeight="1">
      <c r="A441" s="4"/>
      <c r="B441" s="4"/>
      <c r="C441" s="4"/>
      <c r="D441" s="4"/>
      <c r="E441" s="4"/>
      <c r="F441" s="188"/>
      <c r="G441" s="188"/>
      <c r="H441" s="4"/>
      <c r="I441" s="4"/>
      <c r="J441" s="4"/>
      <c r="K441" s="4"/>
      <c r="L441" s="4"/>
      <c r="M441" s="4"/>
      <c r="N441" s="4"/>
      <c r="O441" s="4"/>
      <c r="P441" s="4"/>
      <c r="Q441" s="4"/>
      <c r="R441" s="4"/>
      <c r="S441" s="4"/>
      <c r="T441" s="4"/>
      <c r="U441" s="4"/>
      <c r="V441" s="4"/>
      <c r="W441" s="4"/>
      <c r="X441" s="4"/>
      <c r="Y441" s="4"/>
      <c r="Z441" s="4"/>
    </row>
    <row r="442" ht="14.25" customHeight="1">
      <c r="A442" s="4"/>
      <c r="B442" s="4"/>
      <c r="C442" s="4"/>
      <c r="D442" s="4"/>
      <c r="E442" s="4"/>
      <c r="F442" s="188"/>
      <c r="G442" s="188"/>
      <c r="H442" s="4"/>
      <c r="I442" s="4"/>
      <c r="J442" s="4"/>
      <c r="K442" s="4"/>
      <c r="L442" s="4"/>
      <c r="M442" s="4"/>
      <c r="N442" s="4"/>
      <c r="O442" s="4"/>
      <c r="P442" s="4"/>
      <c r="Q442" s="4"/>
      <c r="R442" s="4"/>
      <c r="S442" s="4"/>
      <c r="T442" s="4"/>
      <c r="U442" s="4"/>
      <c r="V442" s="4"/>
      <c r="W442" s="4"/>
      <c r="X442" s="4"/>
      <c r="Y442" s="4"/>
      <c r="Z442" s="4"/>
    </row>
    <row r="443" ht="14.25" customHeight="1">
      <c r="A443" s="4"/>
      <c r="B443" s="4"/>
      <c r="C443" s="4"/>
      <c r="D443" s="4"/>
      <c r="E443" s="4"/>
      <c r="F443" s="188"/>
      <c r="G443" s="188"/>
      <c r="H443" s="4"/>
      <c r="I443" s="4"/>
      <c r="J443" s="4"/>
      <c r="K443" s="4"/>
      <c r="L443" s="4"/>
      <c r="M443" s="4"/>
      <c r="N443" s="4"/>
      <c r="O443" s="4"/>
      <c r="P443" s="4"/>
      <c r="Q443" s="4"/>
      <c r="R443" s="4"/>
      <c r="S443" s="4"/>
      <c r="T443" s="4"/>
      <c r="U443" s="4"/>
      <c r="V443" s="4"/>
      <c r="W443" s="4"/>
      <c r="X443" s="4"/>
      <c r="Y443" s="4"/>
      <c r="Z443" s="4"/>
    </row>
    <row r="444" ht="14.25" customHeight="1">
      <c r="A444" s="4"/>
      <c r="B444" s="4"/>
      <c r="C444" s="4"/>
      <c r="D444" s="4"/>
      <c r="E444" s="4"/>
      <c r="F444" s="188"/>
      <c r="G444" s="188"/>
      <c r="H444" s="4"/>
      <c r="I444" s="4"/>
      <c r="J444" s="4"/>
      <c r="K444" s="4"/>
      <c r="L444" s="4"/>
      <c r="M444" s="4"/>
      <c r="N444" s="4"/>
      <c r="O444" s="4"/>
      <c r="P444" s="4"/>
      <c r="Q444" s="4"/>
      <c r="R444" s="4"/>
      <c r="S444" s="4"/>
      <c r="T444" s="4"/>
      <c r="U444" s="4"/>
      <c r="V444" s="4"/>
      <c r="W444" s="4"/>
      <c r="X444" s="4"/>
      <c r="Y444" s="4"/>
      <c r="Z444" s="4"/>
    </row>
    <row r="445" ht="14.25" customHeight="1">
      <c r="A445" s="4"/>
      <c r="B445" s="4"/>
      <c r="C445" s="4"/>
      <c r="D445" s="4"/>
      <c r="E445" s="4"/>
      <c r="F445" s="188"/>
      <c r="G445" s="188"/>
      <c r="H445" s="4"/>
      <c r="I445" s="4"/>
      <c r="J445" s="4"/>
      <c r="K445" s="4"/>
      <c r="L445" s="4"/>
      <c r="M445" s="4"/>
      <c r="N445" s="4"/>
      <c r="O445" s="4"/>
      <c r="P445" s="4"/>
      <c r="Q445" s="4"/>
      <c r="R445" s="4"/>
      <c r="S445" s="4"/>
      <c r="T445" s="4"/>
      <c r="U445" s="4"/>
      <c r="V445" s="4"/>
      <c r="W445" s="4"/>
      <c r="X445" s="4"/>
      <c r="Y445" s="4"/>
      <c r="Z445" s="4"/>
    </row>
    <row r="446" ht="14.25" customHeight="1">
      <c r="A446" s="4"/>
      <c r="B446" s="4"/>
      <c r="C446" s="4"/>
      <c r="D446" s="4"/>
      <c r="E446" s="4"/>
      <c r="F446" s="188"/>
      <c r="G446" s="188"/>
      <c r="H446" s="4"/>
      <c r="I446" s="4"/>
      <c r="J446" s="4"/>
      <c r="K446" s="4"/>
      <c r="L446" s="4"/>
      <c r="M446" s="4"/>
      <c r="N446" s="4"/>
      <c r="O446" s="4"/>
      <c r="P446" s="4"/>
      <c r="Q446" s="4"/>
      <c r="R446" s="4"/>
      <c r="S446" s="4"/>
      <c r="T446" s="4"/>
      <c r="U446" s="4"/>
      <c r="V446" s="4"/>
      <c r="W446" s="4"/>
      <c r="X446" s="4"/>
      <c r="Y446" s="4"/>
      <c r="Z446" s="4"/>
    </row>
    <row r="447" ht="14.25" customHeight="1">
      <c r="A447" s="4"/>
      <c r="B447" s="4"/>
      <c r="C447" s="4"/>
      <c r="D447" s="4"/>
      <c r="E447" s="4"/>
      <c r="F447" s="188"/>
      <c r="G447" s="188"/>
      <c r="H447" s="4"/>
      <c r="I447" s="4"/>
      <c r="J447" s="4"/>
      <c r="K447" s="4"/>
      <c r="L447" s="4"/>
      <c r="M447" s="4"/>
      <c r="N447" s="4"/>
      <c r="O447" s="4"/>
      <c r="P447" s="4"/>
      <c r="Q447" s="4"/>
      <c r="R447" s="4"/>
      <c r="S447" s="4"/>
      <c r="T447" s="4"/>
      <c r="U447" s="4"/>
      <c r="V447" s="4"/>
      <c r="W447" s="4"/>
      <c r="X447" s="4"/>
      <c r="Y447" s="4"/>
      <c r="Z447" s="4"/>
    </row>
    <row r="448" ht="14.25" customHeight="1">
      <c r="A448" s="4"/>
      <c r="B448" s="4"/>
      <c r="C448" s="4"/>
      <c r="D448" s="4"/>
      <c r="E448" s="4"/>
      <c r="F448" s="188"/>
      <c r="G448" s="188"/>
      <c r="H448" s="4"/>
      <c r="I448" s="4"/>
      <c r="J448" s="4"/>
      <c r="K448" s="4"/>
      <c r="L448" s="4"/>
      <c r="M448" s="4"/>
      <c r="N448" s="4"/>
      <c r="O448" s="4"/>
      <c r="P448" s="4"/>
      <c r="Q448" s="4"/>
      <c r="R448" s="4"/>
      <c r="S448" s="4"/>
      <c r="T448" s="4"/>
      <c r="U448" s="4"/>
      <c r="V448" s="4"/>
      <c r="W448" s="4"/>
      <c r="X448" s="4"/>
      <c r="Y448" s="4"/>
      <c r="Z448" s="4"/>
    </row>
    <row r="449" ht="14.25" customHeight="1">
      <c r="A449" s="4"/>
      <c r="B449" s="4"/>
      <c r="C449" s="4"/>
      <c r="D449" s="4"/>
      <c r="E449" s="4"/>
      <c r="F449" s="188"/>
      <c r="G449" s="188"/>
      <c r="H449" s="4"/>
      <c r="I449" s="4"/>
      <c r="J449" s="4"/>
      <c r="K449" s="4"/>
      <c r="L449" s="4"/>
      <c r="M449" s="4"/>
      <c r="N449" s="4"/>
      <c r="O449" s="4"/>
      <c r="P449" s="4"/>
      <c r="Q449" s="4"/>
      <c r="R449" s="4"/>
      <c r="S449" s="4"/>
      <c r="T449" s="4"/>
      <c r="U449" s="4"/>
      <c r="V449" s="4"/>
      <c r="W449" s="4"/>
      <c r="X449" s="4"/>
      <c r="Y449" s="4"/>
      <c r="Z449" s="4"/>
    </row>
    <row r="450" ht="14.25" customHeight="1">
      <c r="A450" s="4"/>
      <c r="B450" s="4"/>
      <c r="C450" s="4"/>
      <c r="D450" s="4"/>
      <c r="E450" s="4"/>
      <c r="F450" s="188"/>
      <c r="G450" s="188"/>
      <c r="H450" s="4"/>
      <c r="I450" s="4"/>
      <c r="J450" s="4"/>
      <c r="K450" s="4"/>
      <c r="L450" s="4"/>
      <c r="M450" s="4"/>
      <c r="N450" s="4"/>
      <c r="O450" s="4"/>
      <c r="P450" s="4"/>
      <c r="Q450" s="4"/>
      <c r="R450" s="4"/>
      <c r="S450" s="4"/>
      <c r="T450" s="4"/>
      <c r="U450" s="4"/>
      <c r="V450" s="4"/>
      <c r="W450" s="4"/>
      <c r="X450" s="4"/>
      <c r="Y450" s="4"/>
      <c r="Z450" s="4"/>
    </row>
    <row r="451" ht="14.25" customHeight="1">
      <c r="A451" s="4"/>
      <c r="B451" s="4"/>
      <c r="C451" s="4"/>
      <c r="D451" s="4"/>
      <c r="E451" s="4"/>
      <c r="F451" s="188"/>
      <c r="G451" s="188"/>
      <c r="H451" s="4"/>
      <c r="I451" s="4"/>
      <c r="J451" s="4"/>
      <c r="K451" s="4"/>
      <c r="L451" s="4"/>
      <c r="M451" s="4"/>
      <c r="N451" s="4"/>
      <c r="O451" s="4"/>
      <c r="P451" s="4"/>
      <c r="Q451" s="4"/>
      <c r="R451" s="4"/>
      <c r="S451" s="4"/>
      <c r="T451" s="4"/>
      <c r="U451" s="4"/>
      <c r="V451" s="4"/>
      <c r="W451" s="4"/>
      <c r="X451" s="4"/>
      <c r="Y451" s="4"/>
      <c r="Z451" s="4"/>
    </row>
    <row r="452" ht="14.25" customHeight="1">
      <c r="A452" s="4"/>
      <c r="B452" s="4"/>
      <c r="C452" s="4"/>
      <c r="D452" s="4"/>
      <c r="E452" s="4"/>
      <c r="F452" s="188"/>
      <c r="G452" s="188"/>
      <c r="H452" s="4"/>
      <c r="I452" s="4"/>
      <c r="J452" s="4"/>
      <c r="K452" s="4"/>
      <c r="L452" s="4"/>
      <c r="M452" s="4"/>
      <c r="N452" s="4"/>
      <c r="O452" s="4"/>
      <c r="P452" s="4"/>
      <c r="Q452" s="4"/>
      <c r="R452" s="4"/>
      <c r="S452" s="4"/>
      <c r="T452" s="4"/>
      <c r="U452" s="4"/>
      <c r="V452" s="4"/>
      <c r="W452" s="4"/>
      <c r="X452" s="4"/>
      <c r="Y452" s="4"/>
      <c r="Z452" s="4"/>
    </row>
    <row r="453" ht="14.25" customHeight="1">
      <c r="A453" s="4"/>
      <c r="B453" s="4"/>
      <c r="C453" s="4"/>
      <c r="D453" s="4"/>
      <c r="E453" s="4"/>
      <c r="F453" s="188"/>
      <c r="G453" s="188"/>
      <c r="H453" s="4"/>
      <c r="I453" s="4"/>
      <c r="J453" s="4"/>
      <c r="K453" s="4"/>
      <c r="L453" s="4"/>
      <c r="M453" s="4"/>
      <c r="N453" s="4"/>
      <c r="O453" s="4"/>
      <c r="P453" s="4"/>
      <c r="Q453" s="4"/>
      <c r="R453" s="4"/>
      <c r="S453" s="4"/>
      <c r="T453" s="4"/>
      <c r="U453" s="4"/>
      <c r="V453" s="4"/>
      <c r="W453" s="4"/>
      <c r="X453" s="4"/>
      <c r="Y453" s="4"/>
      <c r="Z453" s="4"/>
    </row>
    <row r="454" ht="14.25" customHeight="1">
      <c r="A454" s="4"/>
      <c r="B454" s="4"/>
      <c r="C454" s="4"/>
      <c r="D454" s="4"/>
      <c r="E454" s="4"/>
      <c r="F454" s="188"/>
      <c r="G454" s="188"/>
      <c r="H454" s="4"/>
      <c r="I454" s="4"/>
      <c r="J454" s="4"/>
      <c r="K454" s="4"/>
      <c r="L454" s="4"/>
      <c r="M454" s="4"/>
      <c r="N454" s="4"/>
      <c r="O454" s="4"/>
      <c r="P454" s="4"/>
      <c r="Q454" s="4"/>
      <c r="R454" s="4"/>
      <c r="S454" s="4"/>
      <c r="T454" s="4"/>
      <c r="U454" s="4"/>
      <c r="V454" s="4"/>
      <c r="W454" s="4"/>
      <c r="X454" s="4"/>
      <c r="Y454" s="4"/>
      <c r="Z454" s="4"/>
    </row>
    <row r="455" ht="14.25" customHeight="1">
      <c r="A455" s="4"/>
      <c r="B455" s="4"/>
      <c r="C455" s="4"/>
      <c r="D455" s="4"/>
      <c r="E455" s="4"/>
      <c r="F455" s="188"/>
      <c r="G455" s="188"/>
      <c r="H455" s="4"/>
      <c r="I455" s="4"/>
      <c r="J455" s="4"/>
      <c r="K455" s="4"/>
      <c r="L455" s="4"/>
      <c r="M455" s="4"/>
      <c r="N455" s="4"/>
      <c r="O455" s="4"/>
      <c r="P455" s="4"/>
      <c r="Q455" s="4"/>
      <c r="R455" s="4"/>
      <c r="S455" s="4"/>
      <c r="T455" s="4"/>
      <c r="U455" s="4"/>
      <c r="V455" s="4"/>
      <c r="W455" s="4"/>
      <c r="X455" s="4"/>
      <c r="Y455" s="4"/>
      <c r="Z455" s="4"/>
    </row>
    <row r="456" ht="14.25" customHeight="1">
      <c r="A456" s="4"/>
      <c r="B456" s="4"/>
      <c r="C456" s="4"/>
      <c r="D456" s="4"/>
      <c r="E456" s="4"/>
      <c r="F456" s="188"/>
      <c r="G456" s="188"/>
      <c r="H456" s="4"/>
      <c r="I456" s="4"/>
      <c r="J456" s="4"/>
      <c r="K456" s="4"/>
      <c r="L456" s="4"/>
      <c r="M456" s="4"/>
      <c r="N456" s="4"/>
      <c r="O456" s="4"/>
      <c r="P456" s="4"/>
      <c r="Q456" s="4"/>
      <c r="R456" s="4"/>
      <c r="S456" s="4"/>
      <c r="T456" s="4"/>
      <c r="U456" s="4"/>
      <c r="V456" s="4"/>
      <c r="W456" s="4"/>
      <c r="X456" s="4"/>
      <c r="Y456" s="4"/>
      <c r="Z456" s="4"/>
    </row>
    <row r="457" ht="14.25" customHeight="1">
      <c r="A457" s="4"/>
      <c r="B457" s="4"/>
      <c r="C457" s="4"/>
      <c r="D457" s="4"/>
      <c r="E457" s="4"/>
      <c r="F457" s="188"/>
      <c r="G457" s="188"/>
      <c r="H457" s="4"/>
      <c r="I457" s="4"/>
      <c r="J457" s="4"/>
      <c r="K457" s="4"/>
      <c r="L457" s="4"/>
      <c r="M457" s="4"/>
      <c r="N457" s="4"/>
      <c r="O457" s="4"/>
      <c r="P457" s="4"/>
      <c r="Q457" s="4"/>
      <c r="R457" s="4"/>
      <c r="S457" s="4"/>
      <c r="T457" s="4"/>
      <c r="U457" s="4"/>
      <c r="V457" s="4"/>
      <c r="W457" s="4"/>
      <c r="X457" s="4"/>
      <c r="Y457" s="4"/>
      <c r="Z457" s="4"/>
    </row>
    <row r="458" ht="14.25" customHeight="1">
      <c r="A458" s="4"/>
      <c r="B458" s="4"/>
      <c r="C458" s="4"/>
      <c r="D458" s="4"/>
      <c r="E458" s="4"/>
      <c r="F458" s="188"/>
      <c r="G458" s="188"/>
      <c r="H458" s="4"/>
      <c r="I458" s="4"/>
      <c r="J458" s="4"/>
      <c r="K458" s="4"/>
      <c r="L458" s="4"/>
      <c r="M458" s="4"/>
      <c r="N458" s="4"/>
      <c r="O458" s="4"/>
      <c r="P458" s="4"/>
      <c r="Q458" s="4"/>
      <c r="R458" s="4"/>
      <c r="S458" s="4"/>
      <c r="T458" s="4"/>
      <c r="U458" s="4"/>
      <c r="V458" s="4"/>
      <c r="W458" s="4"/>
      <c r="X458" s="4"/>
      <c r="Y458" s="4"/>
      <c r="Z458" s="4"/>
    </row>
    <row r="459" ht="14.25" customHeight="1">
      <c r="A459" s="4"/>
      <c r="B459" s="4"/>
      <c r="C459" s="4"/>
      <c r="D459" s="4"/>
      <c r="E459" s="4"/>
      <c r="F459" s="188"/>
      <c r="G459" s="188"/>
      <c r="H459" s="4"/>
      <c r="I459" s="4"/>
      <c r="J459" s="4"/>
      <c r="K459" s="4"/>
      <c r="L459" s="4"/>
      <c r="M459" s="4"/>
      <c r="N459" s="4"/>
      <c r="O459" s="4"/>
      <c r="P459" s="4"/>
      <c r="Q459" s="4"/>
      <c r="R459" s="4"/>
      <c r="S459" s="4"/>
      <c r="T459" s="4"/>
      <c r="U459" s="4"/>
      <c r="V459" s="4"/>
      <c r="W459" s="4"/>
      <c r="X459" s="4"/>
      <c r="Y459" s="4"/>
      <c r="Z459" s="4"/>
    </row>
    <row r="460" ht="14.25" customHeight="1">
      <c r="A460" s="4"/>
      <c r="B460" s="4"/>
      <c r="C460" s="4"/>
      <c r="D460" s="4"/>
      <c r="E460" s="4"/>
      <c r="F460" s="188"/>
      <c r="G460" s="188"/>
      <c r="H460" s="4"/>
      <c r="I460" s="4"/>
      <c r="J460" s="4"/>
      <c r="K460" s="4"/>
      <c r="L460" s="4"/>
      <c r="M460" s="4"/>
      <c r="N460" s="4"/>
      <c r="O460" s="4"/>
      <c r="P460" s="4"/>
      <c r="Q460" s="4"/>
      <c r="R460" s="4"/>
      <c r="S460" s="4"/>
      <c r="T460" s="4"/>
      <c r="U460" s="4"/>
      <c r="V460" s="4"/>
      <c r="W460" s="4"/>
      <c r="X460" s="4"/>
      <c r="Y460" s="4"/>
      <c r="Z460" s="4"/>
    </row>
    <row r="461" ht="14.25" customHeight="1">
      <c r="A461" s="4"/>
      <c r="B461" s="4"/>
      <c r="C461" s="4"/>
      <c r="D461" s="4"/>
      <c r="E461" s="4"/>
      <c r="F461" s="188"/>
      <c r="G461" s="188"/>
      <c r="H461" s="4"/>
      <c r="I461" s="4"/>
      <c r="J461" s="4"/>
      <c r="K461" s="4"/>
      <c r="L461" s="4"/>
      <c r="M461" s="4"/>
      <c r="N461" s="4"/>
      <c r="O461" s="4"/>
      <c r="P461" s="4"/>
      <c r="Q461" s="4"/>
      <c r="R461" s="4"/>
      <c r="S461" s="4"/>
      <c r="T461" s="4"/>
      <c r="U461" s="4"/>
      <c r="V461" s="4"/>
      <c r="W461" s="4"/>
      <c r="X461" s="4"/>
      <c r="Y461" s="4"/>
      <c r="Z461" s="4"/>
    </row>
    <row r="462" ht="14.25" customHeight="1">
      <c r="A462" s="4"/>
      <c r="B462" s="4"/>
      <c r="C462" s="4"/>
      <c r="D462" s="4"/>
      <c r="E462" s="4"/>
      <c r="F462" s="188"/>
      <c r="G462" s="188"/>
      <c r="H462" s="4"/>
      <c r="I462" s="4"/>
      <c r="J462" s="4"/>
      <c r="K462" s="4"/>
      <c r="L462" s="4"/>
      <c r="M462" s="4"/>
      <c r="N462" s="4"/>
      <c r="O462" s="4"/>
      <c r="P462" s="4"/>
      <c r="Q462" s="4"/>
      <c r="R462" s="4"/>
      <c r="S462" s="4"/>
      <c r="T462" s="4"/>
      <c r="U462" s="4"/>
      <c r="V462" s="4"/>
      <c r="W462" s="4"/>
      <c r="X462" s="4"/>
      <c r="Y462" s="4"/>
      <c r="Z462" s="4"/>
    </row>
    <row r="463" ht="14.25" customHeight="1">
      <c r="A463" s="4"/>
      <c r="B463" s="4"/>
      <c r="C463" s="4"/>
      <c r="D463" s="4"/>
      <c r="E463" s="4"/>
      <c r="F463" s="188"/>
      <c r="G463" s="188"/>
      <c r="H463" s="4"/>
      <c r="I463" s="4"/>
      <c r="J463" s="4"/>
      <c r="K463" s="4"/>
      <c r="L463" s="4"/>
      <c r="M463" s="4"/>
      <c r="N463" s="4"/>
      <c r="O463" s="4"/>
      <c r="P463" s="4"/>
      <c r="Q463" s="4"/>
      <c r="R463" s="4"/>
      <c r="S463" s="4"/>
      <c r="T463" s="4"/>
      <c r="U463" s="4"/>
      <c r="V463" s="4"/>
      <c r="W463" s="4"/>
      <c r="X463" s="4"/>
      <c r="Y463" s="4"/>
      <c r="Z463" s="4"/>
    </row>
    <row r="464" ht="14.25" customHeight="1">
      <c r="A464" s="4"/>
      <c r="B464" s="4"/>
      <c r="C464" s="4"/>
      <c r="D464" s="4"/>
      <c r="E464" s="4"/>
      <c r="F464" s="188"/>
      <c r="G464" s="188"/>
      <c r="H464" s="4"/>
      <c r="I464" s="4"/>
      <c r="J464" s="4"/>
      <c r="K464" s="4"/>
      <c r="L464" s="4"/>
      <c r="M464" s="4"/>
      <c r="N464" s="4"/>
      <c r="O464" s="4"/>
      <c r="P464" s="4"/>
      <c r="Q464" s="4"/>
      <c r="R464" s="4"/>
      <c r="S464" s="4"/>
      <c r="T464" s="4"/>
      <c r="U464" s="4"/>
      <c r="V464" s="4"/>
      <c r="W464" s="4"/>
      <c r="X464" s="4"/>
      <c r="Y464" s="4"/>
      <c r="Z464" s="4"/>
    </row>
    <row r="465" ht="14.25" customHeight="1">
      <c r="A465" s="4"/>
      <c r="B465" s="4"/>
      <c r="C465" s="4"/>
      <c r="D465" s="4"/>
      <c r="E465" s="4"/>
      <c r="F465" s="188"/>
      <c r="G465" s="188"/>
      <c r="H465" s="4"/>
      <c r="I465" s="4"/>
      <c r="J465" s="4"/>
      <c r="K465" s="4"/>
      <c r="L465" s="4"/>
      <c r="M465" s="4"/>
      <c r="N465" s="4"/>
      <c r="O465" s="4"/>
      <c r="P465" s="4"/>
      <c r="Q465" s="4"/>
      <c r="R465" s="4"/>
      <c r="S465" s="4"/>
      <c r="T465" s="4"/>
      <c r="U465" s="4"/>
      <c r="V465" s="4"/>
      <c r="W465" s="4"/>
      <c r="X465" s="4"/>
      <c r="Y465" s="4"/>
      <c r="Z465" s="4"/>
    </row>
    <row r="466" ht="14.25" customHeight="1">
      <c r="A466" s="4"/>
      <c r="B466" s="4"/>
      <c r="C466" s="4"/>
      <c r="D466" s="4"/>
      <c r="E466" s="4"/>
      <c r="F466" s="188"/>
      <c r="G466" s="188"/>
      <c r="H466" s="4"/>
      <c r="I466" s="4"/>
      <c r="J466" s="4"/>
      <c r="K466" s="4"/>
      <c r="L466" s="4"/>
      <c r="M466" s="4"/>
      <c r="N466" s="4"/>
      <c r="O466" s="4"/>
      <c r="P466" s="4"/>
      <c r="Q466" s="4"/>
      <c r="R466" s="4"/>
      <c r="S466" s="4"/>
      <c r="T466" s="4"/>
      <c r="U466" s="4"/>
      <c r="V466" s="4"/>
      <c r="W466" s="4"/>
      <c r="X466" s="4"/>
      <c r="Y466" s="4"/>
      <c r="Z466" s="4"/>
    </row>
    <row r="467" ht="14.25" customHeight="1">
      <c r="A467" s="4"/>
      <c r="B467" s="4"/>
      <c r="C467" s="4"/>
      <c r="D467" s="4"/>
      <c r="E467" s="4"/>
      <c r="F467" s="188"/>
      <c r="G467" s="188"/>
      <c r="H467" s="4"/>
      <c r="I467" s="4"/>
      <c r="J467" s="4"/>
      <c r="K467" s="4"/>
      <c r="L467" s="4"/>
      <c r="M467" s="4"/>
      <c r="N467" s="4"/>
      <c r="O467" s="4"/>
      <c r="P467" s="4"/>
      <c r="Q467" s="4"/>
      <c r="R467" s="4"/>
      <c r="S467" s="4"/>
      <c r="T467" s="4"/>
      <c r="U467" s="4"/>
      <c r="V467" s="4"/>
      <c r="W467" s="4"/>
      <c r="X467" s="4"/>
      <c r="Y467" s="4"/>
      <c r="Z467" s="4"/>
    </row>
    <row r="468" ht="14.25" customHeight="1">
      <c r="A468" s="4"/>
      <c r="B468" s="4"/>
      <c r="C468" s="4"/>
      <c r="D468" s="4"/>
      <c r="E468" s="4"/>
      <c r="F468" s="188"/>
      <c r="G468" s="188"/>
      <c r="H468" s="4"/>
      <c r="I468" s="4"/>
      <c r="J468" s="4"/>
      <c r="K468" s="4"/>
      <c r="L468" s="4"/>
      <c r="M468" s="4"/>
      <c r="N468" s="4"/>
      <c r="O468" s="4"/>
      <c r="P468" s="4"/>
      <c r="Q468" s="4"/>
      <c r="R468" s="4"/>
      <c r="S468" s="4"/>
      <c r="T468" s="4"/>
      <c r="U468" s="4"/>
      <c r="V468" s="4"/>
      <c r="W468" s="4"/>
      <c r="X468" s="4"/>
      <c r="Y468" s="4"/>
      <c r="Z468" s="4"/>
    </row>
    <row r="469" ht="14.25" customHeight="1">
      <c r="A469" s="4"/>
      <c r="B469" s="4"/>
      <c r="C469" s="4"/>
      <c r="D469" s="4"/>
      <c r="E469" s="4"/>
      <c r="F469" s="188"/>
      <c r="G469" s="188"/>
      <c r="H469" s="4"/>
      <c r="I469" s="4"/>
      <c r="J469" s="4"/>
      <c r="K469" s="4"/>
      <c r="L469" s="4"/>
      <c r="M469" s="4"/>
      <c r="N469" s="4"/>
      <c r="O469" s="4"/>
      <c r="P469" s="4"/>
      <c r="Q469" s="4"/>
      <c r="R469" s="4"/>
      <c r="S469" s="4"/>
      <c r="T469" s="4"/>
      <c r="U469" s="4"/>
      <c r="V469" s="4"/>
      <c r="W469" s="4"/>
      <c r="X469" s="4"/>
      <c r="Y469" s="4"/>
      <c r="Z469" s="4"/>
    </row>
    <row r="470" ht="14.25" customHeight="1">
      <c r="A470" s="4"/>
      <c r="B470" s="4"/>
      <c r="C470" s="4"/>
      <c r="D470" s="4"/>
      <c r="E470" s="4"/>
      <c r="F470" s="188"/>
      <c r="G470" s="188"/>
      <c r="H470" s="4"/>
      <c r="I470" s="4"/>
      <c r="J470" s="4"/>
      <c r="K470" s="4"/>
      <c r="L470" s="4"/>
      <c r="M470" s="4"/>
      <c r="N470" s="4"/>
      <c r="O470" s="4"/>
      <c r="P470" s="4"/>
      <c r="Q470" s="4"/>
      <c r="R470" s="4"/>
      <c r="S470" s="4"/>
      <c r="T470" s="4"/>
      <c r="U470" s="4"/>
      <c r="V470" s="4"/>
      <c r="W470" s="4"/>
      <c r="X470" s="4"/>
      <c r="Y470" s="4"/>
      <c r="Z470" s="4"/>
    </row>
    <row r="471" ht="14.25" customHeight="1">
      <c r="A471" s="4"/>
      <c r="B471" s="4"/>
      <c r="C471" s="4"/>
      <c r="D471" s="4"/>
      <c r="E471" s="4"/>
      <c r="F471" s="188"/>
      <c r="G471" s="188"/>
      <c r="H471" s="4"/>
      <c r="I471" s="4"/>
      <c r="J471" s="4"/>
      <c r="K471" s="4"/>
      <c r="L471" s="4"/>
      <c r="M471" s="4"/>
      <c r="N471" s="4"/>
      <c r="O471" s="4"/>
      <c r="P471" s="4"/>
      <c r="Q471" s="4"/>
      <c r="R471" s="4"/>
      <c r="S471" s="4"/>
      <c r="T471" s="4"/>
      <c r="U471" s="4"/>
      <c r="V471" s="4"/>
      <c r="W471" s="4"/>
      <c r="X471" s="4"/>
      <c r="Y471" s="4"/>
      <c r="Z471" s="4"/>
    </row>
    <row r="472" ht="14.25" customHeight="1">
      <c r="A472" s="4"/>
      <c r="B472" s="4"/>
      <c r="C472" s="4"/>
      <c r="D472" s="4"/>
      <c r="E472" s="4"/>
      <c r="F472" s="188"/>
      <c r="G472" s="188"/>
      <c r="H472" s="4"/>
      <c r="I472" s="4"/>
      <c r="J472" s="4"/>
      <c r="K472" s="4"/>
      <c r="L472" s="4"/>
      <c r="M472" s="4"/>
      <c r="N472" s="4"/>
      <c r="O472" s="4"/>
      <c r="P472" s="4"/>
      <c r="Q472" s="4"/>
      <c r="R472" s="4"/>
      <c r="S472" s="4"/>
      <c r="T472" s="4"/>
      <c r="U472" s="4"/>
      <c r="V472" s="4"/>
      <c r="W472" s="4"/>
      <c r="X472" s="4"/>
      <c r="Y472" s="4"/>
      <c r="Z472" s="4"/>
    </row>
    <row r="473" ht="14.25" customHeight="1">
      <c r="A473" s="4"/>
      <c r="B473" s="4"/>
      <c r="C473" s="4"/>
      <c r="D473" s="4"/>
      <c r="E473" s="4"/>
      <c r="F473" s="188"/>
      <c r="G473" s="188"/>
      <c r="H473" s="4"/>
      <c r="I473" s="4"/>
      <c r="J473" s="4"/>
      <c r="K473" s="4"/>
      <c r="L473" s="4"/>
      <c r="M473" s="4"/>
      <c r="N473" s="4"/>
      <c r="O473" s="4"/>
      <c r="P473" s="4"/>
      <c r="Q473" s="4"/>
      <c r="R473" s="4"/>
      <c r="S473" s="4"/>
      <c r="T473" s="4"/>
      <c r="U473" s="4"/>
      <c r="V473" s="4"/>
      <c r="W473" s="4"/>
      <c r="X473" s="4"/>
      <c r="Y473" s="4"/>
      <c r="Z473" s="4"/>
    </row>
    <row r="474" ht="14.25" customHeight="1">
      <c r="A474" s="4"/>
      <c r="B474" s="4"/>
      <c r="C474" s="4"/>
      <c r="D474" s="4"/>
      <c r="E474" s="4"/>
      <c r="F474" s="188"/>
      <c r="G474" s="188"/>
      <c r="H474" s="4"/>
      <c r="I474" s="4"/>
      <c r="J474" s="4"/>
      <c r="K474" s="4"/>
      <c r="L474" s="4"/>
      <c r="M474" s="4"/>
      <c r="N474" s="4"/>
      <c r="O474" s="4"/>
      <c r="P474" s="4"/>
      <c r="Q474" s="4"/>
      <c r="R474" s="4"/>
      <c r="S474" s="4"/>
      <c r="T474" s="4"/>
      <c r="U474" s="4"/>
      <c r="V474" s="4"/>
      <c r="W474" s="4"/>
      <c r="X474" s="4"/>
      <c r="Y474" s="4"/>
      <c r="Z474" s="4"/>
    </row>
    <row r="475" ht="14.25" customHeight="1">
      <c r="A475" s="4"/>
      <c r="B475" s="4"/>
      <c r="C475" s="4"/>
      <c r="D475" s="4"/>
      <c r="E475" s="4"/>
      <c r="F475" s="188"/>
      <c r="G475" s="188"/>
      <c r="H475" s="4"/>
      <c r="I475" s="4"/>
      <c r="J475" s="4"/>
      <c r="K475" s="4"/>
      <c r="L475" s="4"/>
      <c r="M475" s="4"/>
      <c r="N475" s="4"/>
      <c r="O475" s="4"/>
      <c r="P475" s="4"/>
      <c r="Q475" s="4"/>
      <c r="R475" s="4"/>
      <c r="S475" s="4"/>
      <c r="T475" s="4"/>
      <c r="U475" s="4"/>
      <c r="V475" s="4"/>
      <c r="W475" s="4"/>
      <c r="X475" s="4"/>
      <c r="Y475" s="4"/>
      <c r="Z475" s="4"/>
    </row>
    <row r="476" ht="14.25" customHeight="1">
      <c r="A476" s="4"/>
      <c r="B476" s="4"/>
      <c r="C476" s="4"/>
      <c r="D476" s="4"/>
      <c r="E476" s="4"/>
      <c r="F476" s="188"/>
      <c r="G476" s="188"/>
      <c r="H476" s="4"/>
      <c r="I476" s="4"/>
      <c r="J476" s="4"/>
      <c r="K476" s="4"/>
      <c r="L476" s="4"/>
      <c r="M476" s="4"/>
      <c r="N476" s="4"/>
      <c r="O476" s="4"/>
      <c r="P476" s="4"/>
      <c r="Q476" s="4"/>
      <c r="R476" s="4"/>
      <c r="S476" s="4"/>
      <c r="T476" s="4"/>
      <c r="U476" s="4"/>
      <c r="V476" s="4"/>
      <c r="W476" s="4"/>
      <c r="X476" s="4"/>
      <c r="Y476" s="4"/>
      <c r="Z476" s="4"/>
    </row>
    <row r="477" ht="14.25" customHeight="1">
      <c r="A477" s="4"/>
      <c r="B477" s="4"/>
      <c r="C477" s="4"/>
      <c r="D477" s="4"/>
      <c r="E477" s="4"/>
      <c r="F477" s="188"/>
      <c r="G477" s="188"/>
      <c r="H477" s="4"/>
      <c r="I477" s="4"/>
      <c r="J477" s="4"/>
      <c r="K477" s="4"/>
      <c r="L477" s="4"/>
      <c r="M477" s="4"/>
      <c r="N477" s="4"/>
      <c r="O477" s="4"/>
      <c r="P477" s="4"/>
      <c r="Q477" s="4"/>
      <c r="R477" s="4"/>
      <c r="S477" s="4"/>
      <c r="T477" s="4"/>
      <c r="U477" s="4"/>
      <c r="V477" s="4"/>
      <c r="W477" s="4"/>
      <c r="X477" s="4"/>
      <c r="Y477" s="4"/>
      <c r="Z477" s="4"/>
    </row>
    <row r="478" ht="14.25" customHeight="1">
      <c r="A478" s="4"/>
      <c r="B478" s="4"/>
      <c r="C478" s="4"/>
      <c r="D478" s="4"/>
      <c r="E478" s="4"/>
      <c r="F478" s="188"/>
      <c r="G478" s="188"/>
      <c r="H478" s="4"/>
      <c r="I478" s="4"/>
      <c r="J478" s="4"/>
      <c r="K478" s="4"/>
      <c r="L478" s="4"/>
      <c r="M478" s="4"/>
      <c r="N478" s="4"/>
      <c r="O478" s="4"/>
      <c r="P478" s="4"/>
      <c r="Q478" s="4"/>
      <c r="R478" s="4"/>
      <c r="S478" s="4"/>
      <c r="T478" s="4"/>
      <c r="U478" s="4"/>
      <c r="V478" s="4"/>
      <c r="W478" s="4"/>
      <c r="X478" s="4"/>
      <c r="Y478" s="4"/>
      <c r="Z478" s="4"/>
    </row>
    <row r="479" ht="14.25" customHeight="1">
      <c r="A479" s="4"/>
      <c r="B479" s="4"/>
      <c r="C479" s="4"/>
      <c r="D479" s="4"/>
      <c r="E479" s="4"/>
      <c r="F479" s="188"/>
      <c r="G479" s="188"/>
      <c r="H479" s="4"/>
      <c r="I479" s="4"/>
      <c r="J479" s="4"/>
      <c r="K479" s="4"/>
      <c r="L479" s="4"/>
      <c r="M479" s="4"/>
      <c r="N479" s="4"/>
      <c r="O479" s="4"/>
      <c r="P479" s="4"/>
      <c r="Q479" s="4"/>
      <c r="R479" s="4"/>
      <c r="S479" s="4"/>
      <c r="T479" s="4"/>
      <c r="U479" s="4"/>
      <c r="V479" s="4"/>
      <c r="W479" s="4"/>
      <c r="X479" s="4"/>
      <c r="Y479" s="4"/>
      <c r="Z479" s="4"/>
    </row>
    <row r="480" ht="14.25" customHeight="1">
      <c r="A480" s="4"/>
      <c r="B480" s="4"/>
      <c r="C480" s="4"/>
      <c r="D480" s="4"/>
      <c r="E480" s="4"/>
      <c r="F480" s="188"/>
      <c r="G480" s="188"/>
      <c r="H480" s="4"/>
      <c r="I480" s="4"/>
      <c r="J480" s="4"/>
      <c r="K480" s="4"/>
      <c r="L480" s="4"/>
      <c r="M480" s="4"/>
      <c r="N480" s="4"/>
      <c r="O480" s="4"/>
      <c r="P480" s="4"/>
      <c r="Q480" s="4"/>
      <c r="R480" s="4"/>
      <c r="S480" s="4"/>
      <c r="T480" s="4"/>
      <c r="U480" s="4"/>
      <c r="V480" s="4"/>
      <c r="W480" s="4"/>
      <c r="X480" s="4"/>
      <c r="Y480" s="4"/>
      <c r="Z480" s="4"/>
    </row>
    <row r="481" ht="14.25" customHeight="1">
      <c r="A481" s="4"/>
      <c r="B481" s="4"/>
      <c r="C481" s="4"/>
      <c r="D481" s="4"/>
      <c r="E481" s="4"/>
      <c r="F481" s="188"/>
      <c r="G481" s="188"/>
      <c r="H481" s="4"/>
      <c r="I481" s="4"/>
      <c r="J481" s="4"/>
      <c r="K481" s="4"/>
      <c r="L481" s="4"/>
      <c r="M481" s="4"/>
      <c r="N481" s="4"/>
      <c r="O481" s="4"/>
      <c r="P481" s="4"/>
      <c r="Q481" s="4"/>
      <c r="R481" s="4"/>
      <c r="S481" s="4"/>
      <c r="T481" s="4"/>
      <c r="U481" s="4"/>
      <c r="V481" s="4"/>
      <c r="W481" s="4"/>
      <c r="X481" s="4"/>
      <c r="Y481" s="4"/>
      <c r="Z481" s="4"/>
    </row>
    <row r="482" ht="14.25" customHeight="1">
      <c r="A482" s="4"/>
      <c r="B482" s="4"/>
      <c r="C482" s="4"/>
      <c r="D482" s="4"/>
      <c r="E482" s="4"/>
      <c r="F482" s="188"/>
      <c r="G482" s="188"/>
      <c r="H482" s="4"/>
      <c r="I482" s="4"/>
      <c r="J482" s="4"/>
      <c r="K482" s="4"/>
      <c r="L482" s="4"/>
      <c r="M482" s="4"/>
      <c r="N482" s="4"/>
      <c r="O482" s="4"/>
      <c r="P482" s="4"/>
      <c r="Q482" s="4"/>
      <c r="R482" s="4"/>
      <c r="S482" s="4"/>
      <c r="T482" s="4"/>
      <c r="U482" s="4"/>
      <c r="V482" s="4"/>
      <c r="W482" s="4"/>
      <c r="X482" s="4"/>
      <c r="Y482" s="4"/>
      <c r="Z482" s="4"/>
    </row>
    <row r="483" ht="14.25" customHeight="1">
      <c r="A483" s="4"/>
      <c r="B483" s="4"/>
      <c r="C483" s="4"/>
      <c r="D483" s="4"/>
      <c r="E483" s="4"/>
      <c r="F483" s="188"/>
      <c r="G483" s="188"/>
      <c r="H483" s="4"/>
      <c r="I483" s="4"/>
      <c r="J483" s="4"/>
      <c r="K483" s="4"/>
      <c r="L483" s="4"/>
      <c r="M483" s="4"/>
      <c r="N483" s="4"/>
      <c r="O483" s="4"/>
      <c r="P483" s="4"/>
      <c r="Q483" s="4"/>
      <c r="R483" s="4"/>
      <c r="S483" s="4"/>
      <c r="T483" s="4"/>
      <c r="U483" s="4"/>
      <c r="V483" s="4"/>
      <c r="W483" s="4"/>
      <c r="X483" s="4"/>
      <c r="Y483" s="4"/>
      <c r="Z483" s="4"/>
    </row>
    <row r="484" ht="14.25" customHeight="1">
      <c r="A484" s="4"/>
      <c r="B484" s="4"/>
      <c r="C484" s="4"/>
      <c r="D484" s="4"/>
      <c r="E484" s="4"/>
      <c r="F484" s="188"/>
      <c r="G484" s="188"/>
      <c r="H484" s="4"/>
      <c r="I484" s="4"/>
      <c r="J484" s="4"/>
      <c r="K484" s="4"/>
      <c r="L484" s="4"/>
      <c r="M484" s="4"/>
      <c r="N484" s="4"/>
      <c r="O484" s="4"/>
      <c r="P484" s="4"/>
      <c r="Q484" s="4"/>
      <c r="R484" s="4"/>
      <c r="S484" s="4"/>
      <c r="T484" s="4"/>
      <c r="U484" s="4"/>
      <c r="V484" s="4"/>
      <c r="W484" s="4"/>
      <c r="X484" s="4"/>
      <c r="Y484" s="4"/>
      <c r="Z484" s="4"/>
    </row>
    <row r="485" ht="14.25" customHeight="1">
      <c r="A485" s="4"/>
      <c r="B485" s="4"/>
      <c r="C485" s="4"/>
      <c r="D485" s="4"/>
      <c r="E485" s="4"/>
      <c r="F485" s="188"/>
      <c r="G485" s="188"/>
      <c r="H485" s="4"/>
      <c r="I485" s="4"/>
      <c r="J485" s="4"/>
      <c r="K485" s="4"/>
      <c r="L485" s="4"/>
      <c r="M485" s="4"/>
      <c r="N485" s="4"/>
      <c r="O485" s="4"/>
      <c r="P485" s="4"/>
      <c r="Q485" s="4"/>
      <c r="R485" s="4"/>
      <c r="S485" s="4"/>
      <c r="T485" s="4"/>
      <c r="U485" s="4"/>
      <c r="V485" s="4"/>
      <c r="W485" s="4"/>
      <c r="X485" s="4"/>
      <c r="Y485" s="4"/>
      <c r="Z485" s="4"/>
    </row>
    <row r="486" ht="14.25" customHeight="1">
      <c r="A486" s="4"/>
      <c r="B486" s="4"/>
      <c r="C486" s="4"/>
      <c r="D486" s="4"/>
      <c r="E486" s="4"/>
      <c r="F486" s="188"/>
      <c r="G486" s="188"/>
      <c r="H486" s="4"/>
      <c r="I486" s="4"/>
      <c r="J486" s="4"/>
      <c r="K486" s="4"/>
      <c r="L486" s="4"/>
      <c r="M486" s="4"/>
      <c r="N486" s="4"/>
      <c r="O486" s="4"/>
      <c r="P486" s="4"/>
      <c r="Q486" s="4"/>
      <c r="R486" s="4"/>
      <c r="S486" s="4"/>
      <c r="T486" s="4"/>
      <c r="U486" s="4"/>
      <c r="V486" s="4"/>
      <c r="W486" s="4"/>
      <c r="X486" s="4"/>
      <c r="Y486" s="4"/>
      <c r="Z486" s="4"/>
    </row>
    <row r="487" ht="14.25" customHeight="1">
      <c r="A487" s="4"/>
      <c r="B487" s="4"/>
      <c r="C487" s="4"/>
      <c r="D487" s="4"/>
      <c r="E487" s="4"/>
      <c r="F487" s="188"/>
      <c r="G487" s="188"/>
      <c r="H487" s="4"/>
      <c r="I487" s="4"/>
      <c r="J487" s="4"/>
      <c r="K487" s="4"/>
      <c r="L487" s="4"/>
      <c r="M487" s="4"/>
      <c r="N487" s="4"/>
      <c r="O487" s="4"/>
      <c r="P487" s="4"/>
      <c r="Q487" s="4"/>
      <c r="R487" s="4"/>
      <c r="S487" s="4"/>
      <c r="T487" s="4"/>
      <c r="U487" s="4"/>
      <c r="V487" s="4"/>
      <c r="W487" s="4"/>
      <c r="X487" s="4"/>
      <c r="Y487" s="4"/>
      <c r="Z487" s="4"/>
    </row>
    <row r="488" ht="14.25" customHeight="1">
      <c r="A488" s="4"/>
      <c r="B488" s="4"/>
      <c r="C488" s="4"/>
      <c r="D488" s="4"/>
      <c r="E488" s="4"/>
      <c r="F488" s="188"/>
      <c r="G488" s="188"/>
      <c r="H488" s="4"/>
      <c r="I488" s="4"/>
      <c r="J488" s="4"/>
      <c r="K488" s="4"/>
      <c r="L488" s="4"/>
      <c r="M488" s="4"/>
      <c r="N488" s="4"/>
      <c r="O488" s="4"/>
      <c r="P488" s="4"/>
      <c r="Q488" s="4"/>
      <c r="R488" s="4"/>
      <c r="S488" s="4"/>
      <c r="T488" s="4"/>
      <c r="U488" s="4"/>
      <c r="V488" s="4"/>
      <c r="W488" s="4"/>
      <c r="X488" s="4"/>
      <c r="Y488" s="4"/>
      <c r="Z488" s="4"/>
    </row>
    <row r="489" ht="14.25" customHeight="1">
      <c r="A489" s="4"/>
      <c r="B489" s="4"/>
      <c r="C489" s="4"/>
      <c r="D489" s="4"/>
      <c r="E489" s="4"/>
      <c r="F489" s="188"/>
      <c r="G489" s="188"/>
      <c r="H489" s="4"/>
      <c r="I489" s="4"/>
      <c r="J489" s="4"/>
      <c r="K489" s="4"/>
      <c r="L489" s="4"/>
      <c r="M489" s="4"/>
      <c r="N489" s="4"/>
      <c r="O489" s="4"/>
      <c r="P489" s="4"/>
      <c r="Q489" s="4"/>
      <c r="R489" s="4"/>
      <c r="S489" s="4"/>
      <c r="T489" s="4"/>
      <c r="U489" s="4"/>
      <c r="V489" s="4"/>
      <c r="W489" s="4"/>
      <c r="X489" s="4"/>
      <c r="Y489" s="4"/>
      <c r="Z489" s="4"/>
    </row>
    <row r="490" ht="14.25" customHeight="1">
      <c r="A490" s="4"/>
      <c r="B490" s="4"/>
      <c r="C490" s="4"/>
      <c r="D490" s="4"/>
      <c r="E490" s="4"/>
      <c r="F490" s="188"/>
      <c r="G490" s="188"/>
      <c r="H490" s="4"/>
      <c r="I490" s="4"/>
      <c r="J490" s="4"/>
      <c r="K490" s="4"/>
      <c r="L490" s="4"/>
      <c r="M490" s="4"/>
      <c r="N490" s="4"/>
      <c r="O490" s="4"/>
      <c r="P490" s="4"/>
      <c r="Q490" s="4"/>
      <c r="R490" s="4"/>
      <c r="S490" s="4"/>
      <c r="T490" s="4"/>
      <c r="U490" s="4"/>
      <c r="V490" s="4"/>
      <c r="W490" s="4"/>
      <c r="X490" s="4"/>
      <c r="Y490" s="4"/>
      <c r="Z490" s="4"/>
    </row>
    <row r="491" ht="14.25" customHeight="1">
      <c r="A491" s="4"/>
      <c r="B491" s="4"/>
      <c r="C491" s="4"/>
      <c r="D491" s="4"/>
      <c r="E491" s="4"/>
      <c r="F491" s="188"/>
      <c r="G491" s="188"/>
      <c r="H491" s="4"/>
      <c r="I491" s="4"/>
      <c r="J491" s="4"/>
      <c r="K491" s="4"/>
      <c r="L491" s="4"/>
      <c r="M491" s="4"/>
      <c r="N491" s="4"/>
      <c r="O491" s="4"/>
      <c r="P491" s="4"/>
      <c r="Q491" s="4"/>
      <c r="R491" s="4"/>
      <c r="S491" s="4"/>
      <c r="T491" s="4"/>
      <c r="U491" s="4"/>
      <c r="V491" s="4"/>
      <c r="W491" s="4"/>
      <c r="X491" s="4"/>
      <c r="Y491" s="4"/>
      <c r="Z491" s="4"/>
    </row>
    <row r="492" ht="14.25" customHeight="1">
      <c r="A492" s="4"/>
      <c r="B492" s="4"/>
      <c r="C492" s="4"/>
      <c r="D492" s="4"/>
      <c r="E492" s="4"/>
      <c r="F492" s="188"/>
      <c r="G492" s="188"/>
      <c r="H492" s="4"/>
      <c r="I492" s="4"/>
      <c r="J492" s="4"/>
      <c r="K492" s="4"/>
      <c r="L492" s="4"/>
      <c r="M492" s="4"/>
      <c r="N492" s="4"/>
      <c r="O492" s="4"/>
      <c r="P492" s="4"/>
      <c r="Q492" s="4"/>
      <c r="R492" s="4"/>
      <c r="S492" s="4"/>
      <c r="T492" s="4"/>
      <c r="U492" s="4"/>
      <c r="V492" s="4"/>
      <c r="W492" s="4"/>
      <c r="X492" s="4"/>
      <c r="Y492" s="4"/>
      <c r="Z492" s="4"/>
    </row>
    <row r="493" ht="14.25" customHeight="1">
      <c r="A493" s="4"/>
      <c r="B493" s="4"/>
      <c r="C493" s="4"/>
      <c r="D493" s="4"/>
      <c r="E493" s="4"/>
      <c r="F493" s="188"/>
      <c r="G493" s="188"/>
      <c r="H493" s="4"/>
      <c r="I493" s="4"/>
      <c r="J493" s="4"/>
      <c r="K493" s="4"/>
      <c r="L493" s="4"/>
      <c r="M493" s="4"/>
      <c r="N493" s="4"/>
      <c r="O493" s="4"/>
      <c r="P493" s="4"/>
      <c r="Q493" s="4"/>
      <c r="R493" s="4"/>
      <c r="S493" s="4"/>
      <c r="T493" s="4"/>
      <c r="U493" s="4"/>
      <c r="V493" s="4"/>
      <c r="W493" s="4"/>
      <c r="X493" s="4"/>
      <c r="Y493" s="4"/>
      <c r="Z493" s="4"/>
    </row>
    <row r="494" ht="14.25" customHeight="1">
      <c r="A494" s="4"/>
      <c r="B494" s="4"/>
      <c r="C494" s="4"/>
      <c r="D494" s="4"/>
      <c r="E494" s="4"/>
      <c r="F494" s="188"/>
      <c r="G494" s="188"/>
      <c r="H494" s="4"/>
      <c r="I494" s="4"/>
      <c r="J494" s="4"/>
      <c r="K494" s="4"/>
      <c r="L494" s="4"/>
      <c r="M494" s="4"/>
      <c r="N494" s="4"/>
      <c r="O494" s="4"/>
      <c r="P494" s="4"/>
      <c r="Q494" s="4"/>
      <c r="R494" s="4"/>
      <c r="S494" s="4"/>
      <c r="T494" s="4"/>
      <c r="U494" s="4"/>
      <c r="V494" s="4"/>
      <c r="W494" s="4"/>
      <c r="X494" s="4"/>
      <c r="Y494" s="4"/>
      <c r="Z494" s="4"/>
    </row>
    <row r="495" ht="14.25" customHeight="1">
      <c r="A495" s="4"/>
      <c r="B495" s="4"/>
      <c r="C495" s="4"/>
      <c r="D495" s="4"/>
      <c r="E495" s="4"/>
      <c r="F495" s="188"/>
      <c r="G495" s="188"/>
      <c r="H495" s="4"/>
      <c r="I495" s="4"/>
      <c r="J495" s="4"/>
      <c r="K495" s="4"/>
      <c r="L495" s="4"/>
      <c r="M495" s="4"/>
      <c r="N495" s="4"/>
      <c r="O495" s="4"/>
      <c r="P495" s="4"/>
      <c r="Q495" s="4"/>
      <c r="R495" s="4"/>
      <c r="S495" s="4"/>
      <c r="T495" s="4"/>
      <c r="U495" s="4"/>
      <c r="V495" s="4"/>
      <c r="W495" s="4"/>
      <c r="X495" s="4"/>
      <c r="Y495" s="4"/>
      <c r="Z495" s="4"/>
    </row>
    <row r="496" ht="14.25" customHeight="1">
      <c r="A496" s="4"/>
      <c r="B496" s="4"/>
      <c r="C496" s="4"/>
      <c r="D496" s="4"/>
      <c r="E496" s="4"/>
      <c r="F496" s="188"/>
      <c r="G496" s="188"/>
      <c r="H496" s="4"/>
      <c r="I496" s="4"/>
      <c r="J496" s="4"/>
      <c r="K496" s="4"/>
      <c r="L496" s="4"/>
      <c r="M496" s="4"/>
      <c r="N496" s="4"/>
      <c r="O496" s="4"/>
      <c r="P496" s="4"/>
      <c r="Q496" s="4"/>
      <c r="R496" s="4"/>
      <c r="S496" s="4"/>
      <c r="T496" s="4"/>
      <c r="U496" s="4"/>
      <c r="V496" s="4"/>
      <c r="W496" s="4"/>
      <c r="X496" s="4"/>
      <c r="Y496" s="4"/>
      <c r="Z496" s="4"/>
    </row>
    <row r="497" ht="14.25" customHeight="1">
      <c r="A497" s="4"/>
      <c r="B497" s="4"/>
      <c r="C497" s="4"/>
      <c r="D497" s="4"/>
      <c r="E497" s="4"/>
      <c r="F497" s="188"/>
      <c r="G497" s="188"/>
      <c r="H497" s="4"/>
      <c r="I497" s="4"/>
      <c r="J497" s="4"/>
      <c r="K497" s="4"/>
      <c r="L497" s="4"/>
      <c r="M497" s="4"/>
      <c r="N497" s="4"/>
      <c r="O497" s="4"/>
      <c r="P497" s="4"/>
      <c r="Q497" s="4"/>
      <c r="R497" s="4"/>
      <c r="S497" s="4"/>
      <c r="T497" s="4"/>
      <c r="U497" s="4"/>
      <c r="V497" s="4"/>
      <c r="W497" s="4"/>
      <c r="X497" s="4"/>
      <c r="Y497" s="4"/>
      <c r="Z497" s="4"/>
    </row>
    <row r="498" ht="14.25" customHeight="1">
      <c r="A498" s="4"/>
      <c r="B498" s="4"/>
      <c r="C498" s="4"/>
      <c r="D498" s="4"/>
      <c r="E498" s="4"/>
      <c r="F498" s="188"/>
      <c r="G498" s="188"/>
      <c r="H498" s="4"/>
      <c r="I498" s="4"/>
      <c r="J498" s="4"/>
      <c r="K498" s="4"/>
      <c r="L498" s="4"/>
      <c r="M498" s="4"/>
      <c r="N498" s="4"/>
      <c r="O498" s="4"/>
      <c r="P498" s="4"/>
      <c r="Q498" s="4"/>
      <c r="R498" s="4"/>
      <c r="S498" s="4"/>
      <c r="T498" s="4"/>
      <c r="U498" s="4"/>
      <c r="V498" s="4"/>
      <c r="W498" s="4"/>
      <c r="X498" s="4"/>
      <c r="Y498" s="4"/>
      <c r="Z498" s="4"/>
    </row>
    <row r="499" ht="14.25" customHeight="1">
      <c r="A499" s="4"/>
      <c r="B499" s="4"/>
      <c r="C499" s="4"/>
      <c r="D499" s="4"/>
      <c r="E499" s="4"/>
      <c r="F499" s="188"/>
      <c r="G499" s="188"/>
      <c r="H499" s="4"/>
      <c r="I499" s="4"/>
      <c r="J499" s="4"/>
      <c r="K499" s="4"/>
      <c r="L499" s="4"/>
      <c r="M499" s="4"/>
      <c r="N499" s="4"/>
      <c r="O499" s="4"/>
      <c r="P499" s="4"/>
      <c r="Q499" s="4"/>
      <c r="R499" s="4"/>
      <c r="S499" s="4"/>
      <c r="T499" s="4"/>
      <c r="U499" s="4"/>
      <c r="V499" s="4"/>
      <c r="W499" s="4"/>
      <c r="X499" s="4"/>
      <c r="Y499" s="4"/>
      <c r="Z499" s="4"/>
    </row>
    <row r="500" ht="14.25" customHeight="1">
      <c r="A500" s="4"/>
      <c r="B500" s="4"/>
      <c r="C500" s="4"/>
      <c r="D500" s="4"/>
      <c r="E500" s="4"/>
      <c r="F500" s="188"/>
      <c r="G500" s="188"/>
      <c r="H500" s="4"/>
      <c r="I500" s="4"/>
      <c r="J500" s="4"/>
      <c r="K500" s="4"/>
      <c r="L500" s="4"/>
      <c r="M500" s="4"/>
      <c r="N500" s="4"/>
      <c r="O500" s="4"/>
      <c r="P500" s="4"/>
      <c r="Q500" s="4"/>
      <c r="R500" s="4"/>
      <c r="S500" s="4"/>
      <c r="T500" s="4"/>
      <c r="U500" s="4"/>
      <c r="V500" s="4"/>
      <c r="W500" s="4"/>
      <c r="X500" s="4"/>
      <c r="Y500" s="4"/>
      <c r="Z500" s="4"/>
    </row>
    <row r="501" ht="14.25" customHeight="1">
      <c r="A501" s="4"/>
      <c r="B501" s="4"/>
      <c r="C501" s="4"/>
      <c r="D501" s="4"/>
      <c r="E501" s="4"/>
      <c r="F501" s="188"/>
      <c r="G501" s="188"/>
      <c r="H501" s="4"/>
      <c r="I501" s="4"/>
      <c r="J501" s="4"/>
      <c r="K501" s="4"/>
      <c r="L501" s="4"/>
      <c r="M501" s="4"/>
      <c r="N501" s="4"/>
      <c r="O501" s="4"/>
      <c r="P501" s="4"/>
      <c r="Q501" s="4"/>
      <c r="R501" s="4"/>
      <c r="S501" s="4"/>
      <c r="T501" s="4"/>
      <c r="U501" s="4"/>
      <c r="V501" s="4"/>
      <c r="W501" s="4"/>
      <c r="X501" s="4"/>
      <c r="Y501" s="4"/>
      <c r="Z501" s="4"/>
    </row>
    <row r="502" ht="14.25" customHeight="1">
      <c r="A502" s="4"/>
      <c r="B502" s="4"/>
      <c r="C502" s="4"/>
      <c r="D502" s="4"/>
      <c r="E502" s="4"/>
      <c r="F502" s="188"/>
      <c r="G502" s="188"/>
      <c r="H502" s="4"/>
      <c r="I502" s="4"/>
      <c r="J502" s="4"/>
      <c r="K502" s="4"/>
      <c r="L502" s="4"/>
      <c r="M502" s="4"/>
      <c r="N502" s="4"/>
      <c r="O502" s="4"/>
      <c r="P502" s="4"/>
      <c r="Q502" s="4"/>
      <c r="R502" s="4"/>
      <c r="S502" s="4"/>
      <c r="T502" s="4"/>
      <c r="U502" s="4"/>
      <c r="V502" s="4"/>
      <c r="W502" s="4"/>
      <c r="X502" s="4"/>
      <c r="Y502" s="4"/>
      <c r="Z502" s="4"/>
    </row>
    <row r="503" ht="14.25" customHeight="1">
      <c r="A503" s="4"/>
      <c r="B503" s="4"/>
      <c r="C503" s="4"/>
      <c r="D503" s="4"/>
      <c r="E503" s="4"/>
      <c r="F503" s="188"/>
      <c r="G503" s="188"/>
      <c r="H503" s="4"/>
      <c r="I503" s="4"/>
      <c r="J503" s="4"/>
      <c r="K503" s="4"/>
      <c r="L503" s="4"/>
      <c r="M503" s="4"/>
      <c r="N503" s="4"/>
      <c r="O503" s="4"/>
      <c r="P503" s="4"/>
      <c r="Q503" s="4"/>
      <c r="R503" s="4"/>
      <c r="S503" s="4"/>
      <c r="T503" s="4"/>
      <c r="U503" s="4"/>
      <c r="V503" s="4"/>
      <c r="W503" s="4"/>
      <c r="X503" s="4"/>
      <c r="Y503" s="4"/>
      <c r="Z503" s="4"/>
    </row>
    <row r="504" ht="14.25" customHeight="1">
      <c r="A504" s="4"/>
      <c r="B504" s="4"/>
      <c r="C504" s="4"/>
      <c r="D504" s="4"/>
      <c r="E504" s="4"/>
      <c r="F504" s="188"/>
      <c r="G504" s="188"/>
      <c r="H504" s="4"/>
      <c r="I504" s="4"/>
      <c r="J504" s="4"/>
      <c r="K504" s="4"/>
      <c r="L504" s="4"/>
      <c r="M504" s="4"/>
      <c r="N504" s="4"/>
      <c r="O504" s="4"/>
      <c r="P504" s="4"/>
      <c r="Q504" s="4"/>
      <c r="R504" s="4"/>
      <c r="S504" s="4"/>
      <c r="T504" s="4"/>
      <c r="U504" s="4"/>
      <c r="V504" s="4"/>
      <c r="W504" s="4"/>
      <c r="X504" s="4"/>
      <c r="Y504" s="4"/>
      <c r="Z504" s="4"/>
    </row>
    <row r="505" ht="14.25" customHeight="1">
      <c r="A505" s="4"/>
      <c r="B505" s="4"/>
      <c r="C505" s="4"/>
      <c r="D505" s="4"/>
      <c r="E505" s="4"/>
      <c r="F505" s="188"/>
      <c r="G505" s="188"/>
      <c r="H505" s="4"/>
      <c r="I505" s="4"/>
      <c r="J505" s="4"/>
      <c r="K505" s="4"/>
      <c r="L505" s="4"/>
      <c r="M505" s="4"/>
      <c r="N505" s="4"/>
      <c r="O505" s="4"/>
      <c r="P505" s="4"/>
      <c r="Q505" s="4"/>
      <c r="R505" s="4"/>
      <c r="S505" s="4"/>
      <c r="T505" s="4"/>
      <c r="U505" s="4"/>
      <c r="V505" s="4"/>
      <c r="W505" s="4"/>
      <c r="X505" s="4"/>
      <c r="Y505" s="4"/>
      <c r="Z505" s="4"/>
    </row>
    <row r="506" ht="14.25" customHeight="1">
      <c r="A506" s="4"/>
      <c r="B506" s="4"/>
      <c r="C506" s="4"/>
      <c r="D506" s="4"/>
      <c r="E506" s="4"/>
      <c r="F506" s="188"/>
      <c r="G506" s="188"/>
      <c r="H506" s="4"/>
      <c r="I506" s="4"/>
      <c r="J506" s="4"/>
      <c r="K506" s="4"/>
      <c r="L506" s="4"/>
      <c r="M506" s="4"/>
      <c r="N506" s="4"/>
      <c r="O506" s="4"/>
      <c r="P506" s="4"/>
      <c r="Q506" s="4"/>
      <c r="R506" s="4"/>
      <c r="S506" s="4"/>
      <c r="T506" s="4"/>
      <c r="U506" s="4"/>
      <c r="V506" s="4"/>
      <c r="W506" s="4"/>
      <c r="X506" s="4"/>
      <c r="Y506" s="4"/>
      <c r="Z506" s="4"/>
    </row>
    <row r="507" ht="14.25" customHeight="1">
      <c r="A507" s="4"/>
      <c r="B507" s="4"/>
      <c r="C507" s="4"/>
      <c r="D507" s="4"/>
      <c r="E507" s="4"/>
      <c r="F507" s="188"/>
      <c r="G507" s="188"/>
      <c r="H507" s="4"/>
      <c r="I507" s="4"/>
      <c r="J507" s="4"/>
      <c r="K507" s="4"/>
      <c r="L507" s="4"/>
      <c r="M507" s="4"/>
      <c r="N507" s="4"/>
      <c r="O507" s="4"/>
      <c r="P507" s="4"/>
      <c r="Q507" s="4"/>
      <c r="R507" s="4"/>
      <c r="S507" s="4"/>
      <c r="T507" s="4"/>
      <c r="U507" s="4"/>
      <c r="V507" s="4"/>
      <c r="W507" s="4"/>
      <c r="X507" s="4"/>
      <c r="Y507" s="4"/>
      <c r="Z507" s="4"/>
    </row>
    <row r="508" ht="14.25" customHeight="1">
      <c r="A508" s="4"/>
      <c r="B508" s="4"/>
      <c r="C508" s="4"/>
      <c r="D508" s="4"/>
      <c r="E508" s="4"/>
      <c r="F508" s="188"/>
      <c r="G508" s="188"/>
      <c r="H508" s="4"/>
      <c r="I508" s="4"/>
      <c r="J508" s="4"/>
      <c r="K508" s="4"/>
      <c r="L508" s="4"/>
      <c r="M508" s="4"/>
      <c r="N508" s="4"/>
      <c r="O508" s="4"/>
      <c r="P508" s="4"/>
      <c r="Q508" s="4"/>
      <c r="R508" s="4"/>
      <c r="S508" s="4"/>
      <c r="T508" s="4"/>
      <c r="U508" s="4"/>
      <c r="V508" s="4"/>
      <c r="W508" s="4"/>
      <c r="X508" s="4"/>
      <c r="Y508" s="4"/>
      <c r="Z508" s="4"/>
    </row>
    <row r="509" ht="14.25" customHeight="1">
      <c r="A509" s="4"/>
      <c r="B509" s="4"/>
      <c r="C509" s="4"/>
      <c r="D509" s="4"/>
      <c r="E509" s="4"/>
      <c r="F509" s="188"/>
      <c r="G509" s="188"/>
      <c r="H509" s="4"/>
      <c r="I509" s="4"/>
      <c r="J509" s="4"/>
      <c r="K509" s="4"/>
      <c r="L509" s="4"/>
      <c r="M509" s="4"/>
      <c r="N509" s="4"/>
      <c r="O509" s="4"/>
      <c r="P509" s="4"/>
      <c r="Q509" s="4"/>
      <c r="R509" s="4"/>
      <c r="S509" s="4"/>
      <c r="T509" s="4"/>
      <c r="U509" s="4"/>
      <c r="V509" s="4"/>
      <c r="W509" s="4"/>
      <c r="X509" s="4"/>
      <c r="Y509" s="4"/>
      <c r="Z509" s="4"/>
    </row>
    <row r="510" ht="14.25" customHeight="1">
      <c r="A510" s="4"/>
      <c r="B510" s="4"/>
      <c r="C510" s="4"/>
      <c r="D510" s="4"/>
      <c r="E510" s="4"/>
      <c r="F510" s="188"/>
      <c r="G510" s="188"/>
      <c r="H510" s="4"/>
      <c r="I510" s="4"/>
      <c r="J510" s="4"/>
      <c r="K510" s="4"/>
      <c r="L510" s="4"/>
      <c r="M510" s="4"/>
      <c r="N510" s="4"/>
      <c r="O510" s="4"/>
      <c r="P510" s="4"/>
      <c r="Q510" s="4"/>
      <c r="R510" s="4"/>
      <c r="S510" s="4"/>
      <c r="T510" s="4"/>
      <c r="U510" s="4"/>
      <c r="V510" s="4"/>
      <c r="W510" s="4"/>
      <c r="X510" s="4"/>
      <c r="Y510" s="4"/>
      <c r="Z510" s="4"/>
    </row>
    <row r="511" ht="14.25" customHeight="1">
      <c r="A511" s="4"/>
      <c r="B511" s="4"/>
      <c r="C511" s="4"/>
      <c r="D511" s="4"/>
      <c r="E511" s="4"/>
      <c r="F511" s="188"/>
      <c r="G511" s="188"/>
      <c r="H511" s="4"/>
      <c r="I511" s="4"/>
      <c r="J511" s="4"/>
      <c r="K511" s="4"/>
      <c r="L511" s="4"/>
      <c r="M511" s="4"/>
      <c r="N511" s="4"/>
      <c r="O511" s="4"/>
      <c r="P511" s="4"/>
      <c r="Q511" s="4"/>
      <c r="R511" s="4"/>
      <c r="S511" s="4"/>
      <c r="T511" s="4"/>
      <c r="U511" s="4"/>
      <c r="V511" s="4"/>
      <c r="W511" s="4"/>
      <c r="X511" s="4"/>
      <c r="Y511" s="4"/>
      <c r="Z511" s="4"/>
    </row>
    <row r="512" ht="14.25" customHeight="1">
      <c r="A512" s="4"/>
      <c r="B512" s="4"/>
      <c r="C512" s="4"/>
      <c r="D512" s="4"/>
      <c r="E512" s="4"/>
      <c r="F512" s="188"/>
      <c r="G512" s="188"/>
      <c r="H512" s="4"/>
      <c r="I512" s="4"/>
      <c r="J512" s="4"/>
      <c r="K512" s="4"/>
      <c r="L512" s="4"/>
      <c r="M512" s="4"/>
      <c r="N512" s="4"/>
      <c r="O512" s="4"/>
      <c r="P512" s="4"/>
      <c r="Q512" s="4"/>
      <c r="R512" s="4"/>
      <c r="S512" s="4"/>
      <c r="T512" s="4"/>
      <c r="U512" s="4"/>
      <c r="V512" s="4"/>
      <c r="W512" s="4"/>
      <c r="X512" s="4"/>
      <c r="Y512" s="4"/>
      <c r="Z512" s="4"/>
    </row>
    <row r="513" ht="14.25" customHeight="1">
      <c r="A513" s="4"/>
      <c r="B513" s="4"/>
      <c r="C513" s="4"/>
      <c r="D513" s="4"/>
      <c r="E513" s="4"/>
      <c r="F513" s="188"/>
      <c r="G513" s="188"/>
      <c r="H513" s="4"/>
      <c r="I513" s="4"/>
      <c r="J513" s="4"/>
      <c r="K513" s="4"/>
      <c r="L513" s="4"/>
      <c r="M513" s="4"/>
      <c r="N513" s="4"/>
      <c r="O513" s="4"/>
      <c r="P513" s="4"/>
      <c r="Q513" s="4"/>
      <c r="R513" s="4"/>
      <c r="S513" s="4"/>
      <c r="T513" s="4"/>
      <c r="U513" s="4"/>
      <c r="V513" s="4"/>
      <c r="W513" s="4"/>
      <c r="X513" s="4"/>
      <c r="Y513" s="4"/>
      <c r="Z513" s="4"/>
    </row>
    <row r="514" ht="14.25" customHeight="1">
      <c r="A514" s="4"/>
      <c r="B514" s="4"/>
      <c r="C514" s="4"/>
      <c r="D514" s="4"/>
      <c r="E514" s="4"/>
      <c r="F514" s="188"/>
      <c r="G514" s="188"/>
      <c r="H514" s="4"/>
      <c r="I514" s="4"/>
      <c r="J514" s="4"/>
      <c r="K514" s="4"/>
      <c r="L514" s="4"/>
      <c r="M514" s="4"/>
      <c r="N514" s="4"/>
      <c r="O514" s="4"/>
      <c r="P514" s="4"/>
      <c r="Q514" s="4"/>
      <c r="R514" s="4"/>
      <c r="S514" s="4"/>
      <c r="T514" s="4"/>
      <c r="U514" s="4"/>
      <c r="V514" s="4"/>
      <c r="W514" s="4"/>
      <c r="X514" s="4"/>
      <c r="Y514" s="4"/>
      <c r="Z514" s="4"/>
    </row>
    <row r="515" ht="14.25" customHeight="1">
      <c r="A515" s="4"/>
      <c r="B515" s="4"/>
      <c r="C515" s="4"/>
      <c r="D515" s="4"/>
      <c r="E515" s="4"/>
      <c r="F515" s="188"/>
      <c r="G515" s="188"/>
      <c r="H515" s="4"/>
      <c r="I515" s="4"/>
      <c r="J515" s="4"/>
      <c r="K515" s="4"/>
      <c r="L515" s="4"/>
      <c r="M515" s="4"/>
      <c r="N515" s="4"/>
      <c r="O515" s="4"/>
      <c r="P515" s="4"/>
      <c r="Q515" s="4"/>
      <c r="R515" s="4"/>
      <c r="S515" s="4"/>
      <c r="T515" s="4"/>
      <c r="U515" s="4"/>
      <c r="V515" s="4"/>
      <c r="W515" s="4"/>
      <c r="X515" s="4"/>
      <c r="Y515" s="4"/>
      <c r="Z515" s="4"/>
    </row>
    <row r="516" ht="14.25" customHeight="1">
      <c r="A516" s="4"/>
      <c r="B516" s="4"/>
      <c r="C516" s="4"/>
      <c r="D516" s="4"/>
      <c r="E516" s="4"/>
      <c r="F516" s="188"/>
      <c r="G516" s="188"/>
      <c r="H516" s="4"/>
      <c r="I516" s="4"/>
      <c r="J516" s="4"/>
      <c r="K516" s="4"/>
      <c r="L516" s="4"/>
      <c r="M516" s="4"/>
      <c r="N516" s="4"/>
      <c r="O516" s="4"/>
      <c r="P516" s="4"/>
      <c r="Q516" s="4"/>
      <c r="R516" s="4"/>
      <c r="S516" s="4"/>
      <c r="T516" s="4"/>
      <c r="U516" s="4"/>
      <c r="V516" s="4"/>
      <c r="W516" s="4"/>
      <c r="X516" s="4"/>
      <c r="Y516" s="4"/>
      <c r="Z516" s="4"/>
    </row>
    <row r="517" ht="14.25" customHeight="1">
      <c r="A517" s="4"/>
      <c r="B517" s="4"/>
      <c r="C517" s="4"/>
      <c r="D517" s="4"/>
      <c r="E517" s="4"/>
      <c r="F517" s="188"/>
      <c r="G517" s="188"/>
      <c r="H517" s="4"/>
      <c r="I517" s="4"/>
      <c r="J517" s="4"/>
      <c r="K517" s="4"/>
      <c r="L517" s="4"/>
      <c r="M517" s="4"/>
      <c r="N517" s="4"/>
      <c r="O517" s="4"/>
      <c r="P517" s="4"/>
      <c r="Q517" s="4"/>
      <c r="R517" s="4"/>
      <c r="S517" s="4"/>
      <c r="T517" s="4"/>
      <c r="U517" s="4"/>
      <c r="V517" s="4"/>
      <c r="W517" s="4"/>
      <c r="X517" s="4"/>
      <c r="Y517" s="4"/>
      <c r="Z517" s="4"/>
    </row>
    <row r="518" ht="14.25" customHeight="1">
      <c r="A518" s="4"/>
      <c r="B518" s="4"/>
      <c r="C518" s="4"/>
      <c r="D518" s="4"/>
      <c r="E518" s="4"/>
      <c r="F518" s="188"/>
      <c r="G518" s="188"/>
      <c r="H518" s="4"/>
      <c r="I518" s="4"/>
      <c r="J518" s="4"/>
      <c r="K518" s="4"/>
      <c r="L518" s="4"/>
      <c r="M518" s="4"/>
      <c r="N518" s="4"/>
      <c r="O518" s="4"/>
      <c r="P518" s="4"/>
      <c r="Q518" s="4"/>
      <c r="R518" s="4"/>
      <c r="S518" s="4"/>
      <c r="T518" s="4"/>
      <c r="U518" s="4"/>
      <c r="V518" s="4"/>
      <c r="W518" s="4"/>
      <c r="X518" s="4"/>
      <c r="Y518" s="4"/>
      <c r="Z518" s="4"/>
    </row>
    <row r="519" ht="14.25" customHeight="1">
      <c r="A519" s="4"/>
      <c r="B519" s="4"/>
      <c r="C519" s="4"/>
      <c r="D519" s="4"/>
      <c r="E519" s="4"/>
      <c r="F519" s="188"/>
      <c r="G519" s="188"/>
      <c r="H519" s="4"/>
      <c r="I519" s="4"/>
      <c r="J519" s="4"/>
      <c r="K519" s="4"/>
      <c r="L519" s="4"/>
      <c r="M519" s="4"/>
      <c r="N519" s="4"/>
      <c r="O519" s="4"/>
      <c r="P519" s="4"/>
      <c r="Q519" s="4"/>
      <c r="R519" s="4"/>
      <c r="S519" s="4"/>
      <c r="T519" s="4"/>
      <c r="U519" s="4"/>
      <c r="V519" s="4"/>
      <c r="W519" s="4"/>
      <c r="X519" s="4"/>
      <c r="Y519" s="4"/>
      <c r="Z519" s="4"/>
    </row>
    <row r="520" ht="14.25" customHeight="1">
      <c r="A520" s="4"/>
      <c r="B520" s="4"/>
      <c r="C520" s="4"/>
      <c r="D520" s="4"/>
      <c r="E520" s="4"/>
      <c r="F520" s="188"/>
      <c r="G520" s="188"/>
      <c r="H520" s="4"/>
      <c r="I520" s="4"/>
      <c r="J520" s="4"/>
      <c r="K520" s="4"/>
      <c r="L520" s="4"/>
      <c r="M520" s="4"/>
      <c r="N520" s="4"/>
      <c r="O520" s="4"/>
      <c r="P520" s="4"/>
      <c r="Q520" s="4"/>
      <c r="R520" s="4"/>
      <c r="S520" s="4"/>
      <c r="T520" s="4"/>
      <c r="U520" s="4"/>
      <c r="V520" s="4"/>
      <c r="W520" s="4"/>
      <c r="X520" s="4"/>
      <c r="Y520" s="4"/>
      <c r="Z520" s="4"/>
    </row>
    <row r="521" ht="14.25" customHeight="1">
      <c r="A521" s="4"/>
      <c r="B521" s="4"/>
      <c r="C521" s="4"/>
      <c r="D521" s="4"/>
      <c r="E521" s="4"/>
      <c r="F521" s="188"/>
      <c r="G521" s="188"/>
      <c r="H521" s="4"/>
      <c r="I521" s="4"/>
      <c r="J521" s="4"/>
      <c r="K521" s="4"/>
      <c r="L521" s="4"/>
      <c r="M521" s="4"/>
      <c r="N521" s="4"/>
      <c r="O521" s="4"/>
      <c r="P521" s="4"/>
      <c r="Q521" s="4"/>
      <c r="R521" s="4"/>
      <c r="S521" s="4"/>
      <c r="T521" s="4"/>
      <c r="U521" s="4"/>
      <c r="V521" s="4"/>
      <c r="W521" s="4"/>
      <c r="X521" s="4"/>
      <c r="Y521" s="4"/>
      <c r="Z521" s="4"/>
    </row>
    <row r="522" ht="14.25" customHeight="1">
      <c r="A522" s="4"/>
      <c r="B522" s="4"/>
      <c r="C522" s="4"/>
      <c r="D522" s="4"/>
      <c r="E522" s="4"/>
      <c r="F522" s="188"/>
      <c r="G522" s="188"/>
      <c r="H522" s="4"/>
      <c r="I522" s="4"/>
      <c r="J522" s="4"/>
      <c r="K522" s="4"/>
      <c r="L522" s="4"/>
      <c r="M522" s="4"/>
      <c r="N522" s="4"/>
      <c r="O522" s="4"/>
      <c r="P522" s="4"/>
      <c r="Q522" s="4"/>
      <c r="R522" s="4"/>
      <c r="S522" s="4"/>
      <c r="T522" s="4"/>
      <c r="U522" s="4"/>
      <c r="V522" s="4"/>
      <c r="W522" s="4"/>
      <c r="X522" s="4"/>
      <c r="Y522" s="4"/>
      <c r="Z522" s="4"/>
    </row>
    <row r="523" ht="14.25" customHeight="1">
      <c r="A523" s="4"/>
      <c r="B523" s="4"/>
      <c r="C523" s="4"/>
      <c r="D523" s="4"/>
      <c r="E523" s="4"/>
      <c r="F523" s="188"/>
      <c r="G523" s="188"/>
      <c r="H523" s="4"/>
      <c r="I523" s="4"/>
      <c r="J523" s="4"/>
      <c r="K523" s="4"/>
      <c r="L523" s="4"/>
      <c r="M523" s="4"/>
      <c r="N523" s="4"/>
      <c r="O523" s="4"/>
      <c r="P523" s="4"/>
      <c r="Q523" s="4"/>
      <c r="R523" s="4"/>
      <c r="S523" s="4"/>
      <c r="T523" s="4"/>
      <c r="U523" s="4"/>
      <c r="V523" s="4"/>
      <c r="W523" s="4"/>
      <c r="X523" s="4"/>
      <c r="Y523" s="4"/>
      <c r="Z523" s="4"/>
    </row>
    <row r="524" ht="14.25" customHeight="1">
      <c r="A524" s="4"/>
      <c r="B524" s="4"/>
      <c r="C524" s="4"/>
      <c r="D524" s="4"/>
      <c r="E524" s="4"/>
      <c r="F524" s="188"/>
      <c r="G524" s="188"/>
      <c r="H524" s="4"/>
      <c r="I524" s="4"/>
      <c r="J524" s="4"/>
      <c r="K524" s="4"/>
      <c r="L524" s="4"/>
      <c r="M524" s="4"/>
      <c r="N524" s="4"/>
      <c r="O524" s="4"/>
      <c r="P524" s="4"/>
      <c r="Q524" s="4"/>
      <c r="R524" s="4"/>
      <c r="S524" s="4"/>
      <c r="T524" s="4"/>
      <c r="U524" s="4"/>
      <c r="V524" s="4"/>
      <c r="W524" s="4"/>
      <c r="X524" s="4"/>
      <c r="Y524" s="4"/>
      <c r="Z524" s="4"/>
    </row>
    <row r="525" ht="14.25" customHeight="1">
      <c r="A525" s="4"/>
      <c r="B525" s="4"/>
      <c r="C525" s="4"/>
      <c r="D525" s="4"/>
      <c r="E525" s="4"/>
      <c r="F525" s="188"/>
      <c r="G525" s="188"/>
      <c r="H525" s="4"/>
      <c r="I525" s="4"/>
      <c r="J525" s="4"/>
      <c r="K525" s="4"/>
      <c r="L525" s="4"/>
      <c r="M525" s="4"/>
      <c r="N525" s="4"/>
      <c r="O525" s="4"/>
      <c r="P525" s="4"/>
      <c r="Q525" s="4"/>
      <c r="R525" s="4"/>
      <c r="S525" s="4"/>
      <c r="T525" s="4"/>
      <c r="U525" s="4"/>
      <c r="V525" s="4"/>
      <c r="W525" s="4"/>
      <c r="X525" s="4"/>
      <c r="Y525" s="4"/>
      <c r="Z525" s="4"/>
    </row>
    <row r="526" ht="14.25" customHeight="1">
      <c r="A526" s="4"/>
      <c r="B526" s="4"/>
      <c r="C526" s="4"/>
      <c r="D526" s="4"/>
      <c r="E526" s="4"/>
      <c r="F526" s="188"/>
      <c r="G526" s="188"/>
      <c r="H526" s="4"/>
      <c r="I526" s="4"/>
      <c r="J526" s="4"/>
      <c r="K526" s="4"/>
      <c r="L526" s="4"/>
      <c r="M526" s="4"/>
      <c r="N526" s="4"/>
      <c r="O526" s="4"/>
      <c r="P526" s="4"/>
      <c r="Q526" s="4"/>
      <c r="R526" s="4"/>
      <c r="S526" s="4"/>
      <c r="T526" s="4"/>
      <c r="U526" s="4"/>
      <c r="V526" s="4"/>
      <c r="W526" s="4"/>
      <c r="X526" s="4"/>
      <c r="Y526" s="4"/>
      <c r="Z526" s="4"/>
    </row>
    <row r="527" ht="14.25" customHeight="1">
      <c r="A527" s="4"/>
      <c r="B527" s="4"/>
      <c r="C527" s="4"/>
      <c r="D527" s="4"/>
      <c r="E527" s="4"/>
      <c r="F527" s="188"/>
      <c r="G527" s="188"/>
      <c r="H527" s="4"/>
      <c r="I527" s="4"/>
      <c r="J527" s="4"/>
      <c r="K527" s="4"/>
      <c r="L527" s="4"/>
      <c r="M527" s="4"/>
      <c r="N527" s="4"/>
      <c r="O527" s="4"/>
      <c r="P527" s="4"/>
      <c r="Q527" s="4"/>
      <c r="R527" s="4"/>
      <c r="S527" s="4"/>
      <c r="T527" s="4"/>
      <c r="U527" s="4"/>
      <c r="V527" s="4"/>
      <c r="W527" s="4"/>
      <c r="X527" s="4"/>
      <c r="Y527" s="4"/>
      <c r="Z527" s="4"/>
    </row>
    <row r="528" ht="14.25" customHeight="1">
      <c r="A528" s="4"/>
      <c r="B528" s="4"/>
      <c r="C528" s="4"/>
      <c r="D528" s="4"/>
      <c r="E528" s="4"/>
      <c r="F528" s="188"/>
      <c r="G528" s="188"/>
      <c r="H528" s="4"/>
      <c r="I528" s="4"/>
      <c r="J528" s="4"/>
      <c r="K528" s="4"/>
      <c r="L528" s="4"/>
      <c r="M528" s="4"/>
      <c r="N528" s="4"/>
      <c r="O528" s="4"/>
      <c r="P528" s="4"/>
      <c r="Q528" s="4"/>
      <c r="R528" s="4"/>
      <c r="S528" s="4"/>
      <c r="T528" s="4"/>
      <c r="U528" s="4"/>
      <c r="V528" s="4"/>
      <c r="W528" s="4"/>
      <c r="X528" s="4"/>
      <c r="Y528" s="4"/>
      <c r="Z528" s="4"/>
    </row>
    <row r="529" ht="14.25" customHeight="1">
      <c r="A529" s="4"/>
      <c r="B529" s="4"/>
      <c r="C529" s="4"/>
      <c r="D529" s="4"/>
      <c r="E529" s="4"/>
      <c r="F529" s="188"/>
      <c r="G529" s="188"/>
      <c r="H529" s="4"/>
      <c r="I529" s="4"/>
      <c r="J529" s="4"/>
      <c r="K529" s="4"/>
      <c r="L529" s="4"/>
      <c r="M529" s="4"/>
      <c r="N529" s="4"/>
      <c r="O529" s="4"/>
      <c r="P529" s="4"/>
      <c r="Q529" s="4"/>
      <c r="R529" s="4"/>
      <c r="S529" s="4"/>
      <c r="T529" s="4"/>
      <c r="U529" s="4"/>
      <c r="V529" s="4"/>
      <c r="W529" s="4"/>
      <c r="X529" s="4"/>
      <c r="Y529" s="4"/>
      <c r="Z529" s="4"/>
    </row>
    <row r="530" ht="14.25" customHeight="1">
      <c r="A530" s="4"/>
      <c r="B530" s="4"/>
      <c r="C530" s="4"/>
      <c r="D530" s="4"/>
      <c r="E530" s="4"/>
      <c r="F530" s="188"/>
      <c r="G530" s="188"/>
      <c r="H530" s="4"/>
      <c r="I530" s="4"/>
      <c r="J530" s="4"/>
      <c r="K530" s="4"/>
      <c r="L530" s="4"/>
      <c r="M530" s="4"/>
      <c r="N530" s="4"/>
      <c r="O530" s="4"/>
      <c r="P530" s="4"/>
      <c r="Q530" s="4"/>
      <c r="R530" s="4"/>
      <c r="S530" s="4"/>
      <c r="T530" s="4"/>
      <c r="U530" s="4"/>
      <c r="V530" s="4"/>
      <c r="W530" s="4"/>
      <c r="X530" s="4"/>
      <c r="Y530" s="4"/>
      <c r="Z530" s="4"/>
    </row>
    <row r="531" ht="14.25" customHeight="1">
      <c r="A531" s="4"/>
      <c r="B531" s="4"/>
      <c r="C531" s="4"/>
      <c r="D531" s="4"/>
      <c r="E531" s="4"/>
      <c r="F531" s="188"/>
      <c r="G531" s="188"/>
      <c r="H531" s="4"/>
      <c r="I531" s="4"/>
      <c r="J531" s="4"/>
      <c r="K531" s="4"/>
      <c r="L531" s="4"/>
      <c r="M531" s="4"/>
      <c r="N531" s="4"/>
      <c r="O531" s="4"/>
      <c r="P531" s="4"/>
      <c r="Q531" s="4"/>
      <c r="R531" s="4"/>
      <c r="S531" s="4"/>
      <c r="T531" s="4"/>
      <c r="U531" s="4"/>
      <c r="V531" s="4"/>
      <c r="W531" s="4"/>
      <c r="X531" s="4"/>
      <c r="Y531" s="4"/>
      <c r="Z531" s="4"/>
    </row>
    <row r="532" ht="14.25" customHeight="1">
      <c r="A532" s="4"/>
      <c r="B532" s="4"/>
      <c r="C532" s="4"/>
      <c r="D532" s="4"/>
      <c r="E532" s="4"/>
      <c r="F532" s="188"/>
      <c r="G532" s="188"/>
      <c r="H532" s="4"/>
      <c r="I532" s="4"/>
      <c r="J532" s="4"/>
      <c r="K532" s="4"/>
      <c r="L532" s="4"/>
      <c r="M532" s="4"/>
      <c r="N532" s="4"/>
      <c r="O532" s="4"/>
      <c r="P532" s="4"/>
      <c r="Q532" s="4"/>
      <c r="R532" s="4"/>
      <c r="S532" s="4"/>
      <c r="T532" s="4"/>
      <c r="U532" s="4"/>
      <c r="V532" s="4"/>
      <c r="W532" s="4"/>
      <c r="X532" s="4"/>
      <c r="Y532" s="4"/>
      <c r="Z532" s="4"/>
    </row>
    <row r="533" ht="14.25" customHeight="1">
      <c r="A533" s="4"/>
      <c r="B533" s="4"/>
      <c r="C533" s="4"/>
      <c r="D533" s="4"/>
      <c r="E533" s="4"/>
      <c r="F533" s="188"/>
      <c r="G533" s="188"/>
      <c r="H533" s="4"/>
      <c r="I533" s="4"/>
      <c r="J533" s="4"/>
      <c r="K533" s="4"/>
      <c r="L533" s="4"/>
      <c r="M533" s="4"/>
      <c r="N533" s="4"/>
      <c r="O533" s="4"/>
      <c r="P533" s="4"/>
      <c r="Q533" s="4"/>
      <c r="R533" s="4"/>
      <c r="S533" s="4"/>
      <c r="T533" s="4"/>
      <c r="U533" s="4"/>
      <c r="V533" s="4"/>
      <c r="W533" s="4"/>
      <c r="X533" s="4"/>
      <c r="Y533" s="4"/>
      <c r="Z533" s="4"/>
    </row>
    <row r="534" ht="14.25" customHeight="1">
      <c r="A534" s="4"/>
      <c r="B534" s="4"/>
      <c r="C534" s="4"/>
      <c r="D534" s="4"/>
      <c r="E534" s="4"/>
      <c r="F534" s="188"/>
      <c r="G534" s="188"/>
      <c r="H534" s="4"/>
      <c r="I534" s="4"/>
      <c r="J534" s="4"/>
      <c r="K534" s="4"/>
      <c r="L534" s="4"/>
      <c r="M534" s="4"/>
      <c r="N534" s="4"/>
      <c r="O534" s="4"/>
      <c r="P534" s="4"/>
      <c r="Q534" s="4"/>
      <c r="R534" s="4"/>
      <c r="S534" s="4"/>
      <c r="T534" s="4"/>
      <c r="U534" s="4"/>
      <c r="V534" s="4"/>
      <c r="W534" s="4"/>
      <c r="X534" s="4"/>
      <c r="Y534" s="4"/>
      <c r="Z534" s="4"/>
    </row>
    <row r="535" ht="14.25" customHeight="1">
      <c r="A535" s="4"/>
      <c r="B535" s="4"/>
      <c r="C535" s="4"/>
      <c r="D535" s="4"/>
      <c r="E535" s="4"/>
      <c r="F535" s="188"/>
      <c r="G535" s="188"/>
      <c r="H535" s="4"/>
      <c r="I535" s="4"/>
      <c r="J535" s="4"/>
      <c r="K535" s="4"/>
      <c r="L535" s="4"/>
      <c r="M535" s="4"/>
      <c r="N535" s="4"/>
      <c r="O535" s="4"/>
      <c r="P535" s="4"/>
      <c r="Q535" s="4"/>
      <c r="R535" s="4"/>
      <c r="S535" s="4"/>
      <c r="T535" s="4"/>
      <c r="U535" s="4"/>
      <c r="V535" s="4"/>
      <c r="W535" s="4"/>
      <c r="X535" s="4"/>
      <c r="Y535" s="4"/>
      <c r="Z535" s="4"/>
    </row>
    <row r="536" ht="14.25" customHeight="1">
      <c r="A536" s="4"/>
      <c r="B536" s="4"/>
      <c r="C536" s="4"/>
      <c r="D536" s="4"/>
      <c r="E536" s="4"/>
      <c r="F536" s="188"/>
      <c r="G536" s="188"/>
      <c r="H536" s="4"/>
      <c r="I536" s="4"/>
      <c r="J536" s="4"/>
      <c r="K536" s="4"/>
      <c r="L536" s="4"/>
      <c r="M536" s="4"/>
      <c r="N536" s="4"/>
      <c r="O536" s="4"/>
      <c r="P536" s="4"/>
      <c r="Q536" s="4"/>
      <c r="R536" s="4"/>
      <c r="S536" s="4"/>
      <c r="T536" s="4"/>
      <c r="U536" s="4"/>
      <c r="V536" s="4"/>
      <c r="W536" s="4"/>
      <c r="X536" s="4"/>
      <c r="Y536" s="4"/>
      <c r="Z536" s="4"/>
    </row>
    <row r="537" ht="14.25" customHeight="1">
      <c r="A537" s="4"/>
      <c r="B537" s="4"/>
      <c r="C537" s="4"/>
      <c r="D537" s="4"/>
      <c r="E537" s="4"/>
      <c r="F537" s="188"/>
      <c r="G537" s="188"/>
      <c r="H537" s="4"/>
      <c r="I537" s="4"/>
      <c r="J537" s="4"/>
      <c r="K537" s="4"/>
      <c r="L537" s="4"/>
      <c r="M537" s="4"/>
      <c r="N537" s="4"/>
      <c r="O537" s="4"/>
      <c r="P537" s="4"/>
      <c r="Q537" s="4"/>
      <c r="R537" s="4"/>
      <c r="S537" s="4"/>
      <c r="T537" s="4"/>
      <c r="U537" s="4"/>
      <c r="V537" s="4"/>
      <c r="W537" s="4"/>
      <c r="X537" s="4"/>
      <c r="Y537" s="4"/>
      <c r="Z537" s="4"/>
    </row>
    <row r="538" ht="14.25" customHeight="1">
      <c r="A538" s="4"/>
      <c r="B538" s="4"/>
      <c r="C538" s="4"/>
      <c r="D538" s="4"/>
      <c r="E538" s="4"/>
      <c r="F538" s="188"/>
      <c r="G538" s="188"/>
      <c r="H538" s="4"/>
      <c r="I538" s="4"/>
      <c r="J538" s="4"/>
      <c r="K538" s="4"/>
      <c r="L538" s="4"/>
      <c r="M538" s="4"/>
      <c r="N538" s="4"/>
      <c r="O538" s="4"/>
      <c r="P538" s="4"/>
      <c r="Q538" s="4"/>
      <c r="R538" s="4"/>
      <c r="S538" s="4"/>
      <c r="T538" s="4"/>
      <c r="U538" s="4"/>
      <c r="V538" s="4"/>
      <c r="W538" s="4"/>
      <c r="X538" s="4"/>
      <c r="Y538" s="4"/>
      <c r="Z538" s="4"/>
    </row>
    <row r="539" ht="14.25" customHeight="1">
      <c r="A539" s="4"/>
      <c r="B539" s="4"/>
      <c r="C539" s="4"/>
      <c r="D539" s="4"/>
      <c r="E539" s="4"/>
      <c r="F539" s="188"/>
      <c r="G539" s="188"/>
      <c r="H539" s="4"/>
      <c r="I539" s="4"/>
      <c r="J539" s="4"/>
      <c r="K539" s="4"/>
      <c r="L539" s="4"/>
      <c r="M539" s="4"/>
      <c r="N539" s="4"/>
      <c r="O539" s="4"/>
      <c r="P539" s="4"/>
      <c r="Q539" s="4"/>
      <c r="R539" s="4"/>
      <c r="S539" s="4"/>
      <c r="T539" s="4"/>
      <c r="U539" s="4"/>
      <c r="V539" s="4"/>
      <c r="W539" s="4"/>
      <c r="X539" s="4"/>
      <c r="Y539" s="4"/>
      <c r="Z539" s="4"/>
    </row>
    <row r="540" ht="14.25" customHeight="1">
      <c r="A540" s="4"/>
      <c r="B540" s="4"/>
      <c r="C540" s="4"/>
      <c r="D540" s="4"/>
      <c r="E540" s="4"/>
      <c r="F540" s="188"/>
      <c r="G540" s="188"/>
      <c r="H540" s="4"/>
      <c r="I540" s="4"/>
      <c r="J540" s="4"/>
      <c r="K540" s="4"/>
      <c r="L540" s="4"/>
      <c r="M540" s="4"/>
      <c r="N540" s="4"/>
      <c r="O540" s="4"/>
      <c r="P540" s="4"/>
      <c r="Q540" s="4"/>
      <c r="R540" s="4"/>
      <c r="S540" s="4"/>
      <c r="T540" s="4"/>
      <c r="U540" s="4"/>
      <c r="V540" s="4"/>
      <c r="W540" s="4"/>
      <c r="X540" s="4"/>
      <c r="Y540" s="4"/>
      <c r="Z540" s="4"/>
    </row>
    <row r="541" ht="14.25" customHeight="1">
      <c r="A541" s="4"/>
      <c r="B541" s="4"/>
      <c r="C541" s="4"/>
      <c r="D541" s="4"/>
      <c r="E541" s="4"/>
      <c r="F541" s="188"/>
      <c r="G541" s="188"/>
      <c r="H541" s="4"/>
      <c r="I541" s="4"/>
      <c r="J541" s="4"/>
      <c r="K541" s="4"/>
      <c r="L541" s="4"/>
      <c r="M541" s="4"/>
      <c r="N541" s="4"/>
      <c r="O541" s="4"/>
      <c r="P541" s="4"/>
      <c r="Q541" s="4"/>
      <c r="R541" s="4"/>
      <c r="S541" s="4"/>
      <c r="T541" s="4"/>
      <c r="U541" s="4"/>
      <c r="V541" s="4"/>
      <c r="W541" s="4"/>
      <c r="X541" s="4"/>
      <c r="Y541" s="4"/>
      <c r="Z541" s="4"/>
    </row>
    <row r="542" ht="14.25" customHeight="1">
      <c r="A542" s="4"/>
      <c r="B542" s="4"/>
      <c r="C542" s="4"/>
      <c r="D542" s="4"/>
      <c r="E542" s="4"/>
      <c r="F542" s="188"/>
      <c r="G542" s="188"/>
      <c r="H542" s="4"/>
      <c r="I542" s="4"/>
      <c r="J542" s="4"/>
      <c r="K542" s="4"/>
      <c r="L542" s="4"/>
      <c r="M542" s="4"/>
      <c r="N542" s="4"/>
      <c r="O542" s="4"/>
      <c r="P542" s="4"/>
      <c r="Q542" s="4"/>
      <c r="R542" s="4"/>
      <c r="S542" s="4"/>
      <c r="T542" s="4"/>
      <c r="U542" s="4"/>
      <c r="V542" s="4"/>
      <c r="W542" s="4"/>
      <c r="X542" s="4"/>
      <c r="Y542" s="4"/>
      <c r="Z542" s="4"/>
    </row>
    <row r="543" ht="14.25" customHeight="1">
      <c r="A543" s="4"/>
      <c r="B543" s="4"/>
      <c r="C543" s="4"/>
      <c r="D543" s="4"/>
      <c r="E543" s="4"/>
      <c r="F543" s="188"/>
      <c r="G543" s="188"/>
      <c r="H543" s="4"/>
      <c r="I543" s="4"/>
      <c r="J543" s="4"/>
      <c r="K543" s="4"/>
      <c r="L543" s="4"/>
      <c r="M543" s="4"/>
      <c r="N543" s="4"/>
      <c r="O543" s="4"/>
      <c r="P543" s="4"/>
      <c r="Q543" s="4"/>
      <c r="R543" s="4"/>
      <c r="S543" s="4"/>
      <c r="T543" s="4"/>
      <c r="U543" s="4"/>
      <c r="V543" s="4"/>
      <c r="W543" s="4"/>
      <c r="X543" s="4"/>
      <c r="Y543" s="4"/>
      <c r="Z543" s="4"/>
    </row>
    <row r="544" ht="14.25" customHeight="1">
      <c r="A544" s="4"/>
      <c r="B544" s="4"/>
      <c r="C544" s="4"/>
      <c r="D544" s="4"/>
      <c r="E544" s="4"/>
      <c r="F544" s="188"/>
      <c r="G544" s="188"/>
      <c r="H544" s="4"/>
      <c r="I544" s="4"/>
      <c r="J544" s="4"/>
      <c r="K544" s="4"/>
      <c r="L544" s="4"/>
      <c r="M544" s="4"/>
      <c r="N544" s="4"/>
      <c r="O544" s="4"/>
      <c r="P544" s="4"/>
      <c r="Q544" s="4"/>
      <c r="R544" s="4"/>
      <c r="S544" s="4"/>
      <c r="T544" s="4"/>
      <c r="U544" s="4"/>
      <c r="V544" s="4"/>
      <c r="W544" s="4"/>
      <c r="X544" s="4"/>
      <c r="Y544" s="4"/>
      <c r="Z544" s="4"/>
    </row>
    <row r="545" ht="14.25" customHeight="1">
      <c r="A545" s="4"/>
      <c r="B545" s="4"/>
      <c r="C545" s="4"/>
      <c r="D545" s="4"/>
      <c r="E545" s="4"/>
      <c r="F545" s="188"/>
      <c r="G545" s="188"/>
      <c r="H545" s="4"/>
      <c r="I545" s="4"/>
      <c r="J545" s="4"/>
      <c r="K545" s="4"/>
      <c r="L545" s="4"/>
      <c r="M545" s="4"/>
      <c r="N545" s="4"/>
      <c r="O545" s="4"/>
      <c r="P545" s="4"/>
      <c r="Q545" s="4"/>
      <c r="R545" s="4"/>
      <c r="S545" s="4"/>
      <c r="T545" s="4"/>
      <c r="U545" s="4"/>
      <c r="V545" s="4"/>
      <c r="W545" s="4"/>
      <c r="X545" s="4"/>
      <c r="Y545" s="4"/>
      <c r="Z545" s="4"/>
    </row>
    <row r="546" ht="14.25" customHeight="1">
      <c r="A546" s="4"/>
      <c r="B546" s="4"/>
      <c r="C546" s="4"/>
      <c r="D546" s="4"/>
      <c r="E546" s="4"/>
      <c r="F546" s="188"/>
      <c r="G546" s="188"/>
      <c r="H546" s="4"/>
      <c r="I546" s="4"/>
      <c r="J546" s="4"/>
      <c r="K546" s="4"/>
      <c r="L546" s="4"/>
      <c r="M546" s="4"/>
      <c r="N546" s="4"/>
      <c r="O546" s="4"/>
      <c r="P546" s="4"/>
      <c r="Q546" s="4"/>
      <c r="R546" s="4"/>
      <c r="S546" s="4"/>
      <c r="T546" s="4"/>
      <c r="U546" s="4"/>
      <c r="V546" s="4"/>
      <c r="W546" s="4"/>
      <c r="X546" s="4"/>
      <c r="Y546" s="4"/>
      <c r="Z546" s="4"/>
    </row>
    <row r="547" ht="14.25" customHeight="1">
      <c r="A547" s="4"/>
      <c r="B547" s="4"/>
      <c r="C547" s="4"/>
      <c r="D547" s="4"/>
      <c r="E547" s="4"/>
      <c r="F547" s="188"/>
      <c r="G547" s="188"/>
      <c r="H547" s="4"/>
      <c r="I547" s="4"/>
      <c r="J547" s="4"/>
      <c r="K547" s="4"/>
      <c r="L547" s="4"/>
      <c r="M547" s="4"/>
      <c r="N547" s="4"/>
      <c r="O547" s="4"/>
      <c r="P547" s="4"/>
      <c r="Q547" s="4"/>
      <c r="R547" s="4"/>
      <c r="S547" s="4"/>
      <c r="T547" s="4"/>
      <c r="U547" s="4"/>
      <c r="V547" s="4"/>
      <c r="W547" s="4"/>
      <c r="X547" s="4"/>
      <c r="Y547" s="4"/>
      <c r="Z547" s="4"/>
    </row>
    <row r="548" ht="14.25" customHeight="1">
      <c r="A548" s="4"/>
      <c r="B548" s="4"/>
      <c r="C548" s="4"/>
      <c r="D548" s="4"/>
      <c r="E548" s="4"/>
      <c r="F548" s="188"/>
      <c r="G548" s="188"/>
      <c r="H548" s="4"/>
      <c r="I548" s="4"/>
      <c r="J548" s="4"/>
      <c r="K548" s="4"/>
      <c r="L548" s="4"/>
      <c r="M548" s="4"/>
      <c r="N548" s="4"/>
      <c r="O548" s="4"/>
      <c r="P548" s="4"/>
      <c r="Q548" s="4"/>
      <c r="R548" s="4"/>
      <c r="S548" s="4"/>
      <c r="T548" s="4"/>
      <c r="U548" s="4"/>
      <c r="V548" s="4"/>
      <c r="W548" s="4"/>
      <c r="X548" s="4"/>
      <c r="Y548" s="4"/>
      <c r="Z548" s="4"/>
    </row>
    <row r="549" ht="14.25" customHeight="1">
      <c r="A549" s="4"/>
      <c r="B549" s="4"/>
      <c r="C549" s="4"/>
      <c r="D549" s="4"/>
      <c r="E549" s="4"/>
      <c r="F549" s="188"/>
      <c r="G549" s="188"/>
      <c r="H549" s="4"/>
      <c r="I549" s="4"/>
      <c r="J549" s="4"/>
      <c r="K549" s="4"/>
      <c r="L549" s="4"/>
      <c r="M549" s="4"/>
      <c r="N549" s="4"/>
      <c r="O549" s="4"/>
      <c r="P549" s="4"/>
      <c r="Q549" s="4"/>
      <c r="R549" s="4"/>
      <c r="S549" s="4"/>
      <c r="T549" s="4"/>
      <c r="U549" s="4"/>
      <c r="V549" s="4"/>
      <c r="W549" s="4"/>
      <c r="X549" s="4"/>
      <c r="Y549" s="4"/>
      <c r="Z549" s="4"/>
    </row>
    <row r="550" ht="14.25" customHeight="1">
      <c r="A550" s="4"/>
      <c r="B550" s="4"/>
      <c r="C550" s="4"/>
      <c r="D550" s="4"/>
      <c r="E550" s="4"/>
      <c r="F550" s="188"/>
      <c r="G550" s="188"/>
      <c r="H550" s="4"/>
      <c r="I550" s="4"/>
      <c r="J550" s="4"/>
      <c r="K550" s="4"/>
      <c r="L550" s="4"/>
      <c r="M550" s="4"/>
      <c r="N550" s="4"/>
      <c r="O550" s="4"/>
      <c r="P550" s="4"/>
      <c r="Q550" s="4"/>
      <c r="R550" s="4"/>
      <c r="S550" s="4"/>
      <c r="T550" s="4"/>
      <c r="U550" s="4"/>
      <c r="V550" s="4"/>
      <c r="W550" s="4"/>
      <c r="X550" s="4"/>
      <c r="Y550" s="4"/>
      <c r="Z550" s="4"/>
    </row>
    <row r="551" ht="14.25" customHeight="1">
      <c r="A551" s="4"/>
      <c r="B551" s="4"/>
      <c r="C551" s="4"/>
      <c r="D551" s="4"/>
      <c r="E551" s="4"/>
      <c r="F551" s="188"/>
      <c r="G551" s="188"/>
      <c r="H551" s="4"/>
      <c r="I551" s="4"/>
      <c r="J551" s="4"/>
      <c r="K551" s="4"/>
      <c r="L551" s="4"/>
      <c r="M551" s="4"/>
      <c r="N551" s="4"/>
      <c r="O551" s="4"/>
      <c r="P551" s="4"/>
      <c r="Q551" s="4"/>
      <c r="R551" s="4"/>
      <c r="S551" s="4"/>
      <c r="T551" s="4"/>
      <c r="U551" s="4"/>
      <c r="V551" s="4"/>
      <c r="W551" s="4"/>
      <c r="X551" s="4"/>
      <c r="Y551" s="4"/>
      <c r="Z551" s="4"/>
    </row>
    <row r="552" ht="14.25" customHeight="1">
      <c r="A552" s="4"/>
      <c r="B552" s="4"/>
      <c r="C552" s="4"/>
      <c r="D552" s="4"/>
      <c r="E552" s="4"/>
      <c r="F552" s="188"/>
      <c r="G552" s="188"/>
      <c r="H552" s="4"/>
      <c r="I552" s="4"/>
      <c r="J552" s="4"/>
      <c r="K552" s="4"/>
      <c r="L552" s="4"/>
      <c r="M552" s="4"/>
      <c r="N552" s="4"/>
      <c r="O552" s="4"/>
      <c r="P552" s="4"/>
      <c r="Q552" s="4"/>
      <c r="R552" s="4"/>
      <c r="S552" s="4"/>
      <c r="T552" s="4"/>
      <c r="U552" s="4"/>
      <c r="V552" s="4"/>
      <c r="W552" s="4"/>
      <c r="X552" s="4"/>
      <c r="Y552" s="4"/>
      <c r="Z552" s="4"/>
    </row>
    <row r="553" ht="14.25" customHeight="1">
      <c r="A553" s="4"/>
      <c r="B553" s="4"/>
      <c r="C553" s="4"/>
      <c r="D553" s="4"/>
      <c r="E553" s="4"/>
      <c r="F553" s="188"/>
      <c r="G553" s="188"/>
      <c r="H553" s="4"/>
      <c r="I553" s="4"/>
      <c r="J553" s="4"/>
      <c r="K553" s="4"/>
      <c r="L553" s="4"/>
      <c r="M553" s="4"/>
      <c r="N553" s="4"/>
      <c r="O553" s="4"/>
      <c r="P553" s="4"/>
      <c r="Q553" s="4"/>
      <c r="R553" s="4"/>
      <c r="S553" s="4"/>
      <c r="T553" s="4"/>
      <c r="U553" s="4"/>
      <c r="V553" s="4"/>
      <c r="W553" s="4"/>
      <c r="X553" s="4"/>
      <c r="Y553" s="4"/>
      <c r="Z553" s="4"/>
    </row>
    <row r="554" ht="14.25" customHeight="1">
      <c r="A554" s="4"/>
      <c r="B554" s="4"/>
      <c r="C554" s="4"/>
      <c r="D554" s="4"/>
      <c r="E554" s="4"/>
      <c r="F554" s="188"/>
      <c r="G554" s="188"/>
      <c r="H554" s="4"/>
      <c r="I554" s="4"/>
      <c r="J554" s="4"/>
      <c r="K554" s="4"/>
      <c r="L554" s="4"/>
      <c r="M554" s="4"/>
      <c r="N554" s="4"/>
      <c r="O554" s="4"/>
      <c r="P554" s="4"/>
      <c r="Q554" s="4"/>
      <c r="R554" s="4"/>
      <c r="S554" s="4"/>
      <c r="T554" s="4"/>
      <c r="U554" s="4"/>
      <c r="V554" s="4"/>
      <c r="W554" s="4"/>
      <c r="X554" s="4"/>
      <c r="Y554" s="4"/>
      <c r="Z554" s="4"/>
    </row>
    <row r="555" ht="14.25" customHeight="1">
      <c r="A555" s="4"/>
      <c r="B555" s="4"/>
      <c r="C555" s="4"/>
      <c r="D555" s="4"/>
      <c r="E555" s="4"/>
      <c r="F555" s="188"/>
      <c r="G555" s="188"/>
      <c r="H555" s="4"/>
      <c r="I555" s="4"/>
      <c r="J555" s="4"/>
      <c r="K555" s="4"/>
      <c r="L555" s="4"/>
      <c r="M555" s="4"/>
      <c r="N555" s="4"/>
      <c r="O555" s="4"/>
      <c r="P555" s="4"/>
      <c r="Q555" s="4"/>
      <c r="R555" s="4"/>
      <c r="S555" s="4"/>
      <c r="T555" s="4"/>
      <c r="U555" s="4"/>
      <c r="V555" s="4"/>
      <c r="W555" s="4"/>
      <c r="X555" s="4"/>
      <c r="Y555" s="4"/>
      <c r="Z555" s="4"/>
    </row>
    <row r="556" ht="14.25" customHeight="1">
      <c r="A556" s="4"/>
      <c r="B556" s="4"/>
      <c r="C556" s="4"/>
      <c r="D556" s="4"/>
      <c r="E556" s="4"/>
      <c r="F556" s="188"/>
      <c r="G556" s="188"/>
      <c r="H556" s="4"/>
      <c r="I556" s="4"/>
      <c r="J556" s="4"/>
      <c r="K556" s="4"/>
      <c r="L556" s="4"/>
      <c r="M556" s="4"/>
      <c r="N556" s="4"/>
      <c r="O556" s="4"/>
      <c r="P556" s="4"/>
      <c r="Q556" s="4"/>
      <c r="R556" s="4"/>
      <c r="S556" s="4"/>
      <c r="T556" s="4"/>
      <c r="U556" s="4"/>
      <c r="V556" s="4"/>
      <c r="W556" s="4"/>
      <c r="X556" s="4"/>
      <c r="Y556" s="4"/>
      <c r="Z556" s="4"/>
    </row>
    <row r="557" ht="14.25" customHeight="1">
      <c r="A557" s="4"/>
      <c r="B557" s="4"/>
      <c r="C557" s="4"/>
      <c r="D557" s="4"/>
      <c r="E557" s="4"/>
      <c r="F557" s="188"/>
      <c r="G557" s="188"/>
      <c r="H557" s="4"/>
      <c r="I557" s="4"/>
      <c r="J557" s="4"/>
      <c r="K557" s="4"/>
      <c r="L557" s="4"/>
      <c r="M557" s="4"/>
      <c r="N557" s="4"/>
      <c r="O557" s="4"/>
      <c r="P557" s="4"/>
      <c r="Q557" s="4"/>
      <c r="R557" s="4"/>
      <c r="S557" s="4"/>
      <c r="T557" s="4"/>
      <c r="U557" s="4"/>
      <c r="V557" s="4"/>
      <c r="W557" s="4"/>
      <c r="X557" s="4"/>
      <c r="Y557" s="4"/>
      <c r="Z557" s="4"/>
    </row>
    <row r="558" ht="14.25" customHeight="1">
      <c r="A558" s="4"/>
      <c r="B558" s="4"/>
      <c r="C558" s="4"/>
      <c r="D558" s="4"/>
      <c r="E558" s="4"/>
      <c r="F558" s="188"/>
      <c r="G558" s="188"/>
      <c r="H558" s="4"/>
      <c r="I558" s="4"/>
      <c r="J558" s="4"/>
      <c r="K558" s="4"/>
      <c r="L558" s="4"/>
      <c r="M558" s="4"/>
      <c r="N558" s="4"/>
      <c r="O558" s="4"/>
      <c r="P558" s="4"/>
      <c r="Q558" s="4"/>
      <c r="R558" s="4"/>
      <c r="S558" s="4"/>
      <c r="T558" s="4"/>
      <c r="U558" s="4"/>
      <c r="V558" s="4"/>
      <c r="W558" s="4"/>
      <c r="X558" s="4"/>
      <c r="Y558" s="4"/>
      <c r="Z558" s="4"/>
    </row>
    <row r="559" ht="14.25" customHeight="1">
      <c r="A559" s="4"/>
      <c r="B559" s="4"/>
      <c r="C559" s="4"/>
      <c r="D559" s="4"/>
      <c r="E559" s="4"/>
      <c r="F559" s="188"/>
      <c r="G559" s="188"/>
      <c r="H559" s="4"/>
      <c r="I559" s="4"/>
      <c r="J559" s="4"/>
      <c r="K559" s="4"/>
      <c r="L559" s="4"/>
      <c r="M559" s="4"/>
      <c r="N559" s="4"/>
      <c r="O559" s="4"/>
      <c r="P559" s="4"/>
      <c r="Q559" s="4"/>
      <c r="R559" s="4"/>
      <c r="S559" s="4"/>
      <c r="T559" s="4"/>
      <c r="U559" s="4"/>
      <c r="V559" s="4"/>
      <c r="W559" s="4"/>
      <c r="X559" s="4"/>
      <c r="Y559" s="4"/>
      <c r="Z559" s="4"/>
    </row>
    <row r="560" ht="14.25" customHeight="1">
      <c r="A560" s="4"/>
      <c r="B560" s="4"/>
      <c r="C560" s="4"/>
      <c r="D560" s="4"/>
      <c r="E560" s="4"/>
      <c r="F560" s="188"/>
      <c r="G560" s="188"/>
      <c r="H560" s="4"/>
      <c r="I560" s="4"/>
      <c r="J560" s="4"/>
      <c r="K560" s="4"/>
      <c r="L560" s="4"/>
      <c r="M560" s="4"/>
      <c r="N560" s="4"/>
      <c r="O560" s="4"/>
      <c r="P560" s="4"/>
      <c r="Q560" s="4"/>
      <c r="R560" s="4"/>
      <c r="S560" s="4"/>
      <c r="T560" s="4"/>
      <c r="U560" s="4"/>
      <c r="V560" s="4"/>
      <c r="W560" s="4"/>
      <c r="X560" s="4"/>
      <c r="Y560" s="4"/>
      <c r="Z560" s="4"/>
    </row>
    <row r="561" ht="14.25" customHeight="1">
      <c r="A561" s="4"/>
      <c r="B561" s="4"/>
      <c r="C561" s="4"/>
      <c r="D561" s="4"/>
      <c r="E561" s="4"/>
      <c r="F561" s="188"/>
      <c r="G561" s="188"/>
      <c r="H561" s="4"/>
      <c r="I561" s="4"/>
      <c r="J561" s="4"/>
      <c r="K561" s="4"/>
      <c r="L561" s="4"/>
      <c r="M561" s="4"/>
      <c r="N561" s="4"/>
      <c r="O561" s="4"/>
      <c r="P561" s="4"/>
      <c r="Q561" s="4"/>
      <c r="R561" s="4"/>
      <c r="S561" s="4"/>
      <c r="T561" s="4"/>
      <c r="U561" s="4"/>
      <c r="V561" s="4"/>
      <c r="W561" s="4"/>
      <c r="X561" s="4"/>
      <c r="Y561" s="4"/>
      <c r="Z561" s="4"/>
    </row>
    <row r="562" ht="14.25" customHeight="1">
      <c r="A562" s="4"/>
      <c r="B562" s="4"/>
      <c r="C562" s="4"/>
      <c r="D562" s="4"/>
      <c r="E562" s="4"/>
      <c r="F562" s="188"/>
      <c r="G562" s="188"/>
      <c r="H562" s="4"/>
      <c r="I562" s="4"/>
      <c r="J562" s="4"/>
      <c r="K562" s="4"/>
      <c r="L562" s="4"/>
      <c r="M562" s="4"/>
      <c r="N562" s="4"/>
      <c r="O562" s="4"/>
      <c r="P562" s="4"/>
      <c r="Q562" s="4"/>
      <c r="R562" s="4"/>
      <c r="S562" s="4"/>
      <c r="T562" s="4"/>
      <c r="U562" s="4"/>
      <c r="V562" s="4"/>
      <c r="W562" s="4"/>
      <c r="X562" s="4"/>
      <c r="Y562" s="4"/>
      <c r="Z562" s="4"/>
    </row>
    <row r="563" ht="14.25" customHeight="1">
      <c r="A563" s="4"/>
      <c r="B563" s="4"/>
      <c r="C563" s="4"/>
      <c r="D563" s="4"/>
      <c r="E563" s="4"/>
      <c r="F563" s="188"/>
      <c r="G563" s="188"/>
      <c r="H563" s="4"/>
      <c r="I563" s="4"/>
      <c r="J563" s="4"/>
      <c r="K563" s="4"/>
      <c r="L563" s="4"/>
      <c r="M563" s="4"/>
      <c r="N563" s="4"/>
      <c r="O563" s="4"/>
      <c r="P563" s="4"/>
      <c r="Q563" s="4"/>
      <c r="R563" s="4"/>
      <c r="S563" s="4"/>
      <c r="T563" s="4"/>
      <c r="U563" s="4"/>
      <c r="V563" s="4"/>
      <c r="W563" s="4"/>
      <c r="X563" s="4"/>
      <c r="Y563" s="4"/>
      <c r="Z563" s="4"/>
    </row>
    <row r="564" ht="14.25" customHeight="1">
      <c r="A564" s="4"/>
      <c r="B564" s="4"/>
      <c r="C564" s="4"/>
      <c r="D564" s="4"/>
      <c r="E564" s="4"/>
      <c r="F564" s="188"/>
      <c r="G564" s="188"/>
      <c r="H564" s="4"/>
      <c r="I564" s="4"/>
      <c r="J564" s="4"/>
      <c r="K564" s="4"/>
      <c r="L564" s="4"/>
      <c r="M564" s="4"/>
      <c r="N564" s="4"/>
      <c r="O564" s="4"/>
      <c r="P564" s="4"/>
      <c r="Q564" s="4"/>
      <c r="R564" s="4"/>
      <c r="S564" s="4"/>
      <c r="T564" s="4"/>
      <c r="U564" s="4"/>
      <c r="V564" s="4"/>
      <c r="W564" s="4"/>
      <c r="X564" s="4"/>
      <c r="Y564" s="4"/>
      <c r="Z564" s="4"/>
    </row>
    <row r="565" ht="14.25" customHeight="1">
      <c r="A565" s="4"/>
      <c r="B565" s="4"/>
      <c r="C565" s="4"/>
      <c r="D565" s="4"/>
      <c r="E565" s="4"/>
      <c r="F565" s="188"/>
      <c r="G565" s="188"/>
      <c r="H565" s="4"/>
      <c r="I565" s="4"/>
      <c r="J565" s="4"/>
      <c r="K565" s="4"/>
      <c r="L565" s="4"/>
      <c r="M565" s="4"/>
      <c r="N565" s="4"/>
      <c r="O565" s="4"/>
      <c r="P565" s="4"/>
      <c r="Q565" s="4"/>
      <c r="R565" s="4"/>
      <c r="S565" s="4"/>
      <c r="T565" s="4"/>
      <c r="U565" s="4"/>
      <c r="V565" s="4"/>
      <c r="W565" s="4"/>
      <c r="X565" s="4"/>
      <c r="Y565" s="4"/>
      <c r="Z565" s="4"/>
    </row>
    <row r="566" ht="14.25" customHeight="1">
      <c r="A566" s="4"/>
      <c r="B566" s="4"/>
      <c r="C566" s="4"/>
      <c r="D566" s="4"/>
      <c r="E566" s="4"/>
      <c r="F566" s="188"/>
      <c r="G566" s="188"/>
      <c r="H566" s="4"/>
      <c r="I566" s="4"/>
      <c r="J566" s="4"/>
      <c r="K566" s="4"/>
      <c r="L566" s="4"/>
      <c r="M566" s="4"/>
      <c r="N566" s="4"/>
      <c r="O566" s="4"/>
      <c r="P566" s="4"/>
      <c r="Q566" s="4"/>
      <c r="R566" s="4"/>
      <c r="S566" s="4"/>
      <c r="T566" s="4"/>
      <c r="U566" s="4"/>
      <c r="V566" s="4"/>
      <c r="W566" s="4"/>
      <c r="X566" s="4"/>
      <c r="Y566" s="4"/>
      <c r="Z566" s="4"/>
    </row>
    <row r="567" ht="14.25" customHeight="1">
      <c r="A567" s="4"/>
      <c r="B567" s="4"/>
      <c r="C567" s="4"/>
      <c r="D567" s="4"/>
      <c r="E567" s="4"/>
      <c r="F567" s="188"/>
      <c r="G567" s="188"/>
      <c r="H567" s="4"/>
      <c r="I567" s="4"/>
      <c r="J567" s="4"/>
      <c r="K567" s="4"/>
      <c r="L567" s="4"/>
      <c r="M567" s="4"/>
      <c r="N567" s="4"/>
      <c r="O567" s="4"/>
      <c r="P567" s="4"/>
      <c r="Q567" s="4"/>
      <c r="R567" s="4"/>
      <c r="S567" s="4"/>
      <c r="T567" s="4"/>
      <c r="U567" s="4"/>
      <c r="V567" s="4"/>
      <c r="W567" s="4"/>
      <c r="X567" s="4"/>
      <c r="Y567" s="4"/>
      <c r="Z567" s="4"/>
    </row>
    <row r="568" ht="14.25" customHeight="1">
      <c r="A568" s="4"/>
      <c r="B568" s="4"/>
      <c r="C568" s="4"/>
      <c r="D568" s="4"/>
      <c r="E568" s="4"/>
      <c r="F568" s="188"/>
      <c r="G568" s="188"/>
      <c r="H568" s="4"/>
      <c r="I568" s="4"/>
      <c r="J568" s="4"/>
      <c r="K568" s="4"/>
      <c r="L568" s="4"/>
      <c r="M568" s="4"/>
      <c r="N568" s="4"/>
      <c r="O568" s="4"/>
      <c r="P568" s="4"/>
      <c r="Q568" s="4"/>
      <c r="R568" s="4"/>
      <c r="S568" s="4"/>
      <c r="T568" s="4"/>
      <c r="U568" s="4"/>
      <c r="V568" s="4"/>
      <c r="W568" s="4"/>
      <c r="X568" s="4"/>
      <c r="Y568" s="4"/>
      <c r="Z568" s="4"/>
    </row>
    <row r="569" ht="14.25" customHeight="1">
      <c r="A569" s="4"/>
      <c r="B569" s="4"/>
      <c r="C569" s="4"/>
      <c r="D569" s="4"/>
      <c r="E569" s="4"/>
      <c r="F569" s="188"/>
      <c r="G569" s="188"/>
      <c r="H569" s="4"/>
      <c r="I569" s="4"/>
      <c r="J569" s="4"/>
      <c r="K569" s="4"/>
      <c r="L569" s="4"/>
      <c r="M569" s="4"/>
      <c r="N569" s="4"/>
      <c r="O569" s="4"/>
      <c r="P569" s="4"/>
      <c r="Q569" s="4"/>
      <c r="R569" s="4"/>
      <c r="S569" s="4"/>
      <c r="T569" s="4"/>
      <c r="U569" s="4"/>
      <c r="V569" s="4"/>
      <c r="W569" s="4"/>
      <c r="X569" s="4"/>
      <c r="Y569" s="4"/>
      <c r="Z569" s="4"/>
    </row>
    <row r="570" ht="14.25" customHeight="1">
      <c r="A570" s="4"/>
      <c r="B570" s="4"/>
      <c r="C570" s="4"/>
      <c r="D570" s="4"/>
      <c r="E570" s="4"/>
      <c r="F570" s="188"/>
      <c r="G570" s="188"/>
      <c r="H570" s="4"/>
      <c r="I570" s="4"/>
      <c r="J570" s="4"/>
      <c r="K570" s="4"/>
      <c r="L570" s="4"/>
      <c r="M570" s="4"/>
      <c r="N570" s="4"/>
      <c r="O570" s="4"/>
      <c r="P570" s="4"/>
      <c r="Q570" s="4"/>
      <c r="R570" s="4"/>
      <c r="S570" s="4"/>
      <c r="T570" s="4"/>
      <c r="U570" s="4"/>
      <c r="V570" s="4"/>
      <c r="W570" s="4"/>
      <c r="X570" s="4"/>
      <c r="Y570" s="4"/>
      <c r="Z570" s="4"/>
    </row>
    <row r="571" ht="14.25" customHeight="1">
      <c r="A571" s="4"/>
      <c r="B571" s="4"/>
      <c r="C571" s="4"/>
      <c r="D571" s="4"/>
      <c r="E571" s="4"/>
      <c r="F571" s="188"/>
      <c r="G571" s="188"/>
      <c r="H571" s="4"/>
      <c r="I571" s="4"/>
      <c r="J571" s="4"/>
      <c r="K571" s="4"/>
      <c r="L571" s="4"/>
      <c r="M571" s="4"/>
      <c r="N571" s="4"/>
      <c r="O571" s="4"/>
      <c r="P571" s="4"/>
      <c r="Q571" s="4"/>
      <c r="R571" s="4"/>
      <c r="S571" s="4"/>
      <c r="T571" s="4"/>
      <c r="U571" s="4"/>
      <c r="V571" s="4"/>
      <c r="W571" s="4"/>
      <c r="X571" s="4"/>
      <c r="Y571" s="4"/>
      <c r="Z571" s="4"/>
    </row>
    <row r="572" ht="14.25" customHeight="1">
      <c r="A572" s="4"/>
      <c r="B572" s="4"/>
      <c r="C572" s="4"/>
      <c r="D572" s="4"/>
      <c r="E572" s="4"/>
      <c r="F572" s="188"/>
      <c r="G572" s="188"/>
      <c r="H572" s="4"/>
      <c r="I572" s="4"/>
      <c r="J572" s="4"/>
      <c r="K572" s="4"/>
      <c r="L572" s="4"/>
      <c r="M572" s="4"/>
      <c r="N572" s="4"/>
      <c r="O572" s="4"/>
      <c r="P572" s="4"/>
      <c r="Q572" s="4"/>
      <c r="R572" s="4"/>
      <c r="S572" s="4"/>
      <c r="T572" s="4"/>
      <c r="U572" s="4"/>
      <c r="V572" s="4"/>
      <c r="W572" s="4"/>
      <c r="X572" s="4"/>
      <c r="Y572" s="4"/>
      <c r="Z572" s="4"/>
    </row>
    <row r="573" ht="14.25" customHeight="1">
      <c r="A573" s="4"/>
      <c r="B573" s="4"/>
      <c r="C573" s="4"/>
      <c r="D573" s="4"/>
      <c r="E573" s="4"/>
      <c r="F573" s="188"/>
      <c r="G573" s="188"/>
      <c r="H573" s="4"/>
      <c r="I573" s="4"/>
      <c r="J573" s="4"/>
      <c r="K573" s="4"/>
      <c r="L573" s="4"/>
      <c r="M573" s="4"/>
      <c r="N573" s="4"/>
      <c r="O573" s="4"/>
      <c r="P573" s="4"/>
      <c r="Q573" s="4"/>
      <c r="R573" s="4"/>
      <c r="S573" s="4"/>
      <c r="T573" s="4"/>
      <c r="U573" s="4"/>
      <c r="V573" s="4"/>
      <c r="W573" s="4"/>
      <c r="X573" s="4"/>
      <c r="Y573" s="4"/>
      <c r="Z573" s="4"/>
    </row>
    <row r="574" ht="14.25" customHeight="1">
      <c r="A574" s="4"/>
      <c r="B574" s="4"/>
      <c r="C574" s="4"/>
      <c r="D574" s="4"/>
      <c r="E574" s="4"/>
      <c r="F574" s="188"/>
      <c r="G574" s="188"/>
      <c r="H574" s="4"/>
      <c r="I574" s="4"/>
      <c r="J574" s="4"/>
      <c r="K574" s="4"/>
      <c r="L574" s="4"/>
      <c r="M574" s="4"/>
      <c r="N574" s="4"/>
      <c r="O574" s="4"/>
      <c r="P574" s="4"/>
      <c r="Q574" s="4"/>
      <c r="R574" s="4"/>
      <c r="S574" s="4"/>
      <c r="T574" s="4"/>
      <c r="U574" s="4"/>
      <c r="V574" s="4"/>
      <c r="W574" s="4"/>
      <c r="X574" s="4"/>
      <c r="Y574" s="4"/>
      <c r="Z574" s="4"/>
    </row>
    <row r="575" ht="14.25" customHeight="1">
      <c r="A575" s="4"/>
      <c r="B575" s="4"/>
      <c r="C575" s="4"/>
      <c r="D575" s="4"/>
      <c r="E575" s="4"/>
      <c r="F575" s="188"/>
      <c r="G575" s="188"/>
      <c r="H575" s="4"/>
      <c r="I575" s="4"/>
      <c r="J575" s="4"/>
      <c r="K575" s="4"/>
      <c r="L575" s="4"/>
      <c r="M575" s="4"/>
      <c r="N575" s="4"/>
      <c r="O575" s="4"/>
      <c r="P575" s="4"/>
      <c r="Q575" s="4"/>
      <c r="R575" s="4"/>
      <c r="S575" s="4"/>
      <c r="T575" s="4"/>
      <c r="U575" s="4"/>
      <c r="V575" s="4"/>
      <c r="W575" s="4"/>
      <c r="X575" s="4"/>
      <c r="Y575" s="4"/>
      <c r="Z575" s="4"/>
    </row>
    <row r="576" ht="14.25" customHeight="1">
      <c r="A576" s="4"/>
      <c r="B576" s="4"/>
      <c r="C576" s="4"/>
      <c r="D576" s="4"/>
      <c r="E576" s="4"/>
      <c r="F576" s="188"/>
      <c r="G576" s="188"/>
      <c r="H576" s="4"/>
      <c r="I576" s="4"/>
      <c r="J576" s="4"/>
      <c r="K576" s="4"/>
      <c r="L576" s="4"/>
      <c r="M576" s="4"/>
      <c r="N576" s="4"/>
      <c r="O576" s="4"/>
      <c r="P576" s="4"/>
      <c r="Q576" s="4"/>
      <c r="R576" s="4"/>
      <c r="S576" s="4"/>
      <c r="T576" s="4"/>
      <c r="U576" s="4"/>
      <c r="V576" s="4"/>
      <c r="W576" s="4"/>
      <c r="X576" s="4"/>
      <c r="Y576" s="4"/>
      <c r="Z576" s="4"/>
    </row>
    <row r="577" ht="14.25" customHeight="1">
      <c r="A577" s="4"/>
      <c r="B577" s="4"/>
      <c r="C577" s="4"/>
      <c r="D577" s="4"/>
      <c r="E577" s="4"/>
      <c r="F577" s="188"/>
      <c r="G577" s="188"/>
      <c r="H577" s="4"/>
      <c r="I577" s="4"/>
      <c r="J577" s="4"/>
      <c r="K577" s="4"/>
      <c r="L577" s="4"/>
      <c r="M577" s="4"/>
      <c r="N577" s="4"/>
      <c r="O577" s="4"/>
      <c r="P577" s="4"/>
      <c r="Q577" s="4"/>
      <c r="R577" s="4"/>
      <c r="S577" s="4"/>
      <c r="T577" s="4"/>
      <c r="U577" s="4"/>
      <c r="V577" s="4"/>
      <c r="W577" s="4"/>
      <c r="X577" s="4"/>
      <c r="Y577" s="4"/>
      <c r="Z577" s="4"/>
    </row>
    <row r="578" ht="14.25" customHeight="1">
      <c r="A578" s="4"/>
      <c r="B578" s="4"/>
      <c r="C578" s="4"/>
      <c r="D578" s="4"/>
      <c r="E578" s="4"/>
      <c r="F578" s="188"/>
      <c r="G578" s="188"/>
      <c r="H578" s="4"/>
      <c r="I578" s="4"/>
      <c r="J578" s="4"/>
      <c r="K578" s="4"/>
      <c r="L578" s="4"/>
      <c r="M578" s="4"/>
      <c r="N578" s="4"/>
      <c r="O578" s="4"/>
      <c r="P578" s="4"/>
      <c r="Q578" s="4"/>
      <c r="R578" s="4"/>
      <c r="S578" s="4"/>
      <c r="T578" s="4"/>
      <c r="U578" s="4"/>
      <c r="V578" s="4"/>
      <c r="W578" s="4"/>
      <c r="X578" s="4"/>
      <c r="Y578" s="4"/>
      <c r="Z578" s="4"/>
    </row>
    <row r="579" ht="14.25" customHeight="1">
      <c r="A579" s="4"/>
      <c r="B579" s="4"/>
      <c r="C579" s="4"/>
      <c r="D579" s="4"/>
      <c r="E579" s="4"/>
      <c r="F579" s="188"/>
      <c r="G579" s="188"/>
      <c r="H579" s="4"/>
      <c r="I579" s="4"/>
      <c r="J579" s="4"/>
      <c r="K579" s="4"/>
      <c r="L579" s="4"/>
      <c r="M579" s="4"/>
      <c r="N579" s="4"/>
      <c r="O579" s="4"/>
      <c r="P579" s="4"/>
      <c r="Q579" s="4"/>
      <c r="R579" s="4"/>
      <c r="S579" s="4"/>
      <c r="T579" s="4"/>
      <c r="U579" s="4"/>
      <c r="V579" s="4"/>
      <c r="W579" s="4"/>
      <c r="X579" s="4"/>
      <c r="Y579" s="4"/>
      <c r="Z579" s="4"/>
    </row>
    <row r="580" ht="14.25" customHeight="1">
      <c r="A580" s="4"/>
      <c r="B580" s="4"/>
      <c r="C580" s="4"/>
      <c r="D580" s="4"/>
      <c r="E580" s="4"/>
      <c r="F580" s="188"/>
      <c r="G580" s="188"/>
      <c r="H580" s="4"/>
      <c r="I580" s="4"/>
      <c r="J580" s="4"/>
      <c r="K580" s="4"/>
      <c r="L580" s="4"/>
      <c r="M580" s="4"/>
      <c r="N580" s="4"/>
      <c r="O580" s="4"/>
      <c r="P580" s="4"/>
      <c r="Q580" s="4"/>
      <c r="R580" s="4"/>
      <c r="S580" s="4"/>
      <c r="T580" s="4"/>
      <c r="U580" s="4"/>
      <c r="V580" s="4"/>
      <c r="W580" s="4"/>
      <c r="X580" s="4"/>
      <c r="Y580" s="4"/>
      <c r="Z580" s="4"/>
    </row>
    <row r="581" ht="14.25" customHeight="1">
      <c r="A581" s="4"/>
      <c r="B581" s="4"/>
      <c r="C581" s="4"/>
      <c r="D581" s="4"/>
      <c r="E581" s="4"/>
      <c r="F581" s="188"/>
      <c r="G581" s="188"/>
      <c r="H581" s="4"/>
      <c r="I581" s="4"/>
      <c r="J581" s="4"/>
      <c r="K581" s="4"/>
      <c r="L581" s="4"/>
      <c r="M581" s="4"/>
      <c r="N581" s="4"/>
      <c r="O581" s="4"/>
      <c r="P581" s="4"/>
      <c r="Q581" s="4"/>
      <c r="R581" s="4"/>
      <c r="S581" s="4"/>
      <c r="T581" s="4"/>
      <c r="U581" s="4"/>
      <c r="V581" s="4"/>
      <c r="W581" s="4"/>
      <c r="X581" s="4"/>
      <c r="Y581" s="4"/>
      <c r="Z581" s="4"/>
    </row>
    <row r="582" ht="14.25" customHeight="1">
      <c r="A582" s="4"/>
      <c r="B582" s="4"/>
      <c r="C582" s="4"/>
      <c r="D582" s="4"/>
      <c r="E582" s="4"/>
      <c r="F582" s="188"/>
      <c r="G582" s="188"/>
      <c r="H582" s="4"/>
      <c r="I582" s="4"/>
      <c r="J582" s="4"/>
      <c r="K582" s="4"/>
      <c r="L582" s="4"/>
      <c r="M582" s="4"/>
      <c r="N582" s="4"/>
      <c r="O582" s="4"/>
      <c r="P582" s="4"/>
      <c r="Q582" s="4"/>
      <c r="R582" s="4"/>
      <c r="S582" s="4"/>
      <c r="T582" s="4"/>
      <c r="U582" s="4"/>
      <c r="V582" s="4"/>
      <c r="W582" s="4"/>
      <c r="X582" s="4"/>
      <c r="Y582" s="4"/>
      <c r="Z582" s="4"/>
    </row>
    <row r="583" ht="14.25" customHeight="1">
      <c r="A583" s="4"/>
      <c r="B583" s="4"/>
      <c r="C583" s="4"/>
      <c r="D583" s="4"/>
      <c r="E583" s="4"/>
      <c r="F583" s="188"/>
      <c r="G583" s="188"/>
      <c r="H583" s="4"/>
      <c r="I583" s="4"/>
      <c r="J583" s="4"/>
      <c r="K583" s="4"/>
      <c r="L583" s="4"/>
      <c r="M583" s="4"/>
      <c r="N583" s="4"/>
      <c r="O583" s="4"/>
      <c r="P583" s="4"/>
      <c r="Q583" s="4"/>
      <c r="R583" s="4"/>
      <c r="S583" s="4"/>
      <c r="T583" s="4"/>
      <c r="U583" s="4"/>
      <c r="V583" s="4"/>
      <c r="W583" s="4"/>
      <c r="X583" s="4"/>
      <c r="Y583" s="4"/>
      <c r="Z583" s="4"/>
    </row>
    <row r="584" ht="14.25" customHeight="1">
      <c r="A584" s="4"/>
      <c r="B584" s="4"/>
      <c r="C584" s="4"/>
      <c r="D584" s="4"/>
      <c r="E584" s="4"/>
      <c r="F584" s="188"/>
      <c r="G584" s="188"/>
      <c r="H584" s="4"/>
      <c r="I584" s="4"/>
      <c r="J584" s="4"/>
      <c r="K584" s="4"/>
      <c r="L584" s="4"/>
      <c r="M584" s="4"/>
      <c r="N584" s="4"/>
      <c r="O584" s="4"/>
      <c r="P584" s="4"/>
      <c r="Q584" s="4"/>
      <c r="R584" s="4"/>
      <c r="S584" s="4"/>
      <c r="T584" s="4"/>
      <c r="U584" s="4"/>
      <c r="V584" s="4"/>
      <c r="W584" s="4"/>
      <c r="X584" s="4"/>
      <c r="Y584" s="4"/>
      <c r="Z584" s="4"/>
    </row>
    <row r="585" ht="14.25" customHeight="1">
      <c r="A585" s="4"/>
      <c r="B585" s="4"/>
      <c r="C585" s="4"/>
      <c r="D585" s="4"/>
      <c r="E585" s="4"/>
      <c r="F585" s="188"/>
      <c r="G585" s="188"/>
      <c r="H585" s="4"/>
      <c r="I585" s="4"/>
      <c r="J585" s="4"/>
      <c r="K585" s="4"/>
      <c r="L585" s="4"/>
      <c r="M585" s="4"/>
      <c r="N585" s="4"/>
      <c r="O585" s="4"/>
      <c r="P585" s="4"/>
      <c r="Q585" s="4"/>
      <c r="R585" s="4"/>
      <c r="S585" s="4"/>
      <c r="T585" s="4"/>
      <c r="U585" s="4"/>
      <c r="V585" s="4"/>
      <c r="W585" s="4"/>
      <c r="X585" s="4"/>
      <c r="Y585" s="4"/>
      <c r="Z585" s="4"/>
    </row>
    <row r="586" ht="14.25" customHeight="1">
      <c r="A586" s="4"/>
      <c r="B586" s="4"/>
      <c r="C586" s="4"/>
      <c r="D586" s="4"/>
      <c r="E586" s="4"/>
      <c r="F586" s="188"/>
      <c r="G586" s="188"/>
      <c r="H586" s="4"/>
      <c r="I586" s="4"/>
      <c r="J586" s="4"/>
      <c r="K586" s="4"/>
      <c r="L586" s="4"/>
      <c r="M586" s="4"/>
      <c r="N586" s="4"/>
      <c r="O586" s="4"/>
      <c r="P586" s="4"/>
      <c r="Q586" s="4"/>
      <c r="R586" s="4"/>
      <c r="S586" s="4"/>
      <c r="T586" s="4"/>
      <c r="U586" s="4"/>
      <c r="V586" s="4"/>
      <c r="W586" s="4"/>
      <c r="X586" s="4"/>
      <c r="Y586" s="4"/>
      <c r="Z586" s="4"/>
    </row>
    <row r="587" ht="14.25" customHeight="1">
      <c r="A587" s="4"/>
      <c r="B587" s="4"/>
      <c r="C587" s="4"/>
      <c r="D587" s="4"/>
      <c r="E587" s="4"/>
      <c r="F587" s="188"/>
      <c r="G587" s="188"/>
      <c r="H587" s="4"/>
      <c r="I587" s="4"/>
      <c r="J587" s="4"/>
      <c r="K587" s="4"/>
      <c r="L587" s="4"/>
      <c r="M587" s="4"/>
      <c r="N587" s="4"/>
      <c r="O587" s="4"/>
      <c r="P587" s="4"/>
      <c r="Q587" s="4"/>
      <c r="R587" s="4"/>
      <c r="S587" s="4"/>
      <c r="T587" s="4"/>
      <c r="U587" s="4"/>
      <c r="V587" s="4"/>
      <c r="W587" s="4"/>
      <c r="X587" s="4"/>
      <c r="Y587" s="4"/>
      <c r="Z587" s="4"/>
    </row>
    <row r="588" ht="14.25" customHeight="1">
      <c r="A588" s="4"/>
      <c r="B588" s="4"/>
      <c r="C588" s="4"/>
      <c r="D588" s="4"/>
      <c r="E588" s="4"/>
      <c r="F588" s="188"/>
      <c r="G588" s="188"/>
      <c r="H588" s="4"/>
      <c r="I588" s="4"/>
      <c r="J588" s="4"/>
      <c r="K588" s="4"/>
      <c r="L588" s="4"/>
      <c r="M588" s="4"/>
      <c r="N588" s="4"/>
      <c r="O588" s="4"/>
      <c r="P588" s="4"/>
      <c r="Q588" s="4"/>
      <c r="R588" s="4"/>
      <c r="S588" s="4"/>
      <c r="T588" s="4"/>
      <c r="U588" s="4"/>
      <c r="V588" s="4"/>
      <c r="W588" s="4"/>
      <c r="X588" s="4"/>
      <c r="Y588" s="4"/>
      <c r="Z588" s="4"/>
    </row>
    <row r="589" ht="14.25" customHeight="1">
      <c r="A589" s="4"/>
      <c r="B589" s="4"/>
      <c r="C589" s="4"/>
      <c r="D589" s="4"/>
      <c r="E589" s="4"/>
      <c r="F589" s="188"/>
      <c r="G589" s="188"/>
      <c r="H589" s="4"/>
      <c r="I589" s="4"/>
      <c r="J589" s="4"/>
      <c r="K589" s="4"/>
      <c r="L589" s="4"/>
      <c r="M589" s="4"/>
      <c r="N589" s="4"/>
      <c r="O589" s="4"/>
      <c r="P589" s="4"/>
      <c r="Q589" s="4"/>
      <c r="R589" s="4"/>
      <c r="S589" s="4"/>
      <c r="T589" s="4"/>
      <c r="U589" s="4"/>
      <c r="V589" s="4"/>
      <c r="W589" s="4"/>
      <c r="X589" s="4"/>
      <c r="Y589" s="4"/>
      <c r="Z589" s="4"/>
    </row>
    <row r="590" ht="14.25" customHeight="1">
      <c r="A590" s="4"/>
      <c r="B590" s="4"/>
      <c r="C590" s="4"/>
      <c r="D590" s="4"/>
      <c r="E590" s="4"/>
      <c r="F590" s="188"/>
      <c r="G590" s="188"/>
      <c r="H590" s="4"/>
      <c r="I590" s="4"/>
      <c r="J590" s="4"/>
      <c r="K590" s="4"/>
      <c r="L590" s="4"/>
      <c r="M590" s="4"/>
      <c r="N590" s="4"/>
      <c r="O590" s="4"/>
      <c r="P590" s="4"/>
      <c r="Q590" s="4"/>
      <c r="R590" s="4"/>
      <c r="S590" s="4"/>
      <c r="T590" s="4"/>
      <c r="U590" s="4"/>
      <c r="V590" s="4"/>
      <c r="W590" s="4"/>
      <c r="X590" s="4"/>
      <c r="Y590" s="4"/>
      <c r="Z590" s="4"/>
    </row>
    <row r="591" ht="14.25" customHeight="1">
      <c r="A591" s="4"/>
      <c r="B591" s="4"/>
      <c r="C591" s="4"/>
      <c r="D591" s="4"/>
      <c r="E591" s="4"/>
      <c r="F591" s="188"/>
      <c r="G591" s="188"/>
      <c r="H591" s="4"/>
      <c r="I591" s="4"/>
      <c r="J591" s="4"/>
      <c r="K591" s="4"/>
      <c r="L591" s="4"/>
      <c r="M591" s="4"/>
      <c r="N591" s="4"/>
      <c r="O591" s="4"/>
      <c r="P591" s="4"/>
      <c r="Q591" s="4"/>
      <c r="R591" s="4"/>
      <c r="S591" s="4"/>
      <c r="T591" s="4"/>
      <c r="U591" s="4"/>
      <c r="V591" s="4"/>
      <c r="W591" s="4"/>
      <c r="X591" s="4"/>
      <c r="Y591" s="4"/>
      <c r="Z591" s="4"/>
    </row>
    <row r="592" ht="14.25" customHeight="1">
      <c r="A592" s="4"/>
      <c r="B592" s="4"/>
      <c r="C592" s="4"/>
      <c r="D592" s="4"/>
      <c r="E592" s="4"/>
      <c r="F592" s="188"/>
      <c r="G592" s="188"/>
      <c r="H592" s="4"/>
      <c r="I592" s="4"/>
      <c r="J592" s="4"/>
      <c r="K592" s="4"/>
      <c r="L592" s="4"/>
      <c r="M592" s="4"/>
      <c r="N592" s="4"/>
      <c r="O592" s="4"/>
      <c r="P592" s="4"/>
      <c r="Q592" s="4"/>
      <c r="R592" s="4"/>
      <c r="S592" s="4"/>
      <c r="T592" s="4"/>
      <c r="U592" s="4"/>
      <c r="V592" s="4"/>
      <c r="W592" s="4"/>
      <c r="X592" s="4"/>
      <c r="Y592" s="4"/>
      <c r="Z592" s="4"/>
    </row>
    <row r="593" ht="14.25" customHeight="1">
      <c r="A593" s="4"/>
      <c r="B593" s="4"/>
      <c r="C593" s="4"/>
      <c r="D593" s="4"/>
      <c r="E593" s="4"/>
      <c r="F593" s="188"/>
      <c r="G593" s="188"/>
      <c r="H593" s="4"/>
      <c r="I593" s="4"/>
      <c r="J593" s="4"/>
      <c r="K593" s="4"/>
      <c r="L593" s="4"/>
      <c r="M593" s="4"/>
      <c r="N593" s="4"/>
      <c r="O593" s="4"/>
      <c r="P593" s="4"/>
      <c r="Q593" s="4"/>
      <c r="R593" s="4"/>
      <c r="S593" s="4"/>
      <c r="T593" s="4"/>
      <c r="U593" s="4"/>
      <c r="V593" s="4"/>
      <c r="W593" s="4"/>
      <c r="X593" s="4"/>
      <c r="Y593" s="4"/>
      <c r="Z593" s="4"/>
    </row>
    <row r="594" ht="14.25" customHeight="1">
      <c r="A594" s="4"/>
      <c r="B594" s="4"/>
      <c r="C594" s="4"/>
      <c r="D594" s="4"/>
      <c r="E594" s="4"/>
      <c r="F594" s="188"/>
      <c r="G594" s="188"/>
      <c r="H594" s="4"/>
      <c r="I594" s="4"/>
      <c r="J594" s="4"/>
      <c r="K594" s="4"/>
      <c r="L594" s="4"/>
      <c r="M594" s="4"/>
      <c r="N594" s="4"/>
      <c r="O594" s="4"/>
      <c r="P594" s="4"/>
      <c r="Q594" s="4"/>
      <c r="R594" s="4"/>
      <c r="S594" s="4"/>
      <c r="T594" s="4"/>
      <c r="U594" s="4"/>
      <c r="V594" s="4"/>
      <c r="W594" s="4"/>
      <c r="X594" s="4"/>
      <c r="Y594" s="4"/>
      <c r="Z594" s="4"/>
    </row>
    <row r="595" ht="14.25" customHeight="1">
      <c r="A595" s="4"/>
      <c r="B595" s="4"/>
      <c r="C595" s="4"/>
      <c r="D595" s="4"/>
      <c r="E595" s="4"/>
      <c r="F595" s="188"/>
      <c r="G595" s="188"/>
      <c r="H595" s="4"/>
      <c r="I595" s="4"/>
      <c r="J595" s="4"/>
      <c r="K595" s="4"/>
      <c r="L595" s="4"/>
      <c r="M595" s="4"/>
      <c r="N595" s="4"/>
      <c r="O595" s="4"/>
      <c r="P595" s="4"/>
      <c r="Q595" s="4"/>
      <c r="R595" s="4"/>
      <c r="S595" s="4"/>
      <c r="T595" s="4"/>
      <c r="U595" s="4"/>
      <c r="V595" s="4"/>
      <c r="W595" s="4"/>
      <c r="X595" s="4"/>
      <c r="Y595" s="4"/>
      <c r="Z595" s="4"/>
    </row>
    <row r="596" ht="14.25" customHeight="1">
      <c r="A596" s="4"/>
      <c r="B596" s="4"/>
      <c r="C596" s="4"/>
      <c r="D596" s="4"/>
      <c r="E596" s="4"/>
      <c r="F596" s="188"/>
      <c r="G596" s="188"/>
      <c r="H596" s="4"/>
      <c r="I596" s="4"/>
      <c r="J596" s="4"/>
      <c r="K596" s="4"/>
      <c r="L596" s="4"/>
      <c r="M596" s="4"/>
      <c r="N596" s="4"/>
      <c r="O596" s="4"/>
      <c r="P596" s="4"/>
      <c r="Q596" s="4"/>
      <c r="R596" s="4"/>
      <c r="S596" s="4"/>
      <c r="T596" s="4"/>
      <c r="U596" s="4"/>
      <c r="V596" s="4"/>
      <c r="W596" s="4"/>
      <c r="X596" s="4"/>
      <c r="Y596" s="4"/>
      <c r="Z596" s="4"/>
    </row>
    <row r="597" ht="14.25" customHeight="1">
      <c r="A597" s="4"/>
      <c r="B597" s="4"/>
      <c r="C597" s="4"/>
      <c r="D597" s="4"/>
      <c r="E597" s="4"/>
      <c r="F597" s="188"/>
      <c r="G597" s="188"/>
      <c r="H597" s="4"/>
      <c r="I597" s="4"/>
      <c r="J597" s="4"/>
      <c r="K597" s="4"/>
      <c r="L597" s="4"/>
      <c r="M597" s="4"/>
      <c r="N597" s="4"/>
      <c r="O597" s="4"/>
      <c r="P597" s="4"/>
      <c r="Q597" s="4"/>
      <c r="R597" s="4"/>
      <c r="S597" s="4"/>
      <c r="T597" s="4"/>
      <c r="U597" s="4"/>
      <c r="V597" s="4"/>
      <c r="W597" s="4"/>
      <c r="X597" s="4"/>
      <c r="Y597" s="4"/>
      <c r="Z597" s="4"/>
    </row>
    <row r="598" ht="14.25" customHeight="1">
      <c r="A598" s="4"/>
      <c r="B598" s="4"/>
      <c r="C598" s="4"/>
      <c r="D598" s="4"/>
      <c r="E598" s="4"/>
      <c r="F598" s="188"/>
      <c r="G598" s="188"/>
      <c r="H598" s="4"/>
      <c r="I598" s="4"/>
      <c r="J598" s="4"/>
      <c r="K598" s="4"/>
      <c r="L598" s="4"/>
      <c r="M598" s="4"/>
      <c r="N598" s="4"/>
      <c r="O598" s="4"/>
      <c r="P598" s="4"/>
      <c r="Q598" s="4"/>
      <c r="R598" s="4"/>
      <c r="S598" s="4"/>
      <c r="T598" s="4"/>
      <c r="U598" s="4"/>
      <c r="V598" s="4"/>
      <c r="W598" s="4"/>
      <c r="X598" s="4"/>
      <c r="Y598" s="4"/>
      <c r="Z598" s="4"/>
    </row>
    <row r="599" ht="14.25" customHeight="1">
      <c r="A599" s="4"/>
      <c r="B599" s="4"/>
      <c r="C599" s="4"/>
      <c r="D599" s="4"/>
      <c r="E599" s="4"/>
      <c r="F599" s="188"/>
      <c r="G599" s="188"/>
      <c r="H599" s="4"/>
      <c r="I599" s="4"/>
      <c r="J599" s="4"/>
      <c r="K599" s="4"/>
      <c r="L599" s="4"/>
      <c r="M599" s="4"/>
      <c r="N599" s="4"/>
      <c r="O599" s="4"/>
      <c r="P599" s="4"/>
      <c r="Q599" s="4"/>
      <c r="R599" s="4"/>
      <c r="S599" s="4"/>
      <c r="T599" s="4"/>
      <c r="U599" s="4"/>
      <c r="V599" s="4"/>
      <c r="W599" s="4"/>
      <c r="X599" s="4"/>
      <c r="Y599" s="4"/>
      <c r="Z599" s="4"/>
    </row>
    <row r="600" ht="14.25" customHeight="1">
      <c r="A600" s="4"/>
      <c r="B600" s="4"/>
      <c r="C600" s="4"/>
      <c r="D600" s="4"/>
      <c r="E600" s="4"/>
      <c r="F600" s="188"/>
      <c r="G600" s="188"/>
      <c r="H600" s="4"/>
      <c r="I600" s="4"/>
      <c r="J600" s="4"/>
      <c r="K600" s="4"/>
      <c r="L600" s="4"/>
      <c r="M600" s="4"/>
      <c r="N600" s="4"/>
      <c r="O600" s="4"/>
      <c r="P600" s="4"/>
      <c r="Q600" s="4"/>
      <c r="R600" s="4"/>
      <c r="S600" s="4"/>
      <c r="T600" s="4"/>
      <c r="U600" s="4"/>
      <c r="V600" s="4"/>
      <c r="W600" s="4"/>
      <c r="X600" s="4"/>
      <c r="Y600" s="4"/>
      <c r="Z600" s="4"/>
    </row>
    <row r="601" ht="14.25" customHeight="1">
      <c r="A601" s="4"/>
      <c r="B601" s="4"/>
      <c r="C601" s="4"/>
      <c r="D601" s="4"/>
      <c r="E601" s="4"/>
      <c r="F601" s="188"/>
      <c r="G601" s="188"/>
      <c r="H601" s="4"/>
      <c r="I601" s="4"/>
      <c r="J601" s="4"/>
      <c r="K601" s="4"/>
      <c r="L601" s="4"/>
      <c r="M601" s="4"/>
      <c r="N601" s="4"/>
      <c r="O601" s="4"/>
      <c r="P601" s="4"/>
      <c r="Q601" s="4"/>
      <c r="R601" s="4"/>
      <c r="S601" s="4"/>
      <c r="T601" s="4"/>
      <c r="U601" s="4"/>
      <c r="V601" s="4"/>
      <c r="W601" s="4"/>
      <c r="X601" s="4"/>
      <c r="Y601" s="4"/>
      <c r="Z601" s="4"/>
    </row>
    <row r="602" ht="14.25" customHeight="1">
      <c r="A602" s="4"/>
      <c r="B602" s="4"/>
      <c r="C602" s="4"/>
      <c r="D602" s="4"/>
      <c r="E602" s="4"/>
      <c r="F602" s="188"/>
      <c r="G602" s="188"/>
      <c r="H602" s="4"/>
      <c r="I602" s="4"/>
      <c r="J602" s="4"/>
      <c r="K602" s="4"/>
      <c r="L602" s="4"/>
      <c r="M602" s="4"/>
      <c r="N602" s="4"/>
      <c r="O602" s="4"/>
      <c r="P602" s="4"/>
      <c r="Q602" s="4"/>
      <c r="R602" s="4"/>
      <c r="S602" s="4"/>
      <c r="T602" s="4"/>
      <c r="U602" s="4"/>
      <c r="V602" s="4"/>
      <c r="W602" s="4"/>
      <c r="X602" s="4"/>
      <c r="Y602" s="4"/>
      <c r="Z602" s="4"/>
    </row>
    <row r="603" ht="14.25" customHeight="1">
      <c r="A603" s="4"/>
      <c r="B603" s="4"/>
      <c r="C603" s="4"/>
      <c r="D603" s="4"/>
      <c r="E603" s="4"/>
      <c r="F603" s="188"/>
      <c r="G603" s="188"/>
      <c r="H603" s="4"/>
      <c r="I603" s="4"/>
      <c r="J603" s="4"/>
      <c r="K603" s="4"/>
      <c r="L603" s="4"/>
      <c r="M603" s="4"/>
      <c r="N603" s="4"/>
      <c r="O603" s="4"/>
      <c r="P603" s="4"/>
      <c r="Q603" s="4"/>
      <c r="R603" s="4"/>
      <c r="S603" s="4"/>
      <c r="T603" s="4"/>
      <c r="U603" s="4"/>
      <c r="V603" s="4"/>
      <c r="W603" s="4"/>
      <c r="X603" s="4"/>
      <c r="Y603" s="4"/>
      <c r="Z603" s="4"/>
    </row>
    <row r="604" ht="14.25" customHeight="1">
      <c r="A604" s="4"/>
      <c r="B604" s="4"/>
      <c r="C604" s="4"/>
      <c r="D604" s="4"/>
      <c r="E604" s="4"/>
      <c r="F604" s="188"/>
      <c r="G604" s="188"/>
      <c r="H604" s="4"/>
      <c r="I604" s="4"/>
      <c r="J604" s="4"/>
      <c r="K604" s="4"/>
      <c r="L604" s="4"/>
      <c r="M604" s="4"/>
      <c r="N604" s="4"/>
      <c r="O604" s="4"/>
      <c r="P604" s="4"/>
      <c r="Q604" s="4"/>
      <c r="R604" s="4"/>
      <c r="S604" s="4"/>
      <c r="T604" s="4"/>
      <c r="U604" s="4"/>
      <c r="V604" s="4"/>
      <c r="W604" s="4"/>
      <c r="X604" s="4"/>
      <c r="Y604" s="4"/>
      <c r="Z604" s="4"/>
    </row>
    <row r="605" ht="14.25" customHeight="1">
      <c r="A605" s="4"/>
      <c r="B605" s="4"/>
      <c r="C605" s="4"/>
      <c r="D605" s="4"/>
      <c r="E605" s="4"/>
      <c r="F605" s="188"/>
      <c r="G605" s="188"/>
      <c r="H605" s="4"/>
      <c r="I605" s="4"/>
      <c r="J605" s="4"/>
      <c r="K605" s="4"/>
      <c r="L605" s="4"/>
      <c r="M605" s="4"/>
      <c r="N605" s="4"/>
      <c r="O605" s="4"/>
      <c r="P605" s="4"/>
      <c r="Q605" s="4"/>
      <c r="R605" s="4"/>
      <c r="S605" s="4"/>
      <c r="T605" s="4"/>
      <c r="U605" s="4"/>
      <c r="V605" s="4"/>
      <c r="W605" s="4"/>
      <c r="X605" s="4"/>
      <c r="Y605" s="4"/>
      <c r="Z605" s="4"/>
    </row>
    <row r="606" ht="14.25" customHeight="1">
      <c r="A606" s="4"/>
      <c r="B606" s="4"/>
      <c r="C606" s="4"/>
      <c r="D606" s="4"/>
      <c r="E606" s="4"/>
      <c r="F606" s="188"/>
      <c r="G606" s="188"/>
      <c r="H606" s="4"/>
      <c r="I606" s="4"/>
      <c r="J606" s="4"/>
      <c r="K606" s="4"/>
      <c r="L606" s="4"/>
      <c r="M606" s="4"/>
      <c r="N606" s="4"/>
      <c r="O606" s="4"/>
      <c r="P606" s="4"/>
      <c r="Q606" s="4"/>
      <c r="R606" s="4"/>
      <c r="S606" s="4"/>
      <c r="T606" s="4"/>
      <c r="U606" s="4"/>
      <c r="V606" s="4"/>
      <c r="W606" s="4"/>
      <c r="X606" s="4"/>
      <c r="Y606" s="4"/>
      <c r="Z606" s="4"/>
    </row>
    <row r="607" ht="14.25" customHeight="1">
      <c r="A607" s="4"/>
      <c r="B607" s="4"/>
      <c r="C607" s="4"/>
      <c r="D607" s="4"/>
      <c r="E607" s="4"/>
      <c r="F607" s="188"/>
      <c r="G607" s="188"/>
      <c r="H607" s="4"/>
      <c r="I607" s="4"/>
      <c r="J607" s="4"/>
      <c r="K607" s="4"/>
      <c r="L607" s="4"/>
      <c r="M607" s="4"/>
      <c r="N607" s="4"/>
      <c r="O607" s="4"/>
      <c r="P607" s="4"/>
      <c r="Q607" s="4"/>
      <c r="R607" s="4"/>
      <c r="S607" s="4"/>
      <c r="T607" s="4"/>
      <c r="U607" s="4"/>
      <c r="V607" s="4"/>
      <c r="W607" s="4"/>
      <c r="X607" s="4"/>
      <c r="Y607" s="4"/>
      <c r="Z607" s="4"/>
    </row>
    <row r="608" ht="14.25" customHeight="1">
      <c r="A608" s="4"/>
      <c r="B608" s="4"/>
      <c r="C608" s="4"/>
      <c r="D608" s="4"/>
      <c r="E608" s="4"/>
      <c r="F608" s="188"/>
      <c r="G608" s="188"/>
      <c r="H608" s="4"/>
      <c r="I608" s="4"/>
      <c r="J608" s="4"/>
      <c r="K608" s="4"/>
      <c r="L608" s="4"/>
      <c r="M608" s="4"/>
      <c r="N608" s="4"/>
      <c r="O608" s="4"/>
      <c r="P608" s="4"/>
      <c r="Q608" s="4"/>
      <c r="R608" s="4"/>
      <c r="S608" s="4"/>
      <c r="T608" s="4"/>
      <c r="U608" s="4"/>
      <c r="V608" s="4"/>
      <c r="W608" s="4"/>
      <c r="X608" s="4"/>
      <c r="Y608" s="4"/>
      <c r="Z608" s="4"/>
    </row>
    <row r="609" ht="14.25" customHeight="1">
      <c r="A609" s="4"/>
      <c r="B609" s="4"/>
      <c r="C609" s="4"/>
      <c r="D609" s="4"/>
      <c r="E609" s="4"/>
      <c r="F609" s="188"/>
      <c r="G609" s="188"/>
      <c r="H609" s="4"/>
      <c r="I609" s="4"/>
      <c r="J609" s="4"/>
      <c r="K609" s="4"/>
      <c r="L609" s="4"/>
      <c r="M609" s="4"/>
      <c r="N609" s="4"/>
      <c r="O609" s="4"/>
      <c r="P609" s="4"/>
      <c r="Q609" s="4"/>
      <c r="R609" s="4"/>
      <c r="S609" s="4"/>
      <c r="T609" s="4"/>
      <c r="U609" s="4"/>
      <c r="V609" s="4"/>
      <c r="W609" s="4"/>
      <c r="X609" s="4"/>
      <c r="Y609" s="4"/>
      <c r="Z609" s="4"/>
    </row>
    <row r="610" ht="14.25" customHeight="1">
      <c r="A610" s="4"/>
      <c r="B610" s="4"/>
      <c r="C610" s="4"/>
      <c r="D610" s="4"/>
      <c r="E610" s="4"/>
      <c r="F610" s="188"/>
      <c r="G610" s="188"/>
      <c r="H610" s="4"/>
      <c r="I610" s="4"/>
      <c r="J610" s="4"/>
      <c r="K610" s="4"/>
      <c r="L610" s="4"/>
      <c r="M610" s="4"/>
      <c r="N610" s="4"/>
      <c r="O610" s="4"/>
      <c r="P610" s="4"/>
      <c r="Q610" s="4"/>
      <c r="R610" s="4"/>
      <c r="S610" s="4"/>
      <c r="T610" s="4"/>
      <c r="U610" s="4"/>
      <c r="V610" s="4"/>
      <c r="W610" s="4"/>
      <c r="X610" s="4"/>
      <c r="Y610" s="4"/>
      <c r="Z610" s="4"/>
    </row>
    <row r="611" ht="14.25" customHeight="1">
      <c r="A611" s="4"/>
      <c r="B611" s="4"/>
      <c r="C611" s="4"/>
      <c r="D611" s="4"/>
      <c r="E611" s="4"/>
      <c r="F611" s="188"/>
      <c r="G611" s="188"/>
      <c r="H611" s="4"/>
      <c r="I611" s="4"/>
      <c r="J611" s="4"/>
      <c r="K611" s="4"/>
      <c r="L611" s="4"/>
      <c r="M611" s="4"/>
      <c r="N611" s="4"/>
      <c r="O611" s="4"/>
      <c r="P611" s="4"/>
      <c r="Q611" s="4"/>
      <c r="R611" s="4"/>
      <c r="S611" s="4"/>
      <c r="T611" s="4"/>
      <c r="U611" s="4"/>
      <c r="V611" s="4"/>
      <c r="W611" s="4"/>
      <c r="X611" s="4"/>
      <c r="Y611" s="4"/>
      <c r="Z611" s="4"/>
    </row>
    <row r="612" ht="14.25" customHeight="1">
      <c r="A612" s="4"/>
      <c r="B612" s="4"/>
      <c r="C612" s="4"/>
      <c r="D612" s="4"/>
      <c r="E612" s="4"/>
      <c r="F612" s="188"/>
      <c r="G612" s="188"/>
      <c r="H612" s="4"/>
      <c r="I612" s="4"/>
      <c r="J612" s="4"/>
      <c r="K612" s="4"/>
      <c r="L612" s="4"/>
      <c r="M612" s="4"/>
      <c r="N612" s="4"/>
      <c r="O612" s="4"/>
      <c r="P612" s="4"/>
      <c r="Q612" s="4"/>
      <c r="R612" s="4"/>
      <c r="S612" s="4"/>
      <c r="T612" s="4"/>
      <c r="U612" s="4"/>
      <c r="V612" s="4"/>
      <c r="W612" s="4"/>
      <c r="X612" s="4"/>
      <c r="Y612" s="4"/>
      <c r="Z612" s="4"/>
    </row>
    <row r="613" ht="14.25" customHeight="1">
      <c r="A613" s="4"/>
      <c r="B613" s="4"/>
      <c r="C613" s="4"/>
      <c r="D613" s="4"/>
      <c r="E613" s="4"/>
      <c r="F613" s="188"/>
      <c r="G613" s="188"/>
      <c r="H613" s="4"/>
      <c r="I613" s="4"/>
      <c r="J613" s="4"/>
      <c r="K613" s="4"/>
      <c r="L613" s="4"/>
      <c r="M613" s="4"/>
      <c r="N613" s="4"/>
      <c r="O613" s="4"/>
      <c r="P613" s="4"/>
      <c r="Q613" s="4"/>
      <c r="R613" s="4"/>
      <c r="S613" s="4"/>
      <c r="T613" s="4"/>
      <c r="U613" s="4"/>
      <c r="V613" s="4"/>
      <c r="W613" s="4"/>
      <c r="X613" s="4"/>
      <c r="Y613" s="4"/>
      <c r="Z613" s="4"/>
    </row>
    <row r="614" ht="14.25" customHeight="1">
      <c r="A614" s="4"/>
      <c r="B614" s="4"/>
      <c r="C614" s="4"/>
      <c r="D614" s="4"/>
      <c r="E614" s="4"/>
      <c r="F614" s="188"/>
      <c r="G614" s="188"/>
      <c r="H614" s="4"/>
      <c r="I614" s="4"/>
      <c r="J614" s="4"/>
      <c r="K614" s="4"/>
      <c r="L614" s="4"/>
      <c r="M614" s="4"/>
      <c r="N614" s="4"/>
      <c r="O614" s="4"/>
      <c r="P614" s="4"/>
      <c r="Q614" s="4"/>
      <c r="R614" s="4"/>
      <c r="S614" s="4"/>
      <c r="T614" s="4"/>
      <c r="U614" s="4"/>
      <c r="V614" s="4"/>
      <c r="W614" s="4"/>
      <c r="X614" s="4"/>
      <c r="Y614" s="4"/>
      <c r="Z614" s="4"/>
    </row>
    <row r="615" ht="14.25" customHeight="1">
      <c r="A615" s="4"/>
      <c r="B615" s="4"/>
      <c r="C615" s="4"/>
      <c r="D615" s="4"/>
      <c r="E615" s="4"/>
      <c r="F615" s="188"/>
      <c r="G615" s="188"/>
      <c r="H615" s="4"/>
      <c r="I615" s="4"/>
      <c r="J615" s="4"/>
      <c r="K615" s="4"/>
      <c r="L615" s="4"/>
      <c r="M615" s="4"/>
      <c r="N615" s="4"/>
      <c r="O615" s="4"/>
      <c r="P615" s="4"/>
      <c r="Q615" s="4"/>
      <c r="R615" s="4"/>
      <c r="S615" s="4"/>
      <c r="T615" s="4"/>
      <c r="U615" s="4"/>
      <c r="V615" s="4"/>
      <c r="W615" s="4"/>
      <c r="X615" s="4"/>
      <c r="Y615" s="4"/>
      <c r="Z615" s="4"/>
    </row>
    <row r="616" ht="14.25" customHeight="1">
      <c r="A616" s="4"/>
      <c r="B616" s="4"/>
      <c r="C616" s="4"/>
      <c r="D616" s="4"/>
      <c r="E616" s="4"/>
      <c r="F616" s="188"/>
      <c r="G616" s="188"/>
      <c r="H616" s="4"/>
      <c r="I616" s="4"/>
      <c r="J616" s="4"/>
      <c r="K616" s="4"/>
      <c r="L616" s="4"/>
      <c r="M616" s="4"/>
      <c r="N616" s="4"/>
      <c r="O616" s="4"/>
      <c r="P616" s="4"/>
      <c r="Q616" s="4"/>
      <c r="R616" s="4"/>
      <c r="S616" s="4"/>
      <c r="T616" s="4"/>
      <c r="U616" s="4"/>
      <c r="V616" s="4"/>
      <c r="W616" s="4"/>
      <c r="X616" s="4"/>
      <c r="Y616" s="4"/>
      <c r="Z616" s="4"/>
    </row>
    <row r="617" ht="14.25" customHeight="1">
      <c r="A617" s="4"/>
      <c r="B617" s="4"/>
      <c r="C617" s="4"/>
      <c r="D617" s="4"/>
      <c r="E617" s="4"/>
      <c r="F617" s="188"/>
      <c r="G617" s="188"/>
      <c r="H617" s="4"/>
      <c r="I617" s="4"/>
      <c r="J617" s="4"/>
      <c r="K617" s="4"/>
      <c r="L617" s="4"/>
      <c r="M617" s="4"/>
      <c r="N617" s="4"/>
      <c r="O617" s="4"/>
      <c r="P617" s="4"/>
      <c r="Q617" s="4"/>
      <c r="R617" s="4"/>
      <c r="S617" s="4"/>
      <c r="T617" s="4"/>
      <c r="U617" s="4"/>
      <c r="V617" s="4"/>
      <c r="W617" s="4"/>
      <c r="X617" s="4"/>
      <c r="Y617" s="4"/>
      <c r="Z617" s="4"/>
    </row>
    <row r="618" ht="14.25" customHeight="1">
      <c r="A618" s="4"/>
      <c r="B618" s="4"/>
      <c r="C618" s="4"/>
      <c r="D618" s="4"/>
      <c r="E618" s="4"/>
      <c r="F618" s="188"/>
      <c r="G618" s="188"/>
      <c r="H618" s="4"/>
      <c r="I618" s="4"/>
      <c r="J618" s="4"/>
      <c r="K618" s="4"/>
      <c r="L618" s="4"/>
      <c r="M618" s="4"/>
      <c r="N618" s="4"/>
      <c r="O618" s="4"/>
      <c r="P618" s="4"/>
      <c r="Q618" s="4"/>
      <c r="R618" s="4"/>
      <c r="S618" s="4"/>
      <c r="T618" s="4"/>
      <c r="U618" s="4"/>
      <c r="V618" s="4"/>
      <c r="W618" s="4"/>
      <c r="X618" s="4"/>
      <c r="Y618" s="4"/>
      <c r="Z618" s="4"/>
    </row>
    <row r="619" ht="14.25" customHeight="1">
      <c r="A619" s="4"/>
      <c r="B619" s="4"/>
      <c r="C619" s="4"/>
      <c r="D619" s="4"/>
      <c r="E619" s="4"/>
      <c r="F619" s="188"/>
      <c r="G619" s="188"/>
      <c r="H619" s="4"/>
      <c r="I619" s="4"/>
      <c r="J619" s="4"/>
      <c r="K619" s="4"/>
      <c r="L619" s="4"/>
      <c r="M619" s="4"/>
      <c r="N619" s="4"/>
      <c r="O619" s="4"/>
      <c r="P619" s="4"/>
      <c r="Q619" s="4"/>
      <c r="R619" s="4"/>
      <c r="S619" s="4"/>
      <c r="T619" s="4"/>
      <c r="U619" s="4"/>
      <c r="V619" s="4"/>
      <c r="W619" s="4"/>
      <c r="X619" s="4"/>
      <c r="Y619" s="4"/>
      <c r="Z619" s="4"/>
    </row>
    <row r="620" ht="14.25" customHeight="1">
      <c r="A620" s="4"/>
      <c r="B620" s="4"/>
      <c r="C620" s="4"/>
      <c r="D620" s="4"/>
      <c r="E620" s="4"/>
      <c r="F620" s="188"/>
      <c r="G620" s="188"/>
      <c r="H620" s="4"/>
      <c r="I620" s="4"/>
      <c r="J620" s="4"/>
      <c r="K620" s="4"/>
      <c r="L620" s="4"/>
      <c r="M620" s="4"/>
      <c r="N620" s="4"/>
      <c r="O620" s="4"/>
      <c r="P620" s="4"/>
      <c r="Q620" s="4"/>
      <c r="R620" s="4"/>
      <c r="S620" s="4"/>
      <c r="T620" s="4"/>
      <c r="U620" s="4"/>
      <c r="V620" s="4"/>
      <c r="W620" s="4"/>
      <c r="X620" s="4"/>
      <c r="Y620" s="4"/>
      <c r="Z620" s="4"/>
    </row>
    <row r="621" ht="14.25" customHeight="1">
      <c r="A621" s="4"/>
      <c r="B621" s="4"/>
      <c r="C621" s="4"/>
      <c r="D621" s="4"/>
      <c r="E621" s="4"/>
      <c r="F621" s="188"/>
      <c r="G621" s="188"/>
      <c r="H621" s="4"/>
      <c r="I621" s="4"/>
      <c r="J621" s="4"/>
      <c r="K621" s="4"/>
      <c r="L621" s="4"/>
      <c r="M621" s="4"/>
      <c r="N621" s="4"/>
      <c r="O621" s="4"/>
      <c r="P621" s="4"/>
      <c r="Q621" s="4"/>
      <c r="R621" s="4"/>
      <c r="S621" s="4"/>
      <c r="T621" s="4"/>
      <c r="U621" s="4"/>
      <c r="V621" s="4"/>
      <c r="W621" s="4"/>
      <c r="X621" s="4"/>
      <c r="Y621" s="4"/>
      <c r="Z621" s="4"/>
    </row>
    <row r="622" ht="14.25" customHeight="1">
      <c r="A622" s="4"/>
      <c r="B622" s="4"/>
      <c r="C622" s="4"/>
      <c r="D622" s="4"/>
      <c r="E622" s="4"/>
      <c r="F622" s="188"/>
      <c r="G622" s="188"/>
      <c r="H622" s="4"/>
      <c r="I622" s="4"/>
      <c r="J622" s="4"/>
      <c r="K622" s="4"/>
      <c r="L622" s="4"/>
      <c r="M622" s="4"/>
      <c r="N622" s="4"/>
      <c r="O622" s="4"/>
      <c r="P622" s="4"/>
      <c r="Q622" s="4"/>
      <c r="R622" s="4"/>
      <c r="S622" s="4"/>
      <c r="T622" s="4"/>
      <c r="U622" s="4"/>
      <c r="V622" s="4"/>
      <c r="W622" s="4"/>
      <c r="X622" s="4"/>
      <c r="Y622" s="4"/>
      <c r="Z622" s="4"/>
    </row>
    <row r="623" ht="14.25" customHeight="1">
      <c r="A623" s="4"/>
      <c r="B623" s="4"/>
      <c r="C623" s="4"/>
      <c r="D623" s="4"/>
      <c r="E623" s="4"/>
      <c r="F623" s="188"/>
      <c r="G623" s="188"/>
      <c r="H623" s="4"/>
      <c r="I623" s="4"/>
      <c r="J623" s="4"/>
      <c r="K623" s="4"/>
      <c r="L623" s="4"/>
      <c r="M623" s="4"/>
      <c r="N623" s="4"/>
      <c r="O623" s="4"/>
      <c r="P623" s="4"/>
      <c r="Q623" s="4"/>
      <c r="R623" s="4"/>
      <c r="S623" s="4"/>
      <c r="T623" s="4"/>
      <c r="U623" s="4"/>
      <c r="V623" s="4"/>
      <c r="W623" s="4"/>
      <c r="X623" s="4"/>
      <c r="Y623" s="4"/>
      <c r="Z623" s="4"/>
    </row>
    <row r="624" ht="14.25" customHeight="1">
      <c r="A624" s="4"/>
      <c r="B624" s="4"/>
      <c r="C624" s="4"/>
      <c r="D624" s="4"/>
      <c r="E624" s="4"/>
      <c r="F624" s="188"/>
      <c r="G624" s="188"/>
      <c r="H624" s="4"/>
      <c r="I624" s="4"/>
      <c r="J624" s="4"/>
      <c r="K624" s="4"/>
      <c r="L624" s="4"/>
      <c r="M624" s="4"/>
      <c r="N624" s="4"/>
      <c r="O624" s="4"/>
      <c r="P624" s="4"/>
      <c r="Q624" s="4"/>
      <c r="R624" s="4"/>
      <c r="S624" s="4"/>
      <c r="T624" s="4"/>
      <c r="U624" s="4"/>
      <c r="V624" s="4"/>
      <c r="W624" s="4"/>
      <c r="X624" s="4"/>
      <c r="Y624" s="4"/>
      <c r="Z624" s="4"/>
    </row>
    <row r="625" ht="14.25" customHeight="1">
      <c r="A625" s="4"/>
      <c r="B625" s="4"/>
      <c r="C625" s="4"/>
      <c r="D625" s="4"/>
      <c r="E625" s="4"/>
      <c r="F625" s="188"/>
      <c r="G625" s="188"/>
      <c r="H625" s="4"/>
      <c r="I625" s="4"/>
      <c r="J625" s="4"/>
      <c r="K625" s="4"/>
      <c r="L625" s="4"/>
      <c r="M625" s="4"/>
      <c r="N625" s="4"/>
      <c r="O625" s="4"/>
      <c r="P625" s="4"/>
      <c r="Q625" s="4"/>
      <c r="R625" s="4"/>
      <c r="S625" s="4"/>
      <c r="T625" s="4"/>
      <c r="U625" s="4"/>
      <c r="V625" s="4"/>
      <c r="W625" s="4"/>
      <c r="X625" s="4"/>
      <c r="Y625" s="4"/>
      <c r="Z625" s="4"/>
    </row>
    <row r="626" ht="14.25" customHeight="1">
      <c r="A626" s="4"/>
      <c r="B626" s="4"/>
      <c r="C626" s="4"/>
      <c r="D626" s="4"/>
      <c r="E626" s="4"/>
      <c r="F626" s="188"/>
      <c r="G626" s="188"/>
      <c r="H626" s="4"/>
      <c r="I626" s="4"/>
      <c r="J626" s="4"/>
      <c r="K626" s="4"/>
      <c r="L626" s="4"/>
      <c r="M626" s="4"/>
      <c r="N626" s="4"/>
      <c r="O626" s="4"/>
      <c r="P626" s="4"/>
      <c r="Q626" s="4"/>
      <c r="R626" s="4"/>
      <c r="S626" s="4"/>
      <c r="T626" s="4"/>
      <c r="U626" s="4"/>
      <c r="V626" s="4"/>
      <c r="W626" s="4"/>
      <c r="X626" s="4"/>
      <c r="Y626" s="4"/>
      <c r="Z626" s="4"/>
    </row>
    <row r="627" ht="14.25" customHeight="1">
      <c r="A627" s="4"/>
      <c r="B627" s="4"/>
      <c r="C627" s="4"/>
      <c r="D627" s="4"/>
      <c r="E627" s="4"/>
      <c r="F627" s="188"/>
      <c r="G627" s="188"/>
      <c r="H627" s="4"/>
      <c r="I627" s="4"/>
      <c r="J627" s="4"/>
      <c r="K627" s="4"/>
      <c r="L627" s="4"/>
      <c r="M627" s="4"/>
      <c r="N627" s="4"/>
      <c r="O627" s="4"/>
      <c r="P627" s="4"/>
      <c r="Q627" s="4"/>
      <c r="R627" s="4"/>
      <c r="S627" s="4"/>
      <c r="T627" s="4"/>
      <c r="U627" s="4"/>
      <c r="V627" s="4"/>
      <c r="W627" s="4"/>
      <c r="X627" s="4"/>
      <c r="Y627" s="4"/>
      <c r="Z627" s="4"/>
    </row>
    <row r="628" ht="14.25" customHeight="1">
      <c r="A628" s="4"/>
      <c r="B628" s="4"/>
      <c r="C628" s="4"/>
      <c r="D628" s="4"/>
      <c r="E628" s="4"/>
      <c r="F628" s="188"/>
      <c r="G628" s="188"/>
      <c r="H628" s="4"/>
      <c r="I628" s="4"/>
      <c r="J628" s="4"/>
      <c r="K628" s="4"/>
      <c r="L628" s="4"/>
      <c r="M628" s="4"/>
      <c r="N628" s="4"/>
      <c r="O628" s="4"/>
      <c r="P628" s="4"/>
      <c r="Q628" s="4"/>
      <c r="R628" s="4"/>
      <c r="S628" s="4"/>
      <c r="T628" s="4"/>
      <c r="U628" s="4"/>
      <c r="V628" s="4"/>
      <c r="W628" s="4"/>
      <c r="X628" s="4"/>
      <c r="Y628" s="4"/>
      <c r="Z628" s="4"/>
    </row>
    <row r="629" ht="14.25" customHeight="1">
      <c r="A629" s="4"/>
      <c r="B629" s="4"/>
      <c r="C629" s="4"/>
      <c r="D629" s="4"/>
      <c r="E629" s="4"/>
      <c r="F629" s="188"/>
      <c r="G629" s="188"/>
      <c r="H629" s="4"/>
      <c r="I629" s="4"/>
      <c r="J629" s="4"/>
      <c r="K629" s="4"/>
      <c r="L629" s="4"/>
      <c r="M629" s="4"/>
      <c r="N629" s="4"/>
      <c r="O629" s="4"/>
      <c r="P629" s="4"/>
      <c r="Q629" s="4"/>
      <c r="R629" s="4"/>
      <c r="S629" s="4"/>
      <c r="T629" s="4"/>
      <c r="U629" s="4"/>
      <c r="V629" s="4"/>
      <c r="W629" s="4"/>
      <c r="X629" s="4"/>
      <c r="Y629" s="4"/>
      <c r="Z629" s="4"/>
    </row>
    <row r="630" ht="14.25" customHeight="1">
      <c r="A630" s="4"/>
      <c r="B630" s="4"/>
      <c r="C630" s="4"/>
      <c r="D630" s="4"/>
      <c r="E630" s="4"/>
      <c r="F630" s="188"/>
      <c r="G630" s="188"/>
      <c r="H630" s="4"/>
      <c r="I630" s="4"/>
      <c r="J630" s="4"/>
      <c r="K630" s="4"/>
      <c r="L630" s="4"/>
      <c r="M630" s="4"/>
      <c r="N630" s="4"/>
      <c r="O630" s="4"/>
      <c r="P630" s="4"/>
      <c r="Q630" s="4"/>
      <c r="R630" s="4"/>
      <c r="S630" s="4"/>
      <c r="T630" s="4"/>
      <c r="U630" s="4"/>
      <c r="V630" s="4"/>
      <c r="W630" s="4"/>
      <c r="X630" s="4"/>
      <c r="Y630" s="4"/>
      <c r="Z630" s="4"/>
    </row>
    <row r="631" ht="14.25" customHeight="1">
      <c r="A631" s="4"/>
      <c r="B631" s="4"/>
      <c r="C631" s="4"/>
      <c r="D631" s="4"/>
      <c r="E631" s="4"/>
      <c r="F631" s="188"/>
      <c r="G631" s="188"/>
      <c r="H631" s="4"/>
      <c r="I631" s="4"/>
      <c r="J631" s="4"/>
      <c r="K631" s="4"/>
      <c r="L631" s="4"/>
      <c r="M631" s="4"/>
      <c r="N631" s="4"/>
      <c r="O631" s="4"/>
      <c r="P631" s="4"/>
      <c r="Q631" s="4"/>
      <c r="R631" s="4"/>
      <c r="S631" s="4"/>
      <c r="T631" s="4"/>
      <c r="U631" s="4"/>
      <c r="V631" s="4"/>
      <c r="W631" s="4"/>
      <c r="X631" s="4"/>
      <c r="Y631" s="4"/>
      <c r="Z631" s="4"/>
    </row>
    <row r="632" ht="14.25" customHeight="1">
      <c r="A632" s="4"/>
      <c r="B632" s="4"/>
      <c r="C632" s="4"/>
      <c r="D632" s="4"/>
      <c r="E632" s="4"/>
      <c r="F632" s="188"/>
      <c r="G632" s="188"/>
      <c r="H632" s="4"/>
      <c r="I632" s="4"/>
      <c r="J632" s="4"/>
      <c r="K632" s="4"/>
      <c r="L632" s="4"/>
      <c r="M632" s="4"/>
      <c r="N632" s="4"/>
      <c r="O632" s="4"/>
      <c r="P632" s="4"/>
      <c r="Q632" s="4"/>
      <c r="R632" s="4"/>
      <c r="S632" s="4"/>
      <c r="T632" s="4"/>
      <c r="U632" s="4"/>
      <c r="V632" s="4"/>
      <c r="W632" s="4"/>
      <c r="X632" s="4"/>
      <c r="Y632" s="4"/>
      <c r="Z632" s="4"/>
    </row>
    <row r="633" ht="14.25" customHeight="1">
      <c r="A633" s="4"/>
      <c r="B633" s="4"/>
      <c r="C633" s="4"/>
      <c r="D633" s="4"/>
      <c r="E633" s="4"/>
      <c r="F633" s="188"/>
      <c r="G633" s="188"/>
      <c r="H633" s="4"/>
      <c r="I633" s="4"/>
      <c r="J633" s="4"/>
      <c r="K633" s="4"/>
      <c r="L633" s="4"/>
      <c r="M633" s="4"/>
      <c r="N633" s="4"/>
      <c r="O633" s="4"/>
      <c r="P633" s="4"/>
      <c r="Q633" s="4"/>
      <c r="R633" s="4"/>
      <c r="S633" s="4"/>
      <c r="T633" s="4"/>
      <c r="U633" s="4"/>
      <c r="V633" s="4"/>
      <c r="W633" s="4"/>
      <c r="X633" s="4"/>
      <c r="Y633" s="4"/>
      <c r="Z633" s="4"/>
    </row>
    <row r="634" ht="14.25" customHeight="1">
      <c r="A634" s="4"/>
      <c r="B634" s="4"/>
      <c r="C634" s="4"/>
      <c r="D634" s="4"/>
      <c r="E634" s="4"/>
      <c r="F634" s="188"/>
      <c r="G634" s="188"/>
      <c r="H634" s="4"/>
      <c r="I634" s="4"/>
      <c r="J634" s="4"/>
      <c r="K634" s="4"/>
      <c r="L634" s="4"/>
      <c r="M634" s="4"/>
      <c r="N634" s="4"/>
      <c r="O634" s="4"/>
      <c r="P634" s="4"/>
      <c r="Q634" s="4"/>
      <c r="R634" s="4"/>
      <c r="S634" s="4"/>
      <c r="T634" s="4"/>
      <c r="U634" s="4"/>
      <c r="V634" s="4"/>
      <c r="W634" s="4"/>
      <c r="X634" s="4"/>
      <c r="Y634" s="4"/>
      <c r="Z634" s="4"/>
    </row>
    <row r="635" ht="14.25" customHeight="1">
      <c r="A635" s="4"/>
      <c r="B635" s="4"/>
      <c r="C635" s="4"/>
      <c r="D635" s="4"/>
      <c r="E635" s="4"/>
      <c r="F635" s="188"/>
      <c r="G635" s="188"/>
      <c r="H635" s="4"/>
      <c r="I635" s="4"/>
      <c r="J635" s="4"/>
      <c r="K635" s="4"/>
      <c r="L635" s="4"/>
      <c r="M635" s="4"/>
      <c r="N635" s="4"/>
      <c r="O635" s="4"/>
      <c r="P635" s="4"/>
      <c r="Q635" s="4"/>
      <c r="R635" s="4"/>
      <c r="S635" s="4"/>
      <c r="T635" s="4"/>
      <c r="U635" s="4"/>
      <c r="V635" s="4"/>
      <c r="W635" s="4"/>
      <c r="X635" s="4"/>
      <c r="Y635" s="4"/>
      <c r="Z635" s="4"/>
    </row>
    <row r="636" ht="14.25" customHeight="1">
      <c r="A636" s="4"/>
      <c r="B636" s="4"/>
      <c r="C636" s="4"/>
      <c r="D636" s="4"/>
      <c r="E636" s="4"/>
      <c r="F636" s="188"/>
      <c r="G636" s="188"/>
      <c r="H636" s="4"/>
      <c r="I636" s="4"/>
      <c r="J636" s="4"/>
      <c r="K636" s="4"/>
      <c r="L636" s="4"/>
      <c r="M636" s="4"/>
      <c r="N636" s="4"/>
      <c r="O636" s="4"/>
      <c r="P636" s="4"/>
      <c r="Q636" s="4"/>
      <c r="R636" s="4"/>
      <c r="S636" s="4"/>
      <c r="T636" s="4"/>
      <c r="U636" s="4"/>
      <c r="V636" s="4"/>
      <c r="W636" s="4"/>
      <c r="X636" s="4"/>
      <c r="Y636" s="4"/>
      <c r="Z636" s="4"/>
    </row>
    <row r="637" ht="14.25" customHeight="1">
      <c r="A637" s="4"/>
      <c r="B637" s="4"/>
      <c r="C637" s="4"/>
      <c r="D637" s="4"/>
      <c r="E637" s="4"/>
      <c r="F637" s="188"/>
      <c r="G637" s="188"/>
      <c r="H637" s="4"/>
      <c r="I637" s="4"/>
      <c r="J637" s="4"/>
      <c r="K637" s="4"/>
      <c r="L637" s="4"/>
      <c r="M637" s="4"/>
      <c r="N637" s="4"/>
      <c r="O637" s="4"/>
      <c r="P637" s="4"/>
      <c r="Q637" s="4"/>
      <c r="R637" s="4"/>
      <c r="S637" s="4"/>
      <c r="T637" s="4"/>
      <c r="U637" s="4"/>
      <c r="V637" s="4"/>
      <c r="W637" s="4"/>
      <c r="X637" s="4"/>
      <c r="Y637" s="4"/>
      <c r="Z637" s="4"/>
    </row>
    <row r="638" ht="14.25" customHeight="1">
      <c r="A638" s="4"/>
      <c r="B638" s="4"/>
      <c r="C638" s="4"/>
      <c r="D638" s="4"/>
      <c r="E638" s="4"/>
      <c r="F638" s="188"/>
      <c r="G638" s="188"/>
      <c r="H638" s="4"/>
      <c r="I638" s="4"/>
      <c r="J638" s="4"/>
      <c r="K638" s="4"/>
      <c r="L638" s="4"/>
      <c r="M638" s="4"/>
      <c r="N638" s="4"/>
      <c r="O638" s="4"/>
      <c r="P638" s="4"/>
      <c r="Q638" s="4"/>
      <c r="R638" s="4"/>
      <c r="S638" s="4"/>
      <c r="T638" s="4"/>
      <c r="U638" s="4"/>
      <c r="V638" s="4"/>
      <c r="W638" s="4"/>
      <c r="X638" s="4"/>
      <c r="Y638" s="4"/>
      <c r="Z638" s="4"/>
    </row>
    <row r="639" ht="14.25" customHeight="1">
      <c r="A639" s="4"/>
      <c r="B639" s="4"/>
      <c r="C639" s="4"/>
      <c r="D639" s="4"/>
      <c r="E639" s="4"/>
      <c r="F639" s="188"/>
      <c r="G639" s="188"/>
      <c r="H639" s="4"/>
      <c r="I639" s="4"/>
      <c r="J639" s="4"/>
      <c r="K639" s="4"/>
      <c r="L639" s="4"/>
      <c r="M639" s="4"/>
      <c r="N639" s="4"/>
      <c r="O639" s="4"/>
      <c r="P639" s="4"/>
      <c r="Q639" s="4"/>
      <c r="R639" s="4"/>
      <c r="S639" s="4"/>
      <c r="T639" s="4"/>
      <c r="U639" s="4"/>
      <c r="V639" s="4"/>
      <c r="W639" s="4"/>
      <c r="X639" s="4"/>
      <c r="Y639" s="4"/>
      <c r="Z639" s="4"/>
    </row>
    <row r="640" ht="14.25" customHeight="1">
      <c r="A640" s="4"/>
      <c r="B640" s="4"/>
      <c r="C640" s="4"/>
      <c r="D640" s="4"/>
      <c r="E640" s="4"/>
      <c r="F640" s="188"/>
      <c r="G640" s="188"/>
      <c r="H640" s="4"/>
      <c r="I640" s="4"/>
      <c r="J640" s="4"/>
      <c r="K640" s="4"/>
      <c r="L640" s="4"/>
      <c r="M640" s="4"/>
      <c r="N640" s="4"/>
      <c r="O640" s="4"/>
      <c r="P640" s="4"/>
      <c r="Q640" s="4"/>
      <c r="R640" s="4"/>
      <c r="S640" s="4"/>
      <c r="T640" s="4"/>
      <c r="U640" s="4"/>
      <c r="V640" s="4"/>
      <c r="W640" s="4"/>
      <c r="X640" s="4"/>
      <c r="Y640" s="4"/>
      <c r="Z640" s="4"/>
    </row>
    <row r="641" ht="14.25" customHeight="1">
      <c r="A641" s="4"/>
      <c r="B641" s="4"/>
      <c r="C641" s="4"/>
      <c r="D641" s="4"/>
      <c r="E641" s="4"/>
      <c r="F641" s="188"/>
      <c r="G641" s="188"/>
      <c r="H641" s="4"/>
      <c r="I641" s="4"/>
      <c r="J641" s="4"/>
      <c r="K641" s="4"/>
      <c r="L641" s="4"/>
      <c r="M641" s="4"/>
      <c r="N641" s="4"/>
      <c r="O641" s="4"/>
      <c r="P641" s="4"/>
      <c r="Q641" s="4"/>
      <c r="R641" s="4"/>
      <c r="S641" s="4"/>
      <c r="T641" s="4"/>
      <c r="U641" s="4"/>
      <c r="V641" s="4"/>
      <c r="W641" s="4"/>
      <c r="X641" s="4"/>
      <c r="Y641" s="4"/>
      <c r="Z641" s="4"/>
    </row>
    <row r="642" ht="14.25" customHeight="1">
      <c r="A642" s="4"/>
      <c r="B642" s="4"/>
      <c r="C642" s="4"/>
      <c r="D642" s="4"/>
      <c r="E642" s="4"/>
      <c r="F642" s="188"/>
      <c r="G642" s="188"/>
      <c r="H642" s="4"/>
      <c r="I642" s="4"/>
      <c r="J642" s="4"/>
      <c r="K642" s="4"/>
      <c r="L642" s="4"/>
      <c r="M642" s="4"/>
      <c r="N642" s="4"/>
      <c r="O642" s="4"/>
      <c r="P642" s="4"/>
      <c r="Q642" s="4"/>
      <c r="R642" s="4"/>
      <c r="S642" s="4"/>
      <c r="T642" s="4"/>
      <c r="U642" s="4"/>
      <c r="V642" s="4"/>
      <c r="W642" s="4"/>
      <c r="X642" s="4"/>
      <c r="Y642" s="4"/>
      <c r="Z642" s="4"/>
    </row>
    <row r="643" ht="14.25" customHeight="1">
      <c r="A643" s="4"/>
      <c r="B643" s="4"/>
      <c r="C643" s="4"/>
      <c r="D643" s="4"/>
      <c r="E643" s="4"/>
      <c r="F643" s="188"/>
      <c r="G643" s="188"/>
      <c r="H643" s="4"/>
      <c r="I643" s="4"/>
      <c r="J643" s="4"/>
      <c r="K643" s="4"/>
      <c r="L643" s="4"/>
      <c r="M643" s="4"/>
      <c r="N643" s="4"/>
      <c r="O643" s="4"/>
      <c r="P643" s="4"/>
      <c r="Q643" s="4"/>
      <c r="R643" s="4"/>
      <c r="S643" s="4"/>
      <c r="T643" s="4"/>
      <c r="U643" s="4"/>
      <c r="V643" s="4"/>
      <c r="W643" s="4"/>
      <c r="X643" s="4"/>
      <c r="Y643" s="4"/>
      <c r="Z643" s="4"/>
    </row>
    <row r="644" ht="14.25" customHeight="1">
      <c r="A644" s="4"/>
      <c r="B644" s="4"/>
      <c r="C644" s="4"/>
      <c r="D644" s="4"/>
      <c r="E644" s="4"/>
      <c r="F644" s="188"/>
      <c r="G644" s="188"/>
      <c r="H644" s="4"/>
      <c r="I644" s="4"/>
      <c r="J644" s="4"/>
      <c r="K644" s="4"/>
      <c r="L644" s="4"/>
      <c r="M644" s="4"/>
      <c r="N644" s="4"/>
      <c r="O644" s="4"/>
      <c r="P644" s="4"/>
      <c r="Q644" s="4"/>
      <c r="R644" s="4"/>
      <c r="S644" s="4"/>
      <c r="T644" s="4"/>
      <c r="U644" s="4"/>
      <c r="V644" s="4"/>
      <c r="W644" s="4"/>
      <c r="X644" s="4"/>
      <c r="Y644" s="4"/>
      <c r="Z644" s="4"/>
    </row>
    <row r="645" ht="14.25" customHeight="1">
      <c r="A645" s="4"/>
      <c r="B645" s="4"/>
      <c r="C645" s="4"/>
      <c r="D645" s="4"/>
      <c r="E645" s="4"/>
      <c r="F645" s="188"/>
      <c r="G645" s="188"/>
      <c r="H645" s="4"/>
      <c r="I645" s="4"/>
      <c r="J645" s="4"/>
      <c r="K645" s="4"/>
      <c r="L645" s="4"/>
      <c r="M645" s="4"/>
      <c r="N645" s="4"/>
      <c r="O645" s="4"/>
      <c r="P645" s="4"/>
      <c r="Q645" s="4"/>
      <c r="R645" s="4"/>
      <c r="S645" s="4"/>
      <c r="T645" s="4"/>
      <c r="U645" s="4"/>
      <c r="V645" s="4"/>
      <c r="W645" s="4"/>
      <c r="X645" s="4"/>
      <c r="Y645" s="4"/>
      <c r="Z645" s="4"/>
    </row>
    <row r="646" ht="14.25" customHeight="1">
      <c r="A646" s="4"/>
      <c r="B646" s="4"/>
      <c r="C646" s="4"/>
      <c r="D646" s="4"/>
      <c r="E646" s="4"/>
      <c r="F646" s="188"/>
      <c r="G646" s="188"/>
      <c r="H646" s="4"/>
      <c r="I646" s="4"/>
      <c r="J646" s="4"/>
      <c r="K646" s="4"/>
      <c r="L646" s="4"/>
      <c r="M646" s="4"/>
      <c r="N646" s="4"/>
      <c r="O646" s="4"/>
      <c r="P646" s="4"/>
      <c r="Q646" s="4"/>
      <c r="R646" s="4"/>
      <c r="S646" s="4"/>
      <c r="T646" s="4"/>
      <c r="U646" s="4"/>
      <c r="V646" s="4"/>
      <c r="W646" s="4"/>
      <c r="X646" s="4"/>
      <c r="Y646" s="4"/>
      <c r="Z646" s="4"/>
    </row>
    <row r="647" ht="14.25" customHeight="1">
      <c r="A647" s="4"/>
      <c r="B647" s="4"/>
      <c r="C647" s="4"/>
      <c r="D647" s="4"/>
      <c r="E647" s="4"/>
      <c r="F647" s="188"/>
      <c r="G647" s="188"/>
      <c r="H647" s="4"/>
      <c r="I647" s="4"/>
      <c r="J647" s="4"/>
      <c r="K647" s="4"/>
      <c r="L647" s="4"/>
      <c r="M647" s="4"/>
      <c r="N647" s="4"/>
      <c r="O647" s="4"/>
      <c r="P647" s="4"/>
      <c r="Q647" s="4"/>
      <c r="R647" s="4"/>
      <c r="S647" s="4"/>
      <c r="T647" s="4"/>
      <c r="U647" s="4"/>
      <c r="V647" s="4"/>
      <c r="W647" s="4"/>
      <c r="X647" s="4"/>
      <c r="Y647" s="4"/>
      <c r="Z647" s="4"/>
    </row>
    <row r="648" ht="14.25" customHeight="1">
      <c r="A648" s="4"/>
      <c r="B648" s="4"/>
      <c r="C648" s="4"/>
      <c r="D648" s="4"/>
      <c r="E648" s="4"/>
      <c r="F648" s="188"/>
      <c r="G648" s="188"/>
      <c r="H648" s="4"/>
      <c r="I648" s="4"/>
      <c r="J648" s="4"/>
      <c r="K648" s="4"/>
      <c r="L648" s="4"/>
      <c r="M648" s="4"/>
      <c r="N648" s="4"/>
      <c r="O648" s="4"/>
      <c r="P648" s="4"/>
      <c r="Q648" s="4"/>
      <c r="R648" s="4"/>
      <c r="S648" s="4"/>
      <c r="T648" s="4"/>
      <c r="U648" s="4"/>
      <c r="V648" s="4"/>
      <c r="W648" s="4"/>
      <c r="X648" s="4"/>
      <c r="Y648" s="4"/>
      <c r="Z648" s="4"/>
    </row>
    <row r="649" ht="14.25" customHeight="1">
      <c r="A649" s="4"/>
      <c r="B649" s="4"/>
      <c r="C649" s="4"/>
      <c r="D649" s="4"/>
      <c r="E649" s="4"/>
      <c r="F649" s="188"/>
      <c r="G649" s="188"/>
      <c r="H649" s="4"/>
      <c r="I649" s="4"/>
      <c r="J649" s="4"/>
      <c r="K649" s="4"/>
      <c r="L649" s="4"/>
      <c r="M649" s="4"/>
      <c r="N649" s="4"/>
      <c r="O649" s="4"/>
      <c r="P649" s="4"/>
      <c r="Q649" s="4"/>
      <c r="R649" s="4"/>
      <c r="S649" s="4"/>
      <c r="T649" s="4"/>
      <c r="U649" s="4"/>
      <c r="V649" s="4"/>
      <c r="W649" s="4"/>
      <c r="X649" s="4"/>
      <c r="Y649" s="4"/>
      <c r="Z649" s="4"/>
    </row>
    <row r="650" ht="14.25" customHeight="1">
      <c r="A650" s="4"/>
      <c r="B650" s="4"/>
      <c r="C650" s="4"/>
      <c r="D650" s="4"/>
      <c r="E650" s="4"/>
      <c r="F650" s="188"/>
      <c r="G650" s="188"/>
      <c r="H650" s="4"/>
      <c r="I650" s="4"/>
      <c r="J650" s="4"/>
      <c r="K650" s="4"/>
      <c r="L650" s="4"/>
      <c r="M650" s="4"/>
      <c r="N650" s="4"/>
      <c r="O650" s="4"/>
      <c r="P650" s="4"/>
      <c r="Q650" s="4"/>
      <c r="R650" s="4"/>
      <c r="S650" s="4"/>
      <c r="T650" s="4"/>
      <c r="U650" s="4"/>
      <c r="V650" s="4"/>
      <c r="W650" s="4"/>
      <c r="X650" s="4"/>
      <c r="Y650" s="4"/>
      <c r="Z650" s="4"/>
    </row>
    <row r="651" ht="14.25" customHeight="1">
      <c r="A651" s="4"/>
      <c r="B651" s="4"/>
      <c r="C651" s="4"/>
      <c r="D651" s="4"/>
      <c r="E651" s="4"/>
      <c r="F651" s="188"/>
      <c r="G651" s="188"/>
      <c r="H651" s="4"/>
      <c r="I651" s="4"/>
      <c r="J651" s="4"/>
      <c r="K651" s="4"/>
      <c r="L651" s="4"/>
      <c r="M651" s="4"/>
      <c r="N651" s="4"/>
      <c r="O651" s="4"/>
      <c r="P651" s="4"/>
      <c r="Q651" s="4"/>
      <c r="R651" s="4"/>
      <c r="S651" s="4"/>
      <c r="T651" s="4"/>
      <c r="U651" s="4"/>
      <c r="V651" s="4"/>
      <c r="W651" s="4"/>
      <c r="X651" s="4"/>
      <c r="Y651" s="4"/>
      <c r="Z651" s="4"/>
    </row>
    <row r="652" ht="14.25" customHeight="1">
      <c r="A652" s="4"/>
      <c r="B652" s="4"/>
      <c r="C652" s="4"/>
      <c r="D652" s="4"/>
      <c r="E652" s="4"/>
      <c r="F652" s="188"/>
      <c r="G652" s="188"/>
      <c r="H652" s="4"/>
      <c r="I652" s="4"/>
      <c r="J652" s="4"/>
      <c r="K652" s="4"/>
      <c r="L652" s="4"/>
      <c r="M652" s="4"/>
      <c r="N652" s="4"/>
      <c r="O652" s="4"/>
      <c r="P652" s="4"/>
      <c r="Q652" s="4"/>
      <c r="R652" s="4"/>
      <c r="S652" s="4"/>
      <c r="T652" s="4"/>
      <c r="U652" s="4"/>
      <c r="V652" s="4"/>
      <c r="W652" s="4"/>
      <c r="X652" s="4"/>
      <c r="Y652" s="4"/>
      <c r="Z652" s="4"/>
    </row>
    <row r="653" ht="14.25" customHeight="1">
      <c r="A653" s="4"/>
      <c r="B653" s="4"/>
      <c r="C653" s="4"/>
      <c r="D653" s="4"/>
      <c r="E653" s="4"/>
      <c r="F653" s="188"/>
      <c r="G653" s="188"/>
      <c r="H653" s="4"/>
      <c r="I653" s="4"/>
      <c r="J653" s="4"/>
      <c r="K653" s="4"/>
      <c r="L653" s="4"/>
      <c r="M653" s="4"/>
      <c r="N653" s="4"/>
      <c r="O653" s="4"/>
      <c r="P653" s="4"/>
      <c r="Q653" s="4"/>
      <c r="R653" s="4"/>
      <c r="S653" s="4"/>
      <c r="T653" s="4"/>
      <c r="U653" s="4"/>
      <c r="V653" s="4"/>
      <c r="W653" s="4"/>
      <c r="X653" s="4"/>
      <c r="Y653" s="4"/>
      <c r="Z653" s="4"/>
    </row>
    <row r="654" ht="14.25" customHeight="1">
      <c r="A654" s="4"/>
      <c r="B654" s="4"/>
      <c r="C654" s="4"/>
      <c r="D654" s="4"/>
      <c r="E654" s="4"/>
      <c r="F654" s="188"/>
      <c r="G654" s="188"/>
      <c r="H654" s="4"/>
      <c r="I654" s="4"/>
      <c r="J654" s="4"/>
      <c r="K654" s="4"/>
      <c r="L654" s="4"/>
      <c r="M654" s="4"/>
      <c r="N654" s="4"/>
      <c r="O654" s="4"/>
      <c r="P654" s="4"/>
      <c r="Q654" s="4"/>
      <c r="R654" s="4"/>
      <c r="S654" s="4"/>
      <c r="T654" s="4"/>
      <c r="U654" s="4"/>
      <c r="V654" s="4"/>
      <c r="W654" s="4"/>
      <c r="X654" s="4"/>
      <c r="Y654" s="4"/>
      <c r="Z654" s="4"/>
    </row>
    <row r="655" ht="14.25" customHeight="1">
      <c r="A655" s="4"/>
      <c r="B655" s="4"/>
      <c r="C655" s="4"/>
      <c r="D655" s="4"/>
      <c r="E655" s="4"/>
      <c r="F655" s="188"/>
      <c r="G655" s="188"/>
      <c r="H655" s="4"/>
      <c r="I655" s="4"/>
      <c r="J655" s="4"/>
      <c r="K655" s="4"/>
      <c r="L655" s="4"/>
      <c r="M655" s="4"/>
      <c r="N655" s="4"/>
      <c r="O655" s="4"/>
      <c r="P655" s="4"/>
      <c r="Q655" s="4"/>
      <c r="R655" s="4"/>
      <c r="S655" s="4"/>
      <c r="T655" s="4"/>
      <c r="U655" s="4"/>
      <c r="V655" s="4"/>
      <c r="W655" s="4"/>
      <c r="X655" s="4"/>
      <c r="Y655" s="4"/>
      <c r="Z655" s="4"/>
    </row>
    <row r="656" ht="14.25" customHeight="1">
      <c r="A656" s="4"/>
      <c r="B656" s="4"/>
      <c r="C656" s="4"/>
      <c r="D656" s="4"/>
      <c r="E656" s="4"/>
      <c r="F656" s="188"/>
      <c r="G656" s="188"/>
      <c r="H656" s="4"/>
      <c r="I656" s="4"/>
      <c r="J656" s="4"/>
      <c r="K656" s="4"/>
      <c r="L656" s="4"/>
      <c r="M656" s="4"/>
      <c r="N656" s="4"/>
      <c r="O656" s="4"/>
      <c r="P656" s="4"/>
      <c r="Q656" s="4"/>
      <c r="R656" s="4"/>
      <c r="S656" s="4"/>
      <c r="T656" s="4"/>
      <c r="U656" s="4"/>
      <c r="V656" s="4"/>
      <c r="W656" s="4"/>
      <c r="X656" s="4"/>
      <c r="Y656" s="4"/>
      <c r="Z656" s="4"/>
    </row>
    <row r="657" ht="14.25" customHeight="1">
      <c r="A657" s="4"/>
      <c r="B657" s="4"/>
      <c r="C657" s="4"/>
      <c r="D657" s="4"/>
      <c r="E657" s="4"/>
      <c r="F657" s="188"/>
      <c r="G657" s="188"/>
      <c r="H657" s="4"/>
      <c r="I657" s="4"/>
      <c r="J657" s="4"/>
      <c r="K657" s="4"/>
      <c r="L657" s="4"/>
      <c r="M657" s="4"/>
      <c r="N657" s="4"/>
      <c r="O657" s="4"/>
      <c r="P657" s="4"/>
      <c r="Q657" s="4"/>
      <c r="R657" s="4"/>
      <c r="S657" s="4"/>
      <c r="T657" s="4"/>
      <c r="U657" s="4"/>
      <c r="V657" s="4"/>
      <c r="W657" s="4"/>
      <c r="X657" s="4"/>
      <c r="Y657" s="4"/>
      <c r="Z657" s="4"/>
    </row>
    <row r="658" ht="14.25" customHeight="1">
      <c r="A658" s="4"/>
      <c r="B658" s="4"/>
      <c r="C658" s="4"/>
      <c r="D658" s="4"/>
      <c r="E658" s="4"/>
      <c r="F658" s="188"/>
      <c r="G658" s="188"/>
      <c r="H658" s="4"/>
      <c r="I658" s="4"/>
      <c r="J658" s="4"/>
      <c r="K658" s="4"/>
      <c r="L658" s="4"/>
      <c r="M658" s="4"/>
      <c r="N658" s="4"/>
      <c r="O658" s="4"/>
      <c r="P658" s="4"/>
      <c r="Q658" s="4"/>
      <c r="R658" s="4"/>
      <c r="S658" s="4"/>
      <c r="T658" s="4"/>
      <c r="U658" s="4"/>
      <c r="V658" s="4"/>
      <c r="W658" s="4"/>
      <c r="X658" s="4"/>
      <c r="Y658" s="4"/>
      <c r="Z658" s="4"/>
    </row>
    <row r="659" ht="14.25" customHeight="1">
      <c r="A659" s="4"/>
      <c r="B659" s="4"/>
      <c r="C659" s="4"/>
      <c r="D659" s="4"/>
      <c r="E659" s="4"/>
      <c r="F659" s="188"/>
      <c r="G659" s="188"/>
      <c r="H659" s="4"/>
      <c r="I659" s="4"/>
      <c r="J659" s="4"/>
      <c r="K659" s="4"/>
      <c r="L659" s="4"/>
      <c r="M659" s="4"/>
      <c r="N659" s="4"/>
      <c r="O659" s="4"/>
      <c r="P659" s="4"/>
      <c r="Q659" s="4"/>
      <c r="R659" s="4"/>
      <c r="S659" s="4"/>
      <c r="T659" s="4"/>
      <c r="U659" s="4"/>
      <c r="V659" s="4"/>
      <c r="W659" s="4"/>
      <c r="X659" s="4"/>
      <c r="Y659" s="4"/>
      <c r="Z659" s="4"/>
    </row>
    <row r="660" ht="14.25" customHeight="1">
      <c r="A660" s="4"/>
      <c r="B660" s="4"/>
      <c r="C660" s="4"/>
      <c r="D660" s="4"/>
      <c r="E660" s="4"/>
      <c r="F660" s="188"/>
      <c r="G660" s="188"/>
      <c r="H660" s="4"/>
      <c r="I660" s="4"/>
      <c r="J660" s="4"/>
      <c r="K660" s="4"/>
      <c r="L660" s="4"/>
      <c r="M660" s="4"/>
      <c r="N660" s="4"/>
      <c r="O660" s="4"/>
      <c r="P660" s="4"/>
      <c r="Q660" s="4"/>
      <c r="R660" s="4"/>
      <c r="S660" s="4"/>
      <c r="T660" s="4"/>
      <c r="U660" s="4"/>
      <c r="V660" s="4"/>
      <c r="W660" s="4"/>
      <c r="X660" s="4"/>
      <c r="Y660" s="4"/>
      <c r="Z660" s="4"/>
    </row>
    <row r="661" ht="14.25" customHeight="1">
      <c r="A661" s="4"/>
      <c r="B661" s="4"/>
      <c r="C661" s="4"/>
      <c r="D661" s="4"/>
      <c r="E661" s="4"/>
      <c r="F661" s="188"/>
      <c r="G661" s="188"/>
      <c r="H661" s="4"/>
      <c r="I661" s="4"/>
      <c r="J661" s="4"/>
      <c r="K661" s="4"/>
      <c r="L661" s="4"/>
      <c r="M661" s="4"/>
      <c r="N661" s="4"/>
      <c r="O661" s="4"/>
      <c r="P661" s="4"/>
      <c r="Q661" s="4"/>
      <c r="R661" s="4"/>
      <c r="S661" s="4"/>
      <c r="T661" s="4"/>
      <c r="U661" s="4"/>
      <c r="V661" s="4"/>
      <c r="W661" s="4"/>
      <c r="X661" s="4"/>
      <c r="Y661" s="4"/>
      <c r="Z661" s="4"/>
    </row>
    <row r="662" ht="14.25" customHeight="1">
      <c r="A662" s="4"/>
      <c r="B662" s="4"/>
      <c r="C662" s="4"/>
      <c r="D662" s="4"/>
      <c r="E662" s="4"/>
      <c r="F662" s="188"/>
      <c r="G662" s="188"/>
      <c r="H662" s="4"/>
      <c r="I662" s="4"/>
      <c r="J662" s="4"/>
      <c r="K662" s="4"/>
      <c r="L662" s="4"/>
      <c r="M662" s="4"/>
      <c r="N662" s="4"/>
      <c r="O662" s="4"/>
      <c r="P662" s="4"/>
      <c r="Q662" s="4"/>
      <c r="R662" s="4"/>
      <c r="S662" s="4"/>
      <c r="T662" s="4"/>
      <c r="U662" s="4"/>
      <c r="V662" s="4"/>
      <c r="W662" s="4"/>
      <c r="X662" s="4"/>
      <c r="Y662" s="4"/>
      <c r="Z662" s="4"/>
    </row>
    <row r="663" ht="14.25" customHeight="1">
      <c r="A663" s="4"/>
      <c r="B663" s="4"/>
      <c r="C663" s="4"/>
      <c r="D663" s="4"/>
      <c r="E663" s="4"/>
      <c r="F663" s="188"/>
      <c r="G663" s="188"/>
      <c r="H663" s="4"/>
      <c r="I663" s="4"/>
      <c r="J663" s="4"/>
      <c r="K663" s="4"/>
      <c r="L663" s="4"/>
      <c r="M663" s="4"/>
      <c r="N663" s="4"/>
      <c r="O663" s="4"/>
      <c r="P663" s="4"/>
      <c r="Q663" s="4"/>
      <c r="R663" s="4"/>
      <c r="S663" s="4"/>
      <c r="T663" s="4"/>
      <c r="U663" s="4"/>
      <c r="V663" s="4"/>
      <c r="W663" s="4"/>
      <c r="X663" s="4"/>
      <c r="Y663" s="4"/>
      <c r="Z663" s="4"/>
    </row>
    <row r="664" ht="14.25" customHeight="1">
      <c r="A664" s="4"/>
      <c r="B664" s="4"/>
      <c r="C664" s="4"/>
      <c r="D664" s="4"/>
      <c r="E664" s="4"/>
      <c r="F664" s="188"/>
      <c r="G664" s="188"/>
      <c r="H664" s="4"/>
      <c r="I664" s="4"/>
      <c r="J664" s="4"/>
      <c r="K664" s="4"/>
      <c r="L664" s="4"/>
      <c r="M664" s="4"/>
      <c r="N664" s="4"/>
      <c r="O664" s="4"/>
      <c r="P664" s="4"/>
      <c r="Q664" s="4"/>
      <c r="R664" s="4"/>
      <c r="S664" s="4"/>
      <c r="T664" s="4"/>
      <c r="U664" s="4"/>
      <c r="V664" s="4"/>
      <c r="W664" s="4"/>
      <c r="X664" s="4"/>
      <c r="Y664" s="4"/>
      <c r="Z664" s="4"/>
    </row>
    <row r="665" ht="14.25" customHeight="1">
      <c r="A665" s="4"/>
      <c r="B665" s="4"/>
      <c r="C665" s="4"/>
      <c r="D665" s="4"/>
      <c r="E665" s="4"/>
      <c r="F665" s="188"/>
      <c r="G665" s="188"/>
      <c r="H665" s="4"/>
      <c r="I665" s="4"/>
      <c r="J665" s="4"/>
      <c r="K665" s="4"/>
      <c r="L665" s="4"/>
      <c r="M665" s="4"/>
      <c r="N665" s="4"/>
      <c r="O665" s="4"/>
      <c r="P665" s="4"/>
      <c r="Q665" s="4"/>
      <c r="R665" s="4"/>
      <c r="S665" s="4"/>
      <c r="T665" s="4"/>
      <c r="U665" s="4"/>
      <c r="V665" s="4"/>
      <c r="W665" s="4"/>
      <c r="X665" s="4"/>
      <c r="Y665" s="4"/>
      <c r="Z665" s="4"/>
    </row>
    <row r="666" ht="14.25" customHeight="1">
      <c r="A666" s="4"/>
      <c r="B666" s="4"/>
      <c r="C666" s="4"/>
      <c r="D666" s="4"/>
      <c r="E666" s="4"/>
      <c r="F666" s="188"/>
      <c r="G666" s="188"/>
      <c r="H666" s="4"/>
      <c r="I666" s="4"/>
      <c r="J666" s="4"/>
      <c r="K666" s="4"/>
      <c r="L666" s="4"/>
      <c r="M666" s="4"/>
      <c r="N666" s="4"/>
      <c r="O666" s="4"/>
      <c r="P666" s="4"/>
      <c r="Q666" s="4"/>
      <c r="R666" s="4"/>
      <c r="S666" s="4"/>
      <c r="T666" s="4"/>
      <c r="U666" s="4"/>
      <c r="V666" s="4"/>
      <c r="W666" s="4"/>
      <c r="X666" s="4"/>
      <c r="Y666" s="4"/>
      <c r="Z666" s="4"/>
    </row>
    <row r="667" ht="14.25" customHeight="1">
      <c r="A667" s="4"/>
      <c r="B667" s="4"/>
      <c r="C667" s="4"/>
      <c r="D667" s="4"/>
      <c r="E667" s="4"/>
      <c r="F667" s="188"/>
      <c r="G667" s="188"/>
      <c r="H667" s="4"/>
      <c r="I667" s="4"/>
      <c r="J667" s="4"/>
      <c r="K667" s="4"/>
      <c r="L667" s="4"/>
      <c r="M667" s="4"/>
      <c r="N667" s="4"/>
      <c r="O667" s="4"/>
      <c r="P667" s="4"/>
      <c r="Q667" s="4"/>
      <c r="R667" s="4"/>
      <c r="S667" s="4"/>
      <c r="T667" s="4"/>
      <c r="U667" s="4"/>
      <c r="V667" s="4"/>
      <c r="W667" s="4"/>
      <c r="X667" s="4"/>
      <c r="Y667" s="4"/>
      <c r="Z667" s="4"/>
    </row>
    <row r="668" ht="14.25" customHeight="1">
      <c r="A668" s="4"/>
      <c r="B668" s="4"/>
      <c r="C668" s="4"/>
      <c r="D668" s="4"/>
      <c r="E668" s="4"/>
      <c r="F668" s="188"/>
      <c r="G668" s="188"/>
      <c r="H668" s="4"/>
      <c r="I668" s="4"/>
      <c r="J668" s="4"/>
      <c r="K668" s="4"/>
      <c r="L668" s="4"/>
      <c r="M668" s="4"/>
      <c r="N668" s="4"/>
      <c r="O668" s="4"/>
      <c r="P668" s="4"/>
      <c r="Q668" s="4"/>
      <c r="R668" s="4"/>
      <c r="S668" s="4"/>
      <c r="T668" s="4"/>
      <c r="U668" s="4"/>
      <c r="V668" s="4"/>
      <c r="W668" s="4"/>
      <c r="X668" s="4"/>
      <c r="Y668" s="4"/>
      <c r="Z668" s="4"/>
    </row>
    <row r="669" ht="14.25" customHeight="1">
      <c r="A669" s="4"/>
      <c r="B669" s="4"/>
      <c r="C669" s="4"/>
      <c r="D669" s="4"/>
      <c r="E669" s="4"/>
      <c r="F669" s="188"/>
      <c r="G669" s="188"/>
      <c r="H669" s="4"/>
      <c r="I669" s="4"/>
      <c r="J669" s="4"/>
      <c r="K669" s="4"/>
      <c r="L669" s="4"/>
      <c r="M669" s="4"/>
      <c r="N669" s="4"/>
      <c r="O669" s="4"/>
      <c r="P669" s="4"/>
      <c r="Q669" s="4"/>
      <c r="R669" s="4"/>
      <c r="S669" s="4"/>
      <c r="T669" s="4"/>
      <c r="U669" s="4"/>
      <c r="V669" s="4"/>
      <c r="W669" s="4"/>
      <c r="X669" s="4"/>
      <c r="Y669" s="4"/>
      <c r="Z669" s="4"/>
    </row>
    <row r="670" ht="14.25" customHeight="1">
      <c r="A670" s="4"/>
      <c r="B670" s="4"/>
      <c r="C670" s="4"/>
      <c r="D670" s="4"/>
      <c r="E670" s="4"/>
      <c r="F670" s="188"/>
      <c r="G670" s="188"/>
      <c r="H670" s="4"/>
      <c r="I670" s="4"/>
      <c r="J670" s="4"/>
      <c r="K670" s="4"/>
      <c r="L670" s="4"/>
      <c r="M670" s="4"/>
      <c r="N670" s="4"/>
      <c r="O670" s="4"/>
      <c r="P670" s="4"/>
      <c r="Q670" s="4"/>
      <c r="R670" s="4"/>
      <c r="S670" s="4"/>
      <c r="T670" s="4"/>
      <c r="U670" s="4"/>
      <c r="V670" s="4"/>
      <c r="W670" s="4"/>
      <c r="X670" s="4"/>
      <c r="Y670" s="4"/>
      <c r="Z670" s="4"/>
    </row>
    <row r="671" ht="14.25" customHeight="1">
      <c r="A671" s="4"/>
      <c r="B671" s="4"/>
      <c r="C671" s="4"/>
      <c r="D671" s="4"/>
      <c r="E671" s="4"/>
      <c r="F671" s="188"/>
      <c r="G671" s="188"/>
      <c r="H671" s="4"/>
      <c r="I671" s="4"/>
      <c r="J671" s="4"/>
      <c r="K671" s="4"/>
      <c r="L671" s="4"/>
      <c r="M671" s="4"/>
      <c r="N671" s="4"/>
      <c r="O671" s="4"/>
      <c r="P671" s="4"/>
      <c r="Q671" s="4"/>
      <c r="R671" s="4"/>
      <c r="S671" s="4"/>
      <c r="T671" s="4"/>
      <c r="U671" s="4"/>
      <c r="V671" s="4"/>
      <c r="W671" s="4"/>
      <c r="X671" s="4"/>
      <c r="Y671" s="4"/>
      <c r="Z671" s="4"/>
    </row>
    <row r="672" ht="14.25" customHeight="1">
      <c r="A672" s="4"/>
      <c r="B672" s="4"/>
      <c r="C672" s="4"/>
      <c r="D672" s="4"/>
      <c r="E672" s="4"/>
      <c r="F672" s="188"/>
      <c r="G672" s="188"/>
      <c r="H672" s="4"/>
      <c r="I672" s="4"/>
      <c r="J672" s="4"/>
      <c r="K672" s="4"/>
      <c r="L672" s="4"/>
      <c r="M672" s="4"/>
      <c r="N672" s="4"/>
      <c r="O672" s="4"/>
      <c r="P672" s="4"/>
      <c r="Q672" s="4"/>
      <c r="R672" s="4"/>
      <c r="S672" s="4"/>
      <c r="T672" s="4"/>
      <c r="U672" s="4"/>
      <c r="V672" s="4"/>
      <c r="W672" s="4"/>
      <c r="X672" s="4"/>
      <c r="Y672" s="4"/>
      <c r="Z672" s="4"/>
    </row>
    <row r="673" ht="14.25" customHeight="1">
      <c r="A673" s="4"/>
      <c r="B673" s="4"/>
      <c r="C673" s="4"/>
      <c r="D673" s="4"/>
      <c r="E673" s="4"/>
      <c r="F673" s="188"/>
      <c r="G673" s="188"/>
      <c r="H673" s="4"/>
      <c r="I673" s="4"/>
      <c r="J673" s="4"/>
      <c r="K673" s="4"/>
      <c r="L673" s="4"/>
      <c r="M673" s="4"/>
      <c r="N673" s="4"/>
      <c r="O673" s="4"/>
      <c r="P673" s="4"/>
      <c r="Q673" s="4"/>
      <c r="R673" s="4"/>
      <c r="S673" s="4"/>
      <c r="T673" s="4"/>
      <c r="U673" s="4"/>
      <c r="V673" s="4"/>
      <c r="W673" s="4"/>
      <c r="X673" s="4"/>
      <c r="Y673" s="4"/>
      <c r="Z673" s="4"/>
    </row>
    <row r="674" ht="14.25" customHeight="1">
      <c r="A674" s="4"/>
      <c r="B674" s="4"/>
      <c r="C674" s="4"/>
      <c r="D674" s="4"/>
      <c r="E674" s="4"/>
      <c r="F674" s="188"/>
      <c r="G674" s="188"/>
      <c r="H674" s="4"/>
      <c r="I674" s="4"/>
      <c r="J674" s="4"/>
      <c r="K674" s="4"/>
      <c r="L674" s="4"/>
      <c r="M674" s="4"/>
      <c r="N674" s="4"/>
      <c r="O674" s="4"/>
      <c r="P674" s="4"/>
      <c r="Q674" s="4"/>
      <c r="R674" s="4"/>
      <c r="S674" s="4"/>
      <c r="T674" s="4"/>
      <c r="U674" s="4"/>
      <c r="V674" s="4"/>
      <c r="W674" s="4"/>
      <c r="X674" s="4"/>
      <c r="Y674" s="4"/>
      <c r="Z674" s="4"/>
    </row>
    <row r="675" ht="14.25" customHeight="1">
      <c r="A675" s="4"/>
      <c r="B675" s="4"/>
      <c r="C675" s="4"/>
      <c r="D675" s="4"/>
      <c r="E675" s="4"/>
      <c r="F675" s="188"/>
      <c r="G675" s="188"/>
      <c r="H675" s="4"/>
      <c r="I675" s="4"/>
      <c r="J675" s="4"/>
      <c r="K675" s="4"/>
      <c r="L675" s="4"/>
      <c r="M675" s="4"/>
      <c r="N675" s="4"/>
      <c r="O675" s="4"/>
      <c r="P675" s="4"/>
      <c r="Q675" s="4"/>
      <c r="R675" s="4"/>
      <c r="S675" s="4"/>
      <c r="T675" s="4"/>
      <c r="U675" s="4"/>
      <c r="V675" s="4"/>
      <c r="W675" s="4"/>
      <c r="X675" s="4"/>
      <c r="Y675" s="4"/>
      <c r="Z675" s="4"/>
    </row>
    <row r="676" ht="14.25" customHeight="1">
      <c r="A676" s="4"/>
      <c r="B676" s="4"/>
      <c r="C676" s="4"/>
      <c r="D676" s="4"/>
      <c r="E676" s="4"/>
      <c r="F676" s="188"/>
      <c r="G676" s="188"/>
      <c r="H676" s="4"/>
      <c r="I676" s="4"/>
      <c r="J676" s="4"/>
      <c r="K676" s="4"/>
      <c r="L676" s="4"/>
      <c r="M676" s="4"/>
      <c r="N676" s="4"/>
      <c r="O676" s="4"/>
      <c r="P676" s="4"/>
      <c r="Q676" s="4"/>
      <c r="R676" s="4"/>
      <c r="S676" s="4"/>
      <c r="T676" s="4"/>
      <c r="U676" s="4"/>
      <c r="V676" s="4"/>
      <c r="W676" s="4"/>
      <c r="X676" s="4"/>
      <c r="Y676" s="4"/>
      <c r="Z676" s="4"/>
    </row>
    <row r="677" ht="14.25" customHeight="1">
      <c r="A677" s="4"/>
      <c r="B677" s="4"/>
      <c r="C677" s="4"/>
      <c r="D677" s="4"/>
      <c r="E677" s="4"/>
      <c r="F677" s="188"/>
      <c r="G677" s="188"/>
      <c r="H677" s="4"/>
      <c r="I677" s="4"/>
      <c r="J677" s="4"/>
      <c r="K677" s="4"/>
      <c r="L677" s="4"/>
      <c r="M677" s="4"/>
      <c r="N677" s="4"/>
      <c r="O677" s="4"/>
      <c r="P677" s="4"/>
      <c r="Q677" s="4"/>
      <c r="R677" s="4"/>
      <c r="S677" s="4"/>
      <c r="T677" s="4"/>
      <c r="U677" s="4"/>
      <c r="V677" s="4"/>
      <c r="W677" s="4"/>
      <c r="X677" s="4"/>
      <c r="Y677" s="4"/>
      <c r="Z677" s="4"/>
    </row>
    <row r="678" ht="14.25" customHeight="1">
      <c r="A678" s="4"/>
      <c r="B678" s="4"/>
      <c r="C678" s="4"/>
      <c r="D678" s="4"/>
      <c r="E678" s="4"/>
      <c r="F678" s="188"/>
      <c r="G678" s="188"/>
      <c r="H678" s="4"/>
      <c r="I678" s="4"/>
      <c r="J678" s="4"/>
      <c r="K678" s="4"/>
      <c r="L678" s="4"/>
      <c r="M678" s="4"/>
      <c r="N678" s="4"/>
      <c r="O678" s="4"/>
      <c r="P678" s="4"/>
      <c r="Q678" s="4"/>
      <c r="R678" s="4"/>
      <c r="S678" s="4"/>
      <c r="T678" s="4"/>
      <c r="U678" s="4"/>
      <c r="V678" s="4"/>
      <c r="W678" s="4"/>
      <c r="X678" s="4"/>
      <c r="Y678" s="4"/>
      <c r="Z678" s="4"/>
    </row>
    <row r="679" ht="14.25" customHeight="1">
      <c r="A679" s="4"/>
      <c r="B679" s="4"/>
      <c r="C679" s="4"/>
      <c r="D679" s="4"/>
      <c r="E679" s="4"/>
      <c r="F679" s="188"/>
      <c r="G679" s="188"/>
      <c r="H679" s="4"/>
      <c r="I679" s="4"/>
      <c r="J679" s="4"/>
      <c r="K679" s="4"/>
      <c r="L679" s="4"/>
      <c r="M679" s="4"/>
      <c r="N679" s="4"/>
      <c r="O679" s="4"/>
      <c r="P679" s="4"/>
      <c r="Q679" s="4"/>
      <c r="R679" s="4"/>
      <c r="S679" s="4"/>
      <c r="T679" s="4"/>
      <c r="U679" s="4"/>
      <c r="V679" s="4"/>
      <c r="W679" s="4"/>
      <c r="X679" s="4"/>
      <c r="Y679" s="4"/>
      <c r="Z679" s="4"/>
    </row>
    <row r="680" ht="14.25" customHeight="1">
      <c r="A680" s="4"/>
      <c r="B680" s="4"/>
      <c r="C680" s="4"/>
      <c r="D680" s="4"/>
      <c r="E680" s="4"/>
      <c r="F680" s="188"/>
      <c r="G680" s="188"/>
      <c r="H680" s="4"/>
      <c r="I680" s="4"/>
      <c r="J680" s="4"/>
      <c r="K680" s="4"/>
      <c r="L680" s="4"/>
      <c r="M680" s="4"/>
      <c r="N680" s="4"/>
      <c r="O680" s="4"/>
      <c r="P680" s="4"/>
      <c r="Q680" s="4"/>
      <c r="R680" s="4"/>
      <c r="S680" s="4"/>
      <c r="T680" s="4"/>
      <c r="U680" s="4"/>
      <c r="V680" s="4"/>
      <c r="W680" s="4"/>
      <c r="X680" s="4"/>
      <c r="Y680" s="4"/>
      <c r="Z680" s="4"/>
    </row>
    <row r="681" ht="14.25" customHeight="1">
      <c r="A681" s="4"/>
      <c r="B681" s="4"/>
      <c r="C681" s="4"/>
      <c r="D681" s="4"/>
      <c r="E681" s="4"/>
      <c r="F681" s="188"/>
      <c r="G681" s="188"/>
      <c r="H681" s="4"/>
      <c r="I681" s="4"/>
      <c r="J681" s="4"/>
      <c r="K681" s="4"/>
      <c r="L681" s="4"/>
      <c r="M681" s="4"/>
      <c r="N681" s="4"/>
      <c r="O681" s="4"/>
      <c r="P681" s="4"/>
      <c r="Q681" s="4"/>
      <c r="R681" s="4"/>
      <c r="S681" s="4"/>
      <c r="T681" s="4"/>
      <c r="U681" s="4"/>
      <c r="V681" s="4"/>
      <c r="W681" s="4"/>
      <c r="X681" s="4"/>
      <c r="Y681" s="4"/>
      <c r="Z681" s="4"/>
    </row>
    <row r="682" ht="14.25" customHeight="1">
      <c r="A682" s="4"/>
      <c r="B682" s="4"/>
      <c r="C682" s="4"/>
      <c r="D682" s="4"/>
      <c r="E682" s="4"/>
      <c r="F682" s="188"/>
      <c r="G682" s="188"/>
      <c r="H682" s="4"/>
      <c r="I682" s="4"/>
      <c r="J682" s="4"/>
      <c r="K682" s="4"/>
      <c r="L682" s="4"/>
      <c r="M682" s="4"/>
      <c r="N682" s="4"/>
      <c r="O682" s="4"/>
      <c r="P682" s="4"/>
      <c r="Q682" s="4"/>
      <c r="R682" s="4"/>
      <c r="S682" s="4"/>
      <c r="T682" s="4"/>
      <c r="U682" s="4"/>
      <c r="V682" s="4"/>
      <c r="W682" s="4"/>
      <c r="X682" s="4"/>
      <c r="Y682" s="4"/>
      <c r="Z682" s="4"/>
    </row>
    <row r="683" ht="14.25" customHeight="1">
      <c r="A683" s="4"/>
      <c r="B683" s="4"/>
      <c r="C683" s="4"/>
      <c r="D683" s="4"/>
      <c r="E683" s="4"/>
      <c r="F683" s="188"/>
      <c r="G683" s="188"/>
      <c r="H683" s="4"/>
      <c r="I683" s="4"/>
      <c r="J683" s="4"/>
      <c r="K683" s="4"/>
      <c r="L683" s="4"/>
      <c r="M683" s="4"/>
      <c r="N683" s="4"/>
      <c r="O683" s="4"/>
      <c r="P683" s="4"/>
      <c r="Q683" s="4"/>
      <c r="R683" s="4"/>
      <c r="S683" s="4"/>
      <c r="T683" s="4"/>
      <c r="U683" s="4"/>
      <c r="V683" s="4"/>
      <c r="W683" s="4"/>
      <c r="X683" s="4"/>
      <c r="Y683" s="4"/>
      <c r="Z683" s="4"/>
    </row>
    <row r="684" ht="14.25" customHeight="1">
      <c r="A684" s="4"/>
      <c r="B684" s="4"/>
      <c r="C684" s="4"/>
      <c r="D684" s="4"/>
      <c r="E684" s="4"/>
      <c r="F684" s="188"/>
      <c r="G684" s="188"/>
      <c r="H684" s="4"/>
      <c r="I684" s="4"/>
      <c r="J684" s="4"/>
      <c r="K684" s="4"/>
      <c r="L684" s="4"/>
      <c r="M684" s="4"/>
      <c r="N684" s="4"/>
      <c r="O684" s="4"/>
      <c r="P684" s="4"/>
      <c r="Q684" s="4"/>
      <c r="R684" s="4"/>
      <c r="S684" s="4"/>
      <c r="T684" s="4"/>
      <c r="U684" s="4"/>
      <c r="V684" s="4"/>
      <c r="W684" s="4"/>
      <c r="X684" s="4"/>
      <c r="Y684" s="4"/>
      <c r="Z684" s="4"/>
    </row>
    <row r="685" ht="14.25" customHeight="1">
      <c r="A685" s="4"/>
      <c r="B685" s="4"/>
      <c r="C685" s="4"/>
      <c r="D685" s="4"/>
      <c r="E685" s="4"/>
      <c r="F685" s="188"/>
      <c r="G685" s="188"/>
      <c r="H685" s="4"/>
      <c r="I685" s="4"/>
      <c r="J685" s="4"/>
      <c r="K685" s="4"/>
      <c r="L685" s="4"/>
      <c r="M685" s="4"/>
      <c r="N685" s="4"/>
      <c r="O685" s="4"/>
      <c r="P685" s="4"/>
      <c r="Q685" s="4"/>
      <c r="R685" s="4"/>
      <c r="S685" s="4"/>
      <c r="T685" s="4"/>
      <c r="U685" s="4"/>
      <c r="V685" s="4"/>
      <c r="W685" s="4"/>
      <c r="X685" s="4"/>
      <c r="Y685" s="4"/>
      <c r="Z685" s="4"/>
    </row>
    <row r="686" ht="14.25" customHeight="1">
      <c r="A686" s="4"/>
      <c r="B686" s="4"/>
      <c r="C686" s="4"/>
      <c r="D686" s="4"/>
      <c r="E686" s="4"/>
      <c r="F686" s="188"/>
      <c r="G686" s="188"/>
      <c r="H686" s="4"/>
      <c r="I686" s="4"/>
      <c r="J686" s="4"/>
      <c r="K686" s="4"/>
      <c r="L686" s="4"/>
      <c r="M686" s="4"/>
      <c r="N686" s="4"/>
      <c r="O686" s="4"/>
      <c r="P686" s="4"/>
      <c r="Q686" s="4"/>
      <c r="R686" s="4"/>
      <c r="S686" s="4"/>
      <c r="T686" s="4"/>
      <c r="U686" s="4"/>
      <c r="V686" s="4"/>
      <c r="W686" s="4"/>
      <c r="X686" s="4"/>
      <c r="Y686" s="4"/>
      <c r="Z686" s="4"/>
    </row>
    <row r="687" ht="14.25" customHeight="1">
      <c r="A687" s="4"/>
      <c r="B687" s="4"/>
      <c r="C687" s="4"/>
      <c r="D687" s="4"/>
      <c r="E687" s="4"/>
      <c r="F687" s="188"/>
      <c r="G687" s="188"/>
      <c r="H687" s="4"/>
      <c r="I687" s="4"/>
      <c r="J687" s="4"/>
      <c r="K687" s="4"/>
      <c r="L687" s="4"/>
      <c r="M687" s="4"/>
      <c r="N687" s="4"/>
      <c r="O687" s="4"/>
      <c r="P687" s="4"/>
      <c r="Q687" s="4"/>
      <c r="R687" s="4"/>
      <c r="S687" s="4"/>
      <c r="T687" s="4"/>
      <c r="U687" s="4"/>
      <c r="V687" s="4"/>
      <c r="W687" s="4"/>
      <c r="X687" s="4"/>
      <c r="Y687" s="4"/>
      <c r="Z687" s="4"/>
    </row>
    <row r="688" ht="14.25" customHeight="1">
      <c r="A688" s="4"/>
      <c r="B688" s="4"/>
      <c r="C688" s="4"/>
      <c r="D688" s="4"/>
      <c r="E688" s="4"/>
      <c r="F688" s="188"/>
      <c r="G688" s="188"/>
      <c r="H688" s="4"/>
      <c r="I688" s="4"/>
      <c r="J688" s="4"/>
      <c r="K688" s="4"/>
      <c r="L688" s="4"/>
      <c r="M688" s="4"/>
      <c r="N688" s="4"/>
      <c r="O688" s="4"/>
      <c r="P688" s="4"/>
      <c r="Q688" s="4"/>
      <c r="R688" s="4"/>
      <c r="S688" s="4"/>
      <c r="T688" s="4"/>
      <c r="U688" s="4"/>
      <c r="V688" s="4"/>
      <c r="W688" s="4"/>
      <c r="X688" s="4"/>
      <c r="Y688" s="4"/>
      <c r="Z688" s="4"/>
    </row>
    <row r="689" ht="14.25" customHeight="1">
      <c r="A689" s="4"/>
      <c r="B689" s="4"/>
      <c r="C689" s="4"/>
      <c r="D689" s="4"/>
      <c r="E689" s="4"/>
      <c r="F689" s="188"/>
      <c r="G689" s="188"/>
      <c r="H689" s="4"/>
      <c r="I689" s="4"/>
      <c r="J689" s="4"/>
      <c r="K689" s="4"/>
      <c r="L689" s="4"/>
      <c r="M689" s="4"/>
      <c r="N689" s="4"/>
      <c r="O689" s="4"/>
      <c r="P689" s="4"/>
      <c r="Q689" s="4"/>
      <c r="R689" s="4"/>
      <c r="S689" s="4"/>
      <c r="T689" s="4"/>
      <c r="U689" s="4"/>
      <c r="V689" s="4"/>
      <c r="W689" s="4"/>
      <c r="X689" s="4"/>
      <c r="Y689" s="4"/>
      <c r="Z689" s="4"/>
    </row>
    <row r="690" ht="14.25" customHeight="1">
      <c r="A690" s="4"/>
      <c r="B690" s="4"/>
      <c r="C690" s="4"/>
      <c r="D690" s="4"/>
      <c r="E690" s="4"/>
      <c r="F690" s="188"/>
      <c r="G690" s="188"/>
      <c r="H690" s="4"/>
      <c r="I690" s="4"/>
      <c r="J690" s="4"/>
      <c r="K690" s="4"/>
      <c r="L690" s="4"/>
      <c r="M690" s="4"/>
      <c r="N690" s="4"/>
      <c r="O690" s="4"/>
      <c r="P690" s="4"/>
      <c r="Q690" s="4"/>
      <c r="R690" s="4"/>
      <c r="S690" s="4"/>
      <c r="T690" s="4"/>
      <c r="U690" s="4"/>
      <c r="V690" s="4"/>
      <c r="W690" s="4"/>
      <c r="X690" s="4"/>
      <c r="Y690" s="4"/>
      <c r="Z690" s="4"/>
    </row>
    <row r="691" ht="14.25" customHeight="1">
      <c r="A691" s="4"/>
      <c r="B691" s="4"/>
      <c r="C691" s="4"/>
      <c r="D691" s="4"/>
      <c r="E691" s="4"/>
      <c r="F691" s="188"/>
      <c r="G691" s="188"/>
      <c r="H691" s="4"/>
      <c r="I691" s="4"/>
      <c r="J691" s="4"/>
      <c r="K691" s="4"/>
      <c r="L691" s="4"/>
      <c r="M691" s="4"/>
      <c r="N691" s="4"/>
      <c r="O691" s="4"/>
      <c r="P691" s="4"/>
      <c r="Q691" s="4"/>
      <c r="R691" s="4"/>
      <c r="S691" s="4"/>
      <c r="T691" s="4"/>
      <c r="U691" s="4"/>
      <c r="V691" s="4"/>
      <c r="W691" s="4"/>
      <c r="X691" s="4"/>
      <c r="Y691" s="4"/>
      <c r="Z691" s="4"/>
    </row>
    <row r="692" ht="14.25" customHeight="1">
      <c r="A692" s="4"/>
      <c r="B692" s="4"/>
      <c r="C692" s="4"/>
      <c r="D692" s="4"/>
      <c r="E692" s="4"/>
      <c r="F692" s="188"/>
      <c r="G692" s="188"/>
      <c r="H692" s="4"/>
      <c r="I692" s="4"/>
      <c r="J692" s="4"/>
      <c r="K692" s="4"/>
      <c r="L692" s="4"/>
      <c r="M692" s="4"/>
      <c r="N692" s="4"/>
      <c r="O692" s="4"/>
      <c r="P692" s="4"/>
      <c r="Q692" s="4"/>
      <c r="R692" s="4"/>
      <c r="S692" s="4"/>
      <c r="T692" s="4"/>
      <c r="U692" s="4"/>
      <c r="V692" s="4"/>
      <c r="W692" s="4"/>
      <c r="X692" s="4"/>
      <c r="Y692" s="4"/>
      <c r="Z692" s="4"/>
    </row>
    <row r="693" ht="14.25" customHeight="1">
      <c r="A693" s="4"/>
      <c r="B693" s="4"/>
      <c r="C693" s="4"/>
      <c r="D693" s="4"/>
      <c r="E693" s="4"/>
      <c r="F693" s="188"/>
      <c r="G693" s="188"/>
      <c r="H693" s="4"/>
      <c r="I693" s="4"/>
      <c r="J693" s="4"/>
      <c r="K693" s="4"/>
      <c r="L693" s="4"/>
      <c r="M693" s="4"/>
      <c r="N693" s="4"/>
      <c r="O693" s="4"/>
      <c r="P693" s="4"/>
      <c r="Q693" s="4"/>
      <c r="R693" s="4"/>
      <c r="S693" s="4"/>
      <c r="T693" s="4"/>
      <c r="U693" s="4"/>
      <c r="V693" s="4"/>
      <c r="W693" s="4"/>
      <c r="X693" s="4"/>
      <c r="Y693" s="4"/>
      <c r="Z693" s="4"/>
    </row>
    <row r="694" ht="14.25" customHeight="1">
      <c r="A694" s="4"/>
      <c r="B694" s="4"/>
      <c r="C694" s="4"/>
      <c r="D694" s="4"/>
      <c r="E694" s="4"/>
      <c r="F694" s="188"/>
      <c r="G694" s="188"/>
      <c r="H694" s="4"/>
      <c r="I694" s="4"/>
      <c r="J694" s="4"/>
      <c r="K694" s="4"/>
      <c r="L694" s="4"/>
      <c r="M694" s="4"/>
      <c r="N694" s="4"/>
      <c r="O694" s="4"/>
      <c r="P694" s="4"/>
      <c r="Q694" s="4"/>
      <c r="R694" s="4"/>
      <c r="S694" s="4"/>
      <c r="T694" s="4"/>
      <c r="U694" s="4"/>
      <c r="V694" s="4"/>
      <c r="W694" s="4"/>
      <c r="X694" s="4"/>
      <c r="Y694" s="4"/>
      <c r="Z694" s="4"/>
    </row>
    <row r="695" ht="14.25" customHeight="1">
      <c r="A695" s="4"/>
      <c r="B695" s="4"/>
      <c r="C695" s="4"/>
      <c r="D695" s="4"/>
      <c r="E695" s="4"/>
      <c r="F695" s="188"/>
      <c r="G695" s="188"/>
      <c r="H695" s="4"/>
      <c r="I695" s="4"/>
      <c r="J695" s="4"/>
      <c r="K695" s="4"/>
      <c r="L695" s="4"/>
      <c r="M695" s="4"/>
      <c r="N695" s="4"/>
      <c r="O695" s="4"/>
      <c r="P695" s="4"/>
      <c r="Q695" s="4"/>
      <c r="R695" s="4"/>
      <c r="S695" s="4"/>
      <c r="T695" s="4"/>
      <c r="U695" s="4"/>
      <c r="V695" s="4"/>
      <c r="W695" s="4"/>
      <c r="X695" s="4"/>
      <c r="Y695" s="4"/>
      <c r="Z695" s="4"/>
    </row>
    <row r="696" ht="14.25" customHeight="1">
      <c r="A696" s="4"/>
      <c r="B696" s="4"/>
      <c r="C696" s="4"/>
      <c r="D696" s="4"/>
      <c r="E696" s="4"/>
      <c r="F696" s="188"/>
      <c r="G696" s="188"/>
      <c r="H696" s="4"/>
      <c r="I696" s="4"/>
      <c r="J696" s="4"/>
      <c r="K696" s="4"/>
      <c r="L696" s="4"/>
      <c r="M696" s="4"/>
      <c r="N696" s="4"/>
      <c r="O696" s="4"/>
      <c r="P696" s="4"/>
      <c r="Q696" s="4"/>
      <c r="R696" s="4"/>
      <c r="S696" s="4"/>
      <c r="T696" s="4"/>
      <c r="U696" s="4"/>
      <c r="V696" s="4"/>
      <c r="W696" s="4"/>
      <c r="X696" s="4"/>
      <c r="Y696" s="4"/>
      <c r="Z696" s="4"/>
    </row>
    <row r="697" ht="14.25" customHeight="1">
      <c r="A697" s="4"/>
      <c r="B697" s="4"/>
      <c r="C697" s="4"/>
      <c r="D697" s="4"/>
      <c r="E697" s="4"/>
      <c r="F697" s="188"/>
      <c r="G697" s="188"/>
      <c r="H697" s="4"/>
      <c r="I697" s="4"/>
      <c r="J697" s="4"/>
      <c r="K697" s="4"/>
      <c r="L697" s="4"/>
      <c r="M697" s="4"/>
      <c r="N697" s="4"/>
      <c r="O697" s="4"/>
      <c r="P697" s="4"/>
      <c r="Q697" s="4"/>
      <c r="R697" s="4"/>
      <c r="S697" s="4"/>
      <c r="T697" s="4"/>
      <c r="U697" s="4"/>
      <c r="V697" s="4"/>
      <c r="W697" s="4"/>
      <c r="X697" s="4"/>
      <c r="Y697" s="4"/>
      <c r="Z697" s="4"/>
    </row>
    <row r="698" ht="14.25" customHeight="1">
      <c r="A698" s="4"/>
      <c r="B698" s="4"/>
      <c r="C698" s="4"/>
      <c r="D698" s="4"/>
      <c r="E698" s="4"/>
      <c r="F698" s="188"/>
      <c r="G698" s="188"/>
      <c r="H698" s="4"/>
      <c r="I698" s="4"/>
      <c r="J698" s="4"/>
      <c r="K698" s="4"/>
      <c r="L698" s="4"/>
      <c r="M698" s="4"/>
      <c r="N698" s="4"/>
      <c r="O698" s="4"/>
      <c r="P698" s="4"/>
      <c r="Q698" s="4"/>
      <c r="R698" s="4"/>
      <c r="S698" s="4"/>
      <c r="T698" s="4"/>
      <c r="U698" s="4"/>
      <c r="V698" s="4"/>
      <c r="W698" s="4"/>
      <c r="X698" s="4"/>
      <c r="Y698" s="4"/>
      <c r="Z698" s="4"/>
    </row>
    <row r="699" ht="14.25" customHeight="1">
      <c r="A699" s="4"/>
      <c r="B699" s="4"/>
      <c r="C699" s="4"/>
      <c r="D699" s="4"/>
      <c r="E699" s="4"/>
      <c r="F699" s="188"/>
      <c r="G699" s="188"/>
      <c r="H699" s="4"/>
      <c r="I699" s="4"/>
      <c r="J699" s="4"/>
      <c r="K699" s="4"/>
      <c r="L699" s="4"/>
      <c r="M699" s="4"/>
      <c r="N699" s="4"/>
      <c r="O699" s="4"/>
      <c r="P699" s="4"/>
      <c r="Q699" s="4"/>
      <c r="R699" s="4"/>
      <c r="S699" s="4"/>
      <c r="T699" s="4"/>
      <c r="U699" s="4"/>
      <c r="V699" s="4"/>
      <c r="W699" s="4"/>
      <c r="X699" s="4"/>
      <c r="Y699" s="4"/>
      <c r="Z699" s="4"/>
    </row>
    <row r="700" ht="14.25" customHeight="1">
      <c r="A700" s="4"/>
      <c r="B700" s="4"/>
      <c r="C700" s="4"/>
      <c r="D700" s="4"/>
      <c r="E700" s="4"/>
      <c r="F700" s="188"/>
      <c r="G700" s="188"/>
      <c r="H700" s="4"/>
      <c r="I700" s="4"/>
      <c r="J700" s="4"/>
      <c r="K700" s="4"/>
      <c r="L700" s="4"/>
      <c r="M700" s="4"/>
      <c r="N700" s="4"/>
      <c r="O700" s="4"/>
      <c r="P700" s="4"/>
      <c r="Q700" s="4"/>
      <c r="R700" s="4"/>
      <c r="S700" s="4"/>
      <c r="T700" s="4"/>
      <c r="U700" s="4"/>
      <c r="V700" s="4"/>
      <c r="W700" s="4"/>
      <c r="X700" s="4"/>
      <c r="Y700" s="4"/>
      <c r="Z700" s="4"/>
    </row>
    <row r="701" ht="14.25" customHeight="1">
      <c r="A701" s="4"/>
      <c r="B701" s="4"/>
      <c r="C701" s="4"/>
      <c r="D701" s="4"/>
      <c r="E701" s="4"/>
      <c r="F701" s="188"/>
      <c r="G701" s="188"/>
      <c r="H701" s="4"/>
      <c r="I701" s="4"/>
      <c r="J701" s="4"/>
      <c r="K701" s="4"/>
      <c r="L701" s="4"/>
      <c r="M701" s="4"/>
      <c r="N701" s="4"/>
      <c r="O701" s="4"/>
      <c r="P701" s="4"/>
      <c r="Q701" s="4"/>
      <c r="R701" s="4"/>
      <c r="S701" s="4"/>
      <c r="T701" s="4"/>
      <c r="U701" s="4"/>
      <c r="V701" s="4"/>
      <c r="W701" s="4"/>
      <c r="X701" s="4"/>
      <c r="Y701" s="4"/>
      <c r="Z701" s="4"/>
    </row>
    <row r="702" ht="14.25" customHeight="1">
      <c r="A702" s="4"/>
      <c r="B702" s="4"/>
      <c r="C702" s="4"/>
      <c r="D702" s="4"/>
      <c r="E702" s="4"/>
      <c r="F702" s="188"/>
      <c r="G702" s="188"/>
      <c r="H702" s="4"/>
      <c r="I702" s="4"/>
      <c r="J702" s="4"/>
      <c r="K702" s="4"/>
      <c r="L702" s="4"/>
      <c r="M702" s="4"/>
      <c r="N702" s="4"/>
      <c r="O702" s="4"/>
      <c r="P702" s="4"/>
      <c r="Q702" s="4"/>
      <c r="R702" s="4"/>
      <c r="S702" s="4"/>
      <c r="T702" s="4"/>
      <c r="U702" s="4"/>
      <c r="V702" s="4"/>
      <c r="W702" s="4"/>
      <c r="X702" s="4"/>
      <c r="Y702" s="4"/>
      <c r="Z702" s="4"/>
    </row>
    <row r="703" ht="14.25" customHeight="1">
      <c r="A703" s="4"/>
      <c r="B703" s="4"/>
      <c r="C703" s="4"/>
      <c r="D703" s="4"/>
      <c r="E703" s="4"/>
      <c r="F703" s="188"/>
      <c r="G703" s="188"/>
      <c r="H703" s="4"/>
      <c r="I703" s="4"/>
      <c r="J703" s="4"/>
      <c r="K703" s="4"/>
      <c r="L703" s="4"/>
      <c r="M703" s="4"/>
      <c r="N703" s="4"/>
      <c r="O703" s="4"/>
      <c r="P703" s="4"/>
      <c r="Q703" s="4"/>
      <c r="R703" s="4"/>
      <c r="S703" s="4"/>
      <c r="T703" s="4"/>
      <c r="U703" s="4"/>
      <c r="V703" s="4"/>
      <c r="W703" s="4"/>
      <c r="X703" s="4"/>
      <c r="Y703" s="4"/>
      <c r="Z703" s="4"/>
    </row>
    <row r="704" ht="14.25" customHeight="1">
      <c r="A704" s="4"/>
      <c r="B704" s="4"/>
      <c r="C704" s="4"/>
      <c r="D704" s="4"/>
      <c r="E704" s="4"/>
      <c r="F704" s="188"/>
      <c r="G704" s="188"/>
      <c r="H704" s="4"/>
      <c r="I704" s="4"/>
      <c r="J704" s="4"/>
      <c r="K704" s="4"/>
      <c r="L704" s="4"/>
      <c r="M704" s="4"/>
      <c r="N704" s="4"/>
      <c r="O704" s="4"/>
      <c r="P704" s="4"/>
      <c r="Q704" s="4"/>
      <c r="R704" s="4"/>
      <c r="S704" s="4"/>
      <c r="T704" s="4"/>
      <c r="U704" s="4"/>
      <c r="V704" s="4"/>
      <c r="W704" s="4"/>
      <c r="X704" s="4"/>
      <c r="Y704" s="4"/>
      <c r="Z704" s="4"/>
    </row>
    <row r="705" ht="14.25" customHeight="1">
      <c r="A705" s="4"/>
      <c r="B705" s="4"/>
      <c r="C705" s="4"/>
      <c r="D705" s="4"/>
      <c r="E705" s="4"/>
      <c r="F705" s="188"/>
      <c r="G705" s="188"/>
      <c r="H705" s="4"/>
      <c r="I705" s="4"/>
      <c r="J705" s="4"/>
      <c r="K705" s="4"/>
      <c r="L705" s="4"/>
      <c r="M705" s="4"/>
      <c r="N705" s="4"/>
      <c r="O705" s="4"/>
      <c r="P705" s="4"/>
      <c r="Q705" s="4"/>
      <c r="R705" s="4"/>
      <c r="S705" s="4"/>
      <c r="T705" s="4"/>
      <c r="U705" s="4"/>
      <c r="V705" s="4"/>
      <c r="W705" s="4"/>
      <c r="X705" s="4"/>
      <c r="Y705" s="4"/>
      <c r="Z705" s="4"/>
    </row>
    <row r="706" ht="14.25" customHeight="1">
      <c r="A706" s="4"/>
      <c r="B706" s="4"/>
      <c r="C706" s="4"/>
      <c r="D706" s="4"/>
      <c r="E706" s="4"/>
      <c r="F706" s="188"/>
      <c r="G706" s="188"/>
      <c r="H706" s="4"/>
      <c r="I706" s="4"/>
      <c r="J706" s="4"/>
      <c r="K706" s="4"/>
      <c r="L706" s="4"/>
      <c r="M706" s="4"/>
      <c r="N706" s="4"/>
      <c r="O706" s="4"/>
      <c r="P706" s="4"/>
      <c r="Q706" s="4"/>
      <c r="R706" s="4"/>
      <c r="S706" s="4"/>
      <c r="T706" s="4"/>
      <c r="U706" s="4"/>
      <c r="V706" s="4"/>
      <c r="W706" s="4"/>
      <c r="X706" s="4"/>
      <c r="Y706" s="4"/>
      <c r="Z706" s="4"/>
    </row>
    <row r="707" ht="14.25" customHeight="1">
      <c r="A707" s="4"/>
      <c r="B707" s="4"/>
      <c r="C707" s="4"/>
      <c r="D707" s="4"/>
      <c r="E707" s="4"/>
      <c r="F707" s="188"/>
      <c r="G707" s="188"/>
      <c r="H707" s="4"/>
      <c r="I707" s="4"/>
      <c r="J707" s="4"/>
      <c r="K707" s="4"/>
      <c r="L707" s="4"/>
      <c r="M707" s="4"/>
      <c r="N707" s="4"/>
      <c r="O707" s="4"/>
      <c r="P707" s="4"/>
      <c r="Q707" s="4"/>
      <c r="R707" s="4"/>
      <c r="S707" s="4"/>
      <c r="T707" s="4"/>
      <c r="U707" s="4"/>
      <c r="V707" s="4"/>
      <c r="W707" s="4"/>
      <c r="X707" s="4"/>
      <c r="Y707" s="4"/>
      <c r="Z707" s="4"/>
    </row>
    <row r="708" ht="14.25" customHeight="1">
      <c r="A708" s="4"/>
      <c r="B708" s="4"/>
      <c r="C708" s="4"/>
      <c r="D708" s="4"/>
      <c r="E708" s="4"/>
      <c r="F708" s="188"/>
      <c r="G708" s="188"/>
      <c r="H708" s="4"/>
      <c r="I708" s="4"/>
      <c r="J708" s="4"/>
      <c r="K708" s="4"/>
      <c r="L708" s="4"/>
      <c r="M708" s="4"/>
      <c r="N708" s="4"/>
      <c r="O708" s="4"/>
      <c r="P708" s="4"/>
      <c r="Q708" s="4"/>
      <c r="R708" s="4"/>
      <c r="S708" s="4"/>
      <c r="T708" s="4"/>
      <c r="U708" s="4"/>
      <c r="V708" s="4"/>
      <c r="W708" s="4"/>
      <c r="X708" s="4"/>
      <c r="Y708" s="4"/>
      <c r="Z708" s="4"/>
    </row>
    <row r="709" ht="14.25" customHeight="1">
      <c r="A709" s="4"/>
      <c r="B709" s="4"/>
      <c r="C709" s="4"/>
      <c r="D709" s="4"/>
      <c r="E709" s="4"/>
      <c r="F709" s="188"/>
      <c r="G709" s="188"/>
      <c r="H709" s="4"/>
      <c r="I709" s="4"/>
      <c r="J709" s="4"/>
      <c r="K709" s="4"/>
      <c r="L709" s="4"/>
      <c r="M709" s="4"/>
      <c r="N709" s="4"/>
      <c r="O709" s="4"/>
      <c r="P709" s="4"/>
      <c r="Q709" s="4"/>
      <c r="R709" s="4"/>
      <c r="S709" s="4"/>
      <c r="T709" s="4"/>
      <c r="U709" s="4"/>
      <c r="V709" s="4"/>
      <c r="W709" s="4"/>
      <c r="X709" s="4"/>
      <c r="Y709" s="4"/>
      <c r="Z709" s="4"/>
    </row>
    <row r="710" ht="14.25" customHeight="1">
      <c r="A710" s="4"/>
      <c r="B710" s="4"/>
      <c r="C710" s="4"/>
      <c r="D710" s="4"/>
      <c r="E710" s="4"/>
      <c r="F710" s="188"/>
      <c r="G710" s="188"/>
      <c r="H710" s="4"/>
      <c r="I710" s="4"/>
      <c r="J710" s="4"/>
      <c r="K710" s="4"/>
      <c r="L710" s="4"/>
      <c r="M710" s="4"/>
      <c r="N710" s="4"/>
      <c r="O710" s="4"/>
      <c r="P710" s="4"/>
      <c r="Q710" s="4"/>
      <c r="R710" s="4"/>
      <c r="S710" s="4"/>
      <c r="T710" s="4"/>
      <c r="U710" s="4"/>
      <c r="V710" s="4"/>
      <c r="W710" s="4"/>
      <c r="X710" s="4"/>
      <c r="Y710" s="4"/>
      <c r="Z710" s="4"/>
    </row>
    <row r="711" ht="14.25" customHeight="1">
      <c r="A711" s="4"/>
      <c r="B711" s="4"/>
      <c r="C711" s="4"/>
      <c r="D711" s="4"/>
      <c r="E711" s="4"/>
      <c r="F711" s="188"/>
      <c r="G711" s="188"/>
      <c r="H711" s="4"/>
      <c r="I711" s="4"/>
      <c r="J711" s="4"/>
      <c r="K711" s="4"/>
      <c r="L711" s="4"/>
      <c r="M711" s="4"/>
      <c r="N711" s="4"/>
      <c r="O711" s="4"/>
      <c r="P711" s="4"/>
      <c r="Q711" s="4"/>
      <c r="R711" s="4"/>
      <c r="S711" s="4"/>
      <c r="T711" s="4"/>
      <c r="U711" s="4"/>
      <c r="V711" s="4"/>
      <c r="W711" s="4"/>
      <c r="X711" s="4"/>
      <c r="Y711" s="4"/>
      <c r="Z711" s="4"/>
    </row>
    <row r="712" ht="14.25" customHeight="1">
      <c r="A712" s="4"/>
      <c r="B712" s="4"/>
      <c r="C712" s="4"/>
      <c r="D712" s="4"/>
      <c r="E712" s="4"/>
      <c r="F712" s="188"/>
      <c r="G712" s="188"/>
      <c r="H712" s="4"/>
      <c r="I712" s="4"/>
      <c r="J712" s="4"/>
      <c r="K712" s="4"/>
      <c r="L712" s="4"/>
      <c r="M712" s="4"/>
      <c r="N712" s="4"/>
      <c r="O712" s="4"/>
      <c r="P712" s="4"/>
      <c r="Q712" s="4"/>
      <c r="R712" s="4"/>
      <c r="S712" s="4"/>
      <c r="T712" s="4"/>
      <c r="U712" s="4"/>
      <c r="V712" s="4"/>
      <c r="W712" s="4"/>
      <c r="X712" s="4"/>
      <c r="Y712" s="4"/>
      <c r="Z712" s="4"/>
    </row>
    <row r="713" ht="14.25" customHeight="1">
      <c r="A713" s="4"/>
      <c r="B713" s="4"/>
      <c r="C713" s="4"/>
      <c r="D713" s="4"/>
      <c r="E713" s="4"/>
      <c r="F713" s="188"/>
      <c r="G713" s="188"/>
      <c r="H713" s="4"/>
      <c r="I713" s="4"/>
      <c r="J713" s="4"/>
      <c r="K713" s="4"/>
      <c r="L713" s="4"/>
      <c r="M713" s="4"/>
      <c r="N713" s="4"/>
      <c r="O713" s="4"/>
      <c r="P713" s="4"/>
      <c r="Q713" s="4"/>
      <c r="R713" s="4"/>
      <c r="S713" s="4"/>
      <c r="T713" s="4"/>
      <c r="U713" s="4"/>
      <c r="V713" s="4"/>
      <c r="W713" s="4"/>
      <c r="X713" s="4"/>
      <c r="Y713" s="4"/>
      <c r="Z713" s="4"/>
    </row>
    <row r="714" ht="14.25" customHeight="1">
      <c r="A714" s="4"/>
      <c r="B714" s="4"/>
      <c r="C714" s="4"/>
      <c r="D714" s="4"/>
      <c r="E714" s="4"/>
      <c r="F714" s="188"/>
      <c r="G714" s="188"/>
      <c r="H714" s="4"/>
      <c r="I714" s="4"/>
      <c r="J714" s="4"/>
      <c r="K714" s="4"/>
      <c r="L714" s="4"/>
      <c r="M714" s="4"/>
      <c r="N714" s="4"/>
      <c r="O714" s="4"/>
      <c r="P714" s="4"/>
      <c r="Q714" s="4"/>
      <c r="R714" s="4"/>
      <c r="S714" s="4"/>
      <c r="T714" s="4"/>
      <c r="U714" s="4"/>
      <c r="V714" s="4"/>
      <c r="W714" s="4"/>
      <c r="X714" s="4"/>
      <c r="Y714" s="4"/>
      <c r="Z714" s="4"/>
    </row>
    <row r="715" ht="14.25" customHeight="1">
      <c r="A715" s="4"/>
      <c r="B715" s="4"/>
      <c r="C715" s="4"/>
      <c r="D715" s="4"/>
      <c r="E715" s="4"/>
      <c r="F715" s="188"/>
      <c r="G715" s="188"/>
      <c r="H715" s="4"/>
      <c r="I715" s="4"/>
      <c r="J715" s="4"/>
      <c r="K715" s="4"/>
      <c r="L715" s="4"/>
      <c r="M715" s="4"/>
      <c r="N715" s="4"/>
      <c r="O715" s="4"/>
      <c r="P715" s="4"/>
      <c r="Q715" s="4"/>
      <c r="R715" s="4"/>
      <c r="S715" s="4"/>
      <c r="T715" s="4"/>
      <c r="U715" s="4"/>
      <c r="V715" s="4"/>
      <c r="W715" s="4"/>
      <c r="X715" s="4"/>
      <c r="Y715" s="4"/>
      <c r="Z715" s="4"/>
    </row>
    <row r="716" ht="14.25" customHeight="1">
      <c r="A716" s="4"/>
      <c r="B716" s="4"/>
      <c r="C716" s="4"/>
      <c r="D716" s="4"/>
      <c r="E716" s="4"/>
      <c r="F716" s="188"/>
      <c r="G716" s="188"/>
      <c r="H716" s="4"/>
      <c r="I716" s="4"/>
      <c r="J716" s="4"/>
      <c r="K716" s="4"/>
      <c r="L716" s="4"/>
      <c r="M716" s="4"/>
      <c r="N716" s="4"/>
      <c r="O716" s="4"/>
      <c r="P716" s="4"/>
      <c r="Q716" s="4"/>
      <c r="R716" s="4"/>
      <c r="S716" s="4"/>
      <c r="T716" s="4"/>
      <c r="U716" s="4"/>
      <c r="V716" s="4"/>
      <c r="W716" s="4"/>
      <c r="X716" s="4"/>
      <c r="Y716" s="4"/>
      <c r="Z716" s="4"/>
    </row>
    <row r="717" ht="14.25" customHeight="1">
      <c r="A717" s="4"/>
      <c r="B717" s="4"/>
      <c r="C717" s="4"/>
      <c r="D717" s="4"/>
      <c r="E717" s="4"/>
      <c r="F717" s="188"/>
      <c r="G717" s="188"/>
      <c r="H717" s="4"/>
      <c r="I717" s="4"/>
      <c r="J717" s="4"/>
      <c r="K717" s="4"/>
      <c r="L717" s="4"/>
      <c r="M717" s="4"/>
      <c r="N717" s="4"/>
      <c r="O717" s="4"/>
      <c r="P717" s="4"/>
      <c r="Q717" s="4"/>
      <c r="R717" s="4"/>
      <c r="S717" s="4"/>
      <c r="T717" s="4"/>
      <c r="U717" s="4"/>
      <c r="V717" s="4"/>
      <c r="W717" s="4"/>
      <c r="X717" s="4"/>
      <c r="Y717" s="4"/>
      <c r="Z717" s="4"/>
    </row>
    <row r="718" ht="14.25" customHeight="1">
      <c r="A718" s="4"/>
      <c r="B718" s="4"/>
      <c r="C718" s="4"/>
      <c r="D718" s="4"/>
      <c r="E718" s="4"/>
      <c r="F718" s="188"/>
      <c r="G718" s="188"/>
      <c r="H718" s="4"/>
      <c r="I718" s="4"/>
      <c r="J718" s="4"/>
      <c r="K718" s="4"/>
      <c r="L718" s="4"/>
      <c r="M718" s="4"/>
      <c r="N718" s="4"/>
      <c r="O718" s="4"/>
      <c r="P718" s="4"/>
      <c r="Q718" s="4"/>
      <c r="R718" s="4"/>
      <c r="S718" s="4"/>
      <c r="T718" s="4"/>
      <c r="U718" s="4"/>
      <c r="V718" s="4"/>
      <c r="W718" s="4"/>
      <c r="X718" s="4"/>
      <c r="Y718" s="4"/>
      <c r="Z718" s="4"/>
    </row>
    <row r="719" ht="14.25" customHeight="1">
      <c r="A719" s="4"/>
      <c r="B719" s="4"/>
      <c r="C719" s="4"/>
      <c r="D719" s="4"/>
      <c r="E719" s="4"/>
      <c r="F719" s="188"/>
      <c r="G719" s="188"/>
      <c r="H719" s="4"/>
      <c r="I719" s="4"/>
      <c r="J719" s="4"/>
      <c r="K719" s="4"/>
      <c r="L719" s="4"/>
      <c r="M719" s="4"/>
      <c r="N719" s="4"/>
      <c r="O719" s="4"/>
      <c r="P719" s="4"/>
      <c r="Q719" s="4"/>
      <c r="R719" s="4"/>
      <c r="S719" s="4"/>
      <c r="T719" s="4"/>
      <c r="U719" s="4"/>
      <c r="V719" s="4"/>
      <c r="W719" s="4"/>
      <c r="X719" s="4"/>
      <c r="Y719" s="4"/>
      <c r="Z719" s="4"/>
    </row>
    <row r="720" ht="14.25" customHeight="1">
      <c r="A720" s="4"/>
      <c r="B720" s="4"/>
      <c r="C720" s="4"/>
      <c r="D720" s="4"/>
      <c r="E720" s="4"/>
      <c r="F720" s="188"/>
      <c r="G720" s="188"/>
      <c r="H720" s="4"/>
      <c r="I720" s="4"/>
      <c r="J720" s="4"/>
      <c r="K720" s="4"/>
      <c r="L720" s="4"/>
      <c r="M720" s="4"/>
      <c r="N720" s="4"/>
      <c r="O720" s="4"/>
      <c r="P720" s="4"/>
      <c r="Q720" s="4"/>
      <c r="R720" s="4"/>
      <c r="S720" s="4"/>
      <c r="T720" s="4"/>
      <c r="U720" s="4"/>
      <c r="V720" s="4"/>
      <c r="W720" s="4"/>
      <c r="X720" s="4"/>
      <c r="Y720" s="4"/>
      <c r="Z720" s="4"/>
    </row>
    <row r="721" ht="14.25" customHeight="1">
      <c r="A721" s="4"/>
      <c r="B721" s="4"/>
      <c r="C721" s="4"/>
      <c r="D721" s="4"/>
      <c r="E721" s="4"/>
      <c r="F721" s="188"/>
      <c r="G721" s="188"/>
      <c r="H721" s="4"/>
      <c r="I721" s="4"/>
      <c r="J721" s="4"/>
      <c r="K721" s="4"/>
      <c r="L721" s="4"/>
      <c r="M721" s="4"/>
      <c r="N721" s="4"/>
      <c r="O721" s="4"/>
      <c r="P721" s="4"/>
      <c r="Q721" s="4"/>
      <c r="R721" s="4"/>
      <c r="S721" s="4"/>
      <c r="T721" s="4"/>
      <c r="U721" s="4"/>
      <c r="V721" s="4"/>
      <c r="W721" s="4"/>
      <c r="X721" s="4"/>
      <c r="Y721" s="4"/>
      <c r="Z721" s="4"/>
    </row>
    <row r="722" ht="14.25" customHeight="1">
      <c r="A722" s="4"/>
      <c r="B722" s="4"/>
      <c r="C722" s="4"/>
      <c r="D722" s="4"/>
      <c r="E722" s="4"/>
      <c r="F722" s="188"/>
      <c r="G722" s="188"/>
      <c r="H722" s="4"/>
      <c r="I722" s="4"/>
      <c r="J722" s="4"/>
      <c r="K722" s="4"/>
      <c r="L722" s="4"/>
      <c r="M722" s="4"/>
      <c r="N722" s="4"/>
      <c r="O722" s="4"/>
      <c r="P722" s="4"/>
      <c r="Q722" s="4"/>
      <c r="R722" s="4"/>
      <c r="S722" s="4"/>
      <c r="T722" s="4"/>
      <c r="U722" s="4"/>
      <c r="V722" s="4"/>
      <c r="W722" s="4"/>
      <c r="X722" s="4"/>
      <c r="Y722" s="4"/>
      <c r="Z722" s="4"/>
    </row>
    <row r="723" ht="14.25" customHeight="1">
      <c r="A723" s="4"/>
      <c r="B723" s="4"/>
      <c r="C723" s="4"/>
      <c r="D723" s="4"/>
      <c r="E723" s="4"/>
      <c r="F723" s="188"/>
      <c r="G723" s="188"/>
      <c r="H723" s="4"/>
      <c r="I723" s="4"/>
      <c r="J723" s="4"/>
      <c r="K723" s="4"/>
      <c r="L723" s="4"/>
      <c r="M723" s="4"/>
      <c r="N723" s="4"/>
      <c r="O723" s="4"/>
      <c r="P723" s="4"/>
      <c r="Q723" s="4"/>
      <c r="R723" s="4"/>
      <c r="S723" s="4"/>
      <c r="T723" s="4"/>
      <c r="U723" s="4"/>
      <c r="V723" s="4"/>
      <c r="W723" s="4"/>
      <c r="X723" s="4"/>
      <c r="Y723" s="4"/>
      <c r="Z723" s="4"/>
    </row>
    <row r="724" ht="14.25" customHeight="1">
      <c r="A724" s="4"/>
      <c r="B724" s="4"/>
      <c r="C724" s="4"/>
      <c r="D724" s="4"/>
      <c r="E724" s="4"/>
      <c r="F724" s="188"/>
      <c r="G724" s="188"/>
      <c r="H724" s="4"/>
      <c r="I724" s="4"/>
      <c r="J724" s="4"/>
      <c r="K724" s="4"/>
      <c r="L724" s="4"/>
      <c r="M724" s="4"/>
      <c r="N724" s="4"/>
      <c r="O724" s="4"/>
      <c r="P724" s="4"/>
      <c r="Q724" s="4"/>
      <c r="R724" s="4"/>
      <c r="S724" s="4"/>
      <c r="T724" s="4"/>
      <c r="U724" s="4"/>
      <c r="V724" s="4"/>
      <c r="W724" s="4"/>
      <c r="X724" s="4"/>
      <c r="Y724" s="4"/>
      <c r="Z724" s="4"/>
    </row>
    <row r="725" ht="14.25" customHeight="1">
      <c r="A725" s="4"/>
      <c r="B725" s="4"/>
      <c r="C725" s="4"/>
      <c r="D725" s="4"/>
      <c r="E725" s="4"/>
      <c r="F725" s="188"/>
      <c r="G725" s="188"/>
      <c r="H725" s="4"/>
      <c r="I725" s="4"/>
      <c r="J725" s="4"/>
      <c r="K725" s="4"/>
      <c r="L725" s="4"/>
      <c r="M725" s="4"/>
      <c r="N725" s="4"/>
      <c r="O725" s="4"/>
      <c r="P725" s="4"/>
      <c r="Q725" s="4"/>
      <c r="R725" s="4"/>
      <c r="S725" s="4"/>
      <c r="T725" s="4"/>
      <c r="U725" s="4"/>
      <c r="V725" s="4"/>
      <c r="W725" s="4"/>
      <c r="X725" s="4"/>
      <c r="Y725" s="4"/>
      <c r="Z725" s="4"/>
    </row>
    <row r="726" ht="14.25" customHeight="1">
      <c r="A726" s="4"/>
      <c r="B726" s="4"/>
      <c r="C726" s="4"/>
      <c r="D726" s="4"/>
      <c r="E726" s="4"/>
      <c r="F726" s="188"/>
      <c r="G726" s="188"/>
      <c r="H726" s="4"/>
      <c r="I726" s="4"/>
      <c r="J726" s="4"/>
      <c r="K726" s="4"/>
      <c r="L726" s="4"/>
      <c r="M726" s="4"/>
      <c r="N726" s="4"/>
      <c r="O726" s="4"/>
      <c r="P726" s="4"/>
      <c r="Q726" s="4"/>
      <c r="R726" s="4"/>
      <c r="S726" s="4"/>
      <c r="T726" s="4"/>
      <c r="U726" s="4"/>
      <c r="V726" s="4"/>
      <c r="W726" s="4"/>
      <c r="X726" s="4"/>
      <c r="Y726" s="4"/>
      <c r="Z726" s="4"/>
    </row>
    <row r="727" ht="14.25" customHeight="1">
      <c r="A727" s="4"/>
      <c r="B727" s="4"/>
      <c r="C727" s="4"/>
      <c r="D727" s="4"/>
      <c r="E727" s="4"/>
      <c r="F727" s="188"/>
      <c r="G727" s="188"/>
      <c r="H727" s="4"/>
      <c r="I727" s="4"/>
      <c r="J727" s="4"/>
      <c r="K727" s="4"/>
      <c r="L727" s="4"/>
      <c r="M727" s="4"/>
      <c r="N727" s="4"/>
      <c r="O727" s="4"/>
      <c r="P727" s="4"/>
      <c r="Q727" s="4"/>
      <c r="R727" s="4"/>
      <c r="S727" s="4"/>
      <c r="T727" s="4"/>
      <c r="U727" s="4"/>
      <c r="V727" s="4"/>
      <c r="W727" s="4"/>
      <c r="X727" s="4"/>
      <c r="Y727" s="4"/>
      <c r="Z727" s="4"/>
    </row>
    <row r="728" ht="14.25" customHeight="1">
      <c r="A728" s="4"/>
      <c r="B728" s="4"/>
      <c r="C728" s="4"/>
      <c r="D728" s="4"/>
      <c r="E728" s="4"/>
      <c r="F728" s="188"/>
      <c r="G728" s="188"/>
      <c r="H728" s="4"/>
      <c r="I728" s="4"/>
      <c r="J728" s="4"/>
      <c r="K728" s="4"/>
      <c r="L728" s="4"/>
      <c r="M728" s="4"/>
      <c r="N728" s="4"/>
      <c r="O728" s="4"/>
      <c r="P728" s="4"/>
      <c r="Q728" s="4"/>
      <c r="R728" s="4"/>
      <c r="S728" s="4"/>
      <c r="T728" s="4"/>
      <c r="U728" s="4"/>
      <c r="V728" s="4"/>
      <c r="W728" s="4"/>
      <c r="X728" s="4"/>
      <c r="Y728" s="4"/>
      <c r="Z728" s="4"/>
    </row>
    <row r="729" ht="14.25" customHeight="1">
      <c r="A729" s="4"/>
      <c r="B729" s="4"/>
      <c r="C729" s="4"/>
      <c r="D729" s="4"/>
      <c r="E729" s="4"/>
      <c r="F729" s="188"/>
      <c r="G729" s="188"/>
      <c r="H729" s="4"/>
      <c r="I729" s="4"/>
      <c r="J729" s="4"/>
      <c r="K729" s="4"/>
      <c r="L729" s="4"/>
      <c r="M729" s="4"/>
      <c r="N729" s="4"/>
      <c r="O729" s="4"/>
      <c r="P729" s="4"/>
      <c r="Q729" s="4"/>
      <c r="R729" s="4"/>
      <c r="S729" s="4"/>
      <c r="T729" s="4"/>
      <c r="U729" s="4"/>
      <c r="V729" s="4"/>
      <c r="W729" s="4"/>
      <c r="X729" s="4"/>
      <c r="Y729" s="4"/>
      <c r="Z729" s="4"/>
    </row>
    <row r="730" ht="14.25" customHeight="1">
      <c r="A730" s="4"/>
      <c r="B730" s="4"/>
      <c r="C730" s="4"/>
      <c r="D730" s="4"/>
      <c r="E730" s="4"/>
      <c r="F730" s="188"/>
      <c r="G730" s="188"/>
      <c r="H730" s="4"/>
      <c r="I730" s="4"/>
      <c r="J730" s="4"/>
      <c r="K730" s="4"/>
      <c r="L730" s="4"/>
      <c r="M730" s="4"/>
      <c r="N730" s="4"/>
      <c r="O730" s="4"/>
      <c r="P730" s="4"/>
      <c r="Q730" s="4"/>
      <c r="R730" s="4"/>
      <c r="S730" s="4"/>
      <c r="T730" s="4"/>
      <c r="U730" s="4"/>
      <c r="V730" s="4"/>
      <c r="W730" s="4"/>
      <c r="X730" s="4"/>
      <c r="Y730" s="4"/>
      <c r="Z730" s="4"/>
    </row>
    <row r="731" ht="14.25" customHeight="1">
      <c r="A731" s="4"/>
      <c r="B731" s="4"/>
      <c r="C731" s="4"/>
      <c r="D731" s="4"/>
      <c r="E731" s="4"/>
      <c r="F731" s="188"/>
      <c r="G731" s="188"/>
      <c r="H731" s="4"/>
      <c r="I731" s="4"/>
      <c r="J731" s="4"/>
      <c r="K731" s="4"/>
      <c r="L731" s="4"/>
      <c r="M731" s="4"/>
      <c r="N731" s="4"/>
      <c r="O731" s="4"/>
      <c r="P731" s="4"/>
      <c r="Q731" s="4"/>
      <c r="R731" s="4"/>
      <c r="S731" s="4"/>
      <c r="T731" s="4"/>
      <c r="U731" s="4"/>
      <c r="V731" s="4"/>
      <c r="W731" s="4"/>
      <c r="X731" s="4"/>
      <c r="Y731" s="4"/>
      <c r="Z731" s="4"/>
    </row>
    <row r="732" ht="14.25" customHeight="1">
      <c r="A732" s="4"/>
      <c r="B732" s="4"/>
      <c r="C732" s="4"/>
      <c r="D732" s="4"/>
      <c r="E732" s="4"/>
      <c r="F732" s="188"/>
      <c r="G732" s="188"/>
      <c r="H732" s="4"/>
      <c r="I732" s="4"/>
      <c r="J732" s="4"/>
      <c r="K732" s="4"/>
      <c r="L732" s="4"/>
      <c r="M732" s="4"/>
      <c r="N732" s="4"/>
      <c r="O732" s="4"/>
      <c r="P732" s="4"/>
      <c r="Q732" s="4"/>
      <c r="R732" s="4"/>
      <c r="S732" s="4"/>
      <c r="T732" s="4"/>
      <c r="U732" s="4"/>
      <c r="V732" s="4"/>
      <c r="W732" s="4"/>
      <c r="X732" s="4"/>
      <c r="Y732" s="4"/>
      <c r="Z732" s="4"/>
    </row>
    <row r="733" ht="14.25" customHeight="1">
      <c r="A733" s="4"/>
      <c r="B733" s="4"/>
      <c r="C733" s="4"/>
      <c r="D733" s="4"/>
      <c r="E733" s="4"/>
      <c r="F733" s="188"/>
      <c r="G733" s="188"/>
      <c r="H733" s="4"/>
      <c r="I733" s="4"/>
      <c r="J733" s="4"/>
      <c r="K733" s="4"/>
      <c r="L733" s="4"/>
      <c r="M733" s="4"/>
      <c r="N733" s="4"/>
      <c r="O733" s="4"/>
      <c r="P733" s="4"/>
      <c r="Q733" s="4"/>
      <c r="R733" s="4"/>
      <c r="S733" s="4"/>
      <c r="T733" s="4"/>
      <c r="U733" s="4"/>
      <c r="V733" s="4"/>
      <c r="W733" s="4"/>
      <c r="X733" s="4"/>
      <c r="Y733" s="4"/>
      <c r="Z733" s="4"/>
    </row>
    <row r="734" ht="14.25" customHeight="1">
      <c r="A734" s="4"/>
      <c r="B734" s="4"/>
      <c r="C734" s="4"/>
      <c r="D734" s="4"/>
      <c r="E734" s="4"/>
      <c r="F734" s="188"/>
      <c r="G734" s="188"/>
      <c r="H734" s="4"/>
      <c r="I734" s="4"/>
      <c r="J734" s="4"/>
      <c r="K734" s="4"/>
      <c r="L734" s="4"/>
      <c r="M734" s="4"/>
      <c r="N734" s="4"/>
      <c r="O734" s="4"/>
      <c r="P734" s="4"/>
      <c r="Q734" s="4"/>
      <c r="R734" s="4"/>
      <c r="S734" s="4"/>
      <c r="T734" s="4"/>
      <c r="U734" s="4"/>
      <c r="V734" s="4"/>
      <c r="W734" s="4"/>
      <c r="X734" s="4"/>
      <c r="Y734" s="4"/>
      <c r="Z734" s="4"/>
    </row>
    <row r="735" ht="14.25" customHeight="1">
      <c r="A735" s="4"/>
      <c r="B735" s="4"/>
      <c r="C735" s="4"/>
      <c r="D735" s="4"/>
      <c r="E735" s="4"/>
      <c r="F735" s="188"/>
      <c r="G735" s="188"/>
      <c r="H735" s="4"/>
      <c r="I735" s="4"/>
      <c r="J735" s="4"/>
      <c r="K735" s="4"/>
      <c r="L735" s="4"/>
      <c r="M735" s="4"/>
      <c r="N735" s="4"/>
      <c r="O735" s="4"/>
      <c r="P735" s="4"/>
      <c r="Q735" s="4"/>
      <c r="R735" s="4"/>
      <c r="S735" s="4"/>
      <c r="T735" s="4"/>
      <c r="U735" s="4"/>
      <c r="V735" s="4"/>
      <c r="W735" s="4"/>
      <c r="X735" s="4"/>
      <c r="Y735" s="4"/>
      <c r="Z735" s="4"/>
    </row>
    <row r="736" ht="14.25" customHeight="1">
      <c r="A736" s="4"/>
      <c r="B736" s="4"/>
      <c r="C736" s="4"/>
      <c r="D736" s="4"/>
      <c r="E736" s="4"/>
      <c r="F736" s="188"/>
      <c r="G736" s="188"/>
      <c r="H736" s="4"/>
      <c r="I736" s="4"/>
      <c r="J736" s="4"/>
      <c r="K736" s="4"/>
      <c r="L736" s="4"/>
      <c r="M736" s="4"/>
      <c r="N736" s="4"/>
      <c r="O736" s="4"/>
      <c r="P736" s="4"/>
      <c r="Q736" s="4"/>
      <c r="R736" s="4"/>
      <c r="S736" s="4"/>
      <c r="T736" s="4"/>
      <c r="U736" s="4"/>
      <c r="V736" s="4"/>
      <c r="W736" s="4"/>
      <c r="X736" s="4"/>
      <c r="Y736" s="4"/>
      <c r="Z736" s="4"/>
    </row>
    <row r="737" ht="14.25" customHeight="1">
      <c r="A737" s="4"/>
      <c r="B737" s="4"/>
      <c r="C737" s="4"/>
      <c r="D737" s="4"/>
      <c r="E737" s="4"/>
      <c r="F737" s="188"/>
      <c r="G737" s="188"/>
      <c r="H737" s="4"/>
      <c r="I737" s="4"/>
      <c r="J737" s="4"/>
      <c r="K737" s="4"/>
      <c r="L737" s="4"/>
      <c r="M737" s="4"/>
      <c r="N737" s="4"/>
      <c r="O737" s="4"/>
      <c r="P737" s="4"/>
      <c r="Q737" s="4"/>
      <c r="R737" s="4"/>
      <c r="S737" s="4"/>
      <c r="T737" s="4"/>
      <c r="U737" s="4"/>
      <c r="V737" s="4"/>
      <c r="W737" s="4"/>
      <c r="X737" s="4"/>
      <c r="Y737" s="4"/>
      <c r="Z737" s="4"/>
    </row>
    <row r="738" ht="14.25" customHeight="1">
      <c r="A738" s="4"/>
      <c r="B738" s="4"/>
      <c r="C738" s="4"/>
      <c r="D738" s="4"/>
      <c r="E738" s="4"/>
      <c r="F738" s="188"/>
      <c r="G738" s="188"/>
      <c r="H738" s="4"/>
      <c r="I738" s="4"/>
      <c r="J738" s="4"/>
      <c r="K738" s="4"/>
      <c r="L738" s="4"/>
      <c r="M738" s="4"/>
      <c r="N738" s="4"/>
      <c r="O738" s="4"/>
      <c r="P738" s="4"/>
      <c r="Q738" s="4"/>
      <c r="R738" s="4"/>
      <c r="S738" s="4"/>
      <c r="T738" s="4"/>
      <c r="U738" s="4"/>
      <c r="V738" s="4"/>
      <c r="W738" s="4"/>
      <c r="X738" s="4"/>
      <c r="Y738" s="4"/>
      <c r="Z738" s="4"/>
    </row>
    <row r="739" ht="14.25" customHeight="1">
      <c r="A739" s="4"/>
      <c r="B739" s="4"/>
      <c r="C739" s="4"/>
      <c r="D739" s="4"/>
      <c r="E739" s="4"/>
      <c r="F739" s="188"/>
      <c r="G739" s="188"/>
      <c r="H739" s="4"/>
      <c r="I739" s="4"/>
      <c r="J739" s="4"/>
      <c r="K739" s="4"/>
      <c r="L739" s="4"/>
      <c r="M739" s="4"/>
      <c r="N739" s="4"/>
      <c r="O739" s="4"/>
      <c r="P739" s="4"/>
      <c r="Q739" s="4"/>
      <c r="R739" s="4"/>
      <c r="S739" s="4"/>
      <c r="T739" s="4"/>
      <c r="U739" s="4"/>
      <c r="V739" s="4"/>
      <c r="W739" s="4"/>
      <c r="X739" s="4"/>
      <c r="Y739" s="4"/>
      <c r="Z739" s="4"/>
    </row>
    <row r="740" ht="14.25" customHeight="1">
      <c r="A740" s="4"/>
      <c r="B740" s="4"/>
      <c r="C740" s="4"/>
      <c r="D740" s="4"/>
      <c r="E740" s="4"/>
      <c r="F740" s="188"/>
      <c r="G740" s="188"/>
      <c r="H740" s="4"/>
      <c r="I740" s="4"/>
      <c r="J740" s="4"/>
      <c r="K740" s="4"/>
      <c r="L740" s="4"/>
      <c r="M740" s="4"/>
      <c r="N740" s="4"/>
      <c r="O740" s="4"/>
      <c r="P740" s="4"/>
      <c r="Q740" s="4"/>
      <c r="R740" s="4"/>
      <c r="S740" s="4"/>
      <c r="T740" s="4"/>
      <c r="U740" s="4"/>
      <c r="V740" s="4"/>
      <c r="W740" s="4"/>
      <c r="X740" s="4"/>
      <c r="Y740" s="4"/>
      <c r="Z740" s="4"/>
    </row>
    <row r="741" ht="14.25" customHeight="1">
      <c r="A741" s="4"/>
      <c r="B741" s="4"/>
      <c r="C741" s="4"/>
      <c r="D741" s="4"/>
      <c r="E741" s="4"/>
      <c r="F741" s="188"/>
      <c r="G741" s="188"/>
      <c r="H741" s="4"/>
      <c r="I741" s="4"/>
      <c r="J741" s="4"/>
      <c r="K741" s="4"/>
      <c r="L741" s="4"/>
      <c r="M741" s="4"/>
      <c r="N741" s="4"/>
      <c r="O741" s="4"/>
      <c r="P741" s="4"/>
      <c r="Q741" s="4"/>
      <c r="R741" s="4"/>
      <c r="S741" s="4"/>
      <c r="T741" s="4"/>
      <c r="U741" s="4"/>
      <c r="V741" s="4"/>
      <c r="W741" s="4"/>
      <c r="X741" s="4"/>
      <c r="Y741" s="4"/>
      <c r="Z741" s="4"/>
    </row>
    <row r="742" ht="14.25" customHeight="1">
      <c r="A742" s="4"/>
      <c r="B742" s="4"/>
      <c r="C742" s="4"/>
      <c r="D742" s="4"/>
      <c r="E742" s="4"/>
      <c r="F742" s="188"/>
      <c r="G742" s="188"/>
      <c r="H742" s="4"/>
      <c r="I742" s="4"/>
      <c r="J742" s="4"/>
      <c r="K742" s="4"/>
      <c r="L742" s="4"/>
      <c r="M742" s="4"/>
      <c r="N742" s="4"/>
      <c r="O742" s="4"/>
      <c r="P742" s="4"/>
      <c r="Q742" s="4"/>
      <c r="R742" s="4"/>
      <c r="S742" s="4"/>
      <c r="T742" s="4"/>
      <c r="U742" s="4"/>
      <c r="V742" s="4"/>
      <c r="W742" s="4"/>
      <c r="X742" s="4"/>
      <c r="Y742" s="4"/>
      <c r="Z742" s="4"/>
    </row>
    <row r="743" ht="14.25" customHeight="1">
      <c r="A743" s="4"/>
      <c r="B743" s="4"/>
      <c r="C743" s="4"/>
      <c r="D743" s="4"/>
      <c r="E743" s="4"/>
      <c r="F743" s="188"/>
      <c r="G743" s="188"/>
      <c r="H743" s="4"/>
      <c r="I743" s="4"/>
      <c r="J743" s="4"/>
      <c r="K743" s="4"/>
      <c r="L743" s="4"/>
      <c r="M743" s="4"/>
      <c r="N743" s="4"/>
      <c r="O743" s="4"/>
      <c r="P743" s="4"/>
      <c r="Q743" s="4"/>
      <c r="R743" s="4"/>
      <c r="S743" s="4"/>
      <c r="T743" s="4"/>
      <c r="U743" s="4"/>
      <c r="V743" s="4"/>
      <c r="W743" s="4"/>
      <c r="X743" s="4"/>
      <c r="Y743" s="4"/>
      <c r="Z743" s="4"/>
    </row>
    <row r="744" ht="14.25" customHeight="1">
      <c r="A744" s="4"/>
      <c r="B744" s="4"/>
      <c r="C744" s="4"/>
      <c r="D744" s="4"/>
      <c r="E744" s="4"/>
      <c r="F744" s="188"/>
      <c r="G744" s="188"/>
      <c r="H744" s="4"/>
      <c r="I744" s="4"/>
      <c r="J744" s="4"/>
      <c r="K744" s="4"/>
      <c r="L744" s="4"/>
      <c r="M744" s="4"/>
      <c r="N744" s="4"/>
      <c r="O744" s="4"/>
      <c r="P744" s="4"/>
      <c r="Q744" s="4"/>
      <c r="R744" s="4"/>
      <c r="S744" s="4"/>
      <c r="T744" s="4"/>
      <c r="U744" s="4"/>
      <c r="V744" s="4"/>
      <c r="W744" s="4"/>
      <c r="X744" s="4"/>
      <c r="Y744" s="4"/>
      <c r="Z744" s="4"/>
    </row>
    <row r="745" ht="14.25" customHeight="1">
      <c r="A745" s="4"/>
      <c r="B745" s="4"/>
      <c r="C745" s="4"/>
      <c r="D745" s="4"/>
      <c r="E745" s="4"/>
      <c r="F745" s="188"/>
      <c r="G745" s="188"/>
      <c r="H745" s="4"/>
      <c r="I745" s="4"/>
      <c r="J745" s="4"/>
      <c r="K745" s="4"/>
      <c r="L745" s="4"/>
      <c r="M745" s="4"/>
      <c r="N745" s="4"/>
      <c r="O745" s="4"/>
      <c r="P745" s="4"/>
      <c r="Q745" s="4"/>
      <c r="R745" s="4"/>
      <c r="S745" s="4"/>
      <c r="T745" s="4"/>
      <c r="U745" s="4"/>
      <c r="V745" s="4"/>
      <c r="W745" s="4"/>
      <c r="X745" s="4"/>
      <c r="Y745" s="4"/>
      <c r="Z745" s="4"/>
    </row>
    <row r="746" ht="14.25" customHeight="1">
      <c r="A746" s="4"/>
      <c r="B746" s="4"/>
      <c r="C746" s="4"/>
      <c r="D746" s="4"/>
      <c r="E746" s="4"/>
      <c r="F746" s="188"/>
      <c r="G746" s="188"/>
      <c r="H746" s="4"/>
      <c r="I746" s="4"/>
      <c r="J746" s="4"/>
      <c r="K746" s="4"/>
      <c r="L746" s="4"/>
      <c r="M746" s="4"/>
      <c r="N746" s="4"/>
      <c r="O746" s="4"/>
      <c r="P746" s="4"/>
      <c r="Q746" s="4"/>
      <c r="R746" s="4"/>
      <c r="S746" s="4"/>
      <c r="T746" s="4"/>
      <c r="U746" s="4"/>
      <c r="V746" s="4"/>
      <c r="W746" s="4"/>
      <c r="X746" s="4"/>
      <c r="Y746" s="4"/>
      <c r="Z746" s="4"/>
    </row>
    <row r="747" ht="14.25" customHeight="1">
      <c r="A747" s="4"/>
      <c r="B747" s="4"/>
      <c r="C747" s="4"/>
      <c r="D747" s="4"/>
      <c r="E747" s="4"/>
      <c r="F747" s="188"/>
      <c r="G747" s="188"/>
      <c r="H747" s="4"/>
      <c r="I747" s="4"/>
      <c r="J747" s="4"/>
      <c r="K747" s="4"/>
      <c r="L747" s="4"/>
      <c r="M747" s="4"/>
      <c r="N747" s="4"/>
      <c r="O747" s="4"/>
      <c r="P747" s="4"/>
      <c r="Q747" s="4"/>
      <c r="R747" s="4"/>
      <c r="S747" s="4"/>
      <c r="T747" s="4"/>
      <c r="U747" s="4"/>
      <c r="V747" s="4"/>
      <c r="W747" s="4"/>
      <c r="X747" s="4"/>
      <c r="Y747" s="4"/>
      <c r="Z747" s="4"/>
    </row>
    <row r="748" ht="14.25" customHeight="1">
      <c r="A748" s="4"/>
      <c r="B748" s="4"/>
      <c r="C748" s="4"/>
      <c r="D748" s="4"/>
      <c r="E748" s="4"/>
      <c r="F748" s="188"/>
      <c r="G748" s="188"/>
      <c r="H748" s="4"/>
      <c r="I748" s="4"/>
      <c r="J748" s="4"/>
      <c r="K748" s="4"/>
      <c r="L748" s="4"/>
      <c r="M748" s="4"/>
      <c r="N748" s="4"/>
      <c r="O748" s="4"/>
      <c r="P748" s="4"/>
      <c r="Q748" s="4"/>
      <c r="R748" s="4"/>
      <c r="S748" s="4"/>
      <c r="T748" s="4"/>
      <c r="U748" s="4"/>
      <c r="V748" s="4"/>
      <c r="W748" s="4"/>
      <c r="X748" s="4"/>
      <c r="Y748" s="4"/>
      <c r="Z748" s="4"/>
    </row>
    <row r="749" ht="14.25" customHeight="1">
      <c r="A749" s="4"/>
      <c r="B749" s="4"/>
      <c r="C749" s="4"/>
      <c r="D749" s="4"/>
      <c r="E749" s="4"/>
      <c r="F749" s="188"/>
      <c r="G749" s="188"/>
      <c r="H749" s="4"/>
      <c r="I749" s="4"/>
      <c r="J749" s="4"/>
      <c r="K749" s="4"/>
      <c r="L749" s="4"/>
      <c r="M749" s="4"/>
      <c r="N749" s="4"/>
      <c r="O749" s="4"/>
      <c r="P749" s="4"/>
      <c r="Q749" s="4"/>
      <c r="R749" s="4"/>
      <c r="S749" s="4"/>
      <c r="T749" s="4"/>
      <c r="U749" s="4"/>
      <c r="V749" s="4"/>
      <c r="W749" s="4"/>
      <c r="X749" s="4"/>
      <c r="Y749" s="4"/>
      <c r="Z749" s="4"/>
    </row>
    <row r="750" ht="14.25" customHeight="1">
      <c r="A750" s="4"/>
      <c r="B750" s="4"/>
      <c r="C750" s="4"/>
      <c r="D750" s="4"/>
      <c r="E750" s="4"/>
      <c r="F750" s="188"/>
      <c r="G750" s="188"/>
      <c r="H750" s="4"/>
      <c r="I750" s="4"/>
      <c r="J750" s="4"/>
      <c r="K750" s="4"/>
      <c r="L750" s="4"/>
      <c r="M750" s="4"/>
      <c r="N750" s="4"/>
      <c r="O750" s="4"/>
      <c r="P750" s="4"/>
      <c r="Q750" s="4"/>
      <c r="R750" s="4"/>
      <c r="S750" s="4"/>
      <c r="T750" s="4"/>
      <c r="U750" s="4"/>
      <c r="V750" s="4"/>
      <c r="W750" s="4"/>
      <c r="X750" s="4"/>
      <c r="Y750" s="4"/>
      <c r="Z750" s="4"/>
    </row>
    <row r="751" ht="14.25" customHeight="1">
      <c r="A751" s="4"/>
      <c r="B751" s="4"/>
      <c r="C751" s="4"/>
      <c r="D751" s="4"/>
      <c r="E751" s="4"/>
      <c r="F751" s="188"/>
      <c r="G751" s="188"/>
      <c r="H751" s="4"/>
      <c r="I751" s="4"/>
      <c r="J751" s="4"/>
      <c r="K751" s="4"/>
      <c r="L751" s="4"/>
      <c r="M751" s="4"/>
      <c r="N751" s="4"/>
      <c r="O751" s="4"/>
      <c r="P751" s="4"/>
      <c r="Q751" s="4"/>
      <c r="R751" s="4"/>
      <c r="S751" s="4"/>
      <c r="T751" s="4"/>
      <c r="U751" s="4"/>
      <c r="V751" s="4"/>
      <c r="W751" s="4"/>
      <c r="X751" s="4"/>
      <c r="Y751" s="4"/>
      <c r="Z751" s="4"/>
    </row>
    <row r="752" ht="14.25" customHeight="1">
      <c r="A752" s="4"/>
      <c r="B752" s="4"/>
      <c r="C752" s="4"/>
      <c r="D752" s="4"/>
      <c r="E752" s="4"/>
      <c r="F752" s="188"/>
      <c r="G752" s="188"/>
      <c r="H752" s="4"/>
      <c r="I752" s="4"/>
      <c r="J752" s="4"/>
      <c r="K752" s="4"/>
      <c r="L752" s="4"/>
      <c r="M752" s="4"/>
      <c r="N752" s="4"/>
      <c r="O752" s="4"/>
      <c r="P752" s="4"/>
      <c r="Q752" s="4"/>
      <c r="R752" s="4"/>
      <c r="S752" s="4"/>
      <c r="T752" s="4"/>
      <c r="U752" s="4"/>
      <c r="V752" s="4"/>
      <c r="W752" s="4"/>
      <c r="X752" s="4"/>
      <c r="Y752" s="4"/>
      <c r="Z752" s="4"/>
    </row>
    <row r="753" ht="14.25" customHeight="1">
      <c r="A753" s="4"/>
      <c r="B753" s="4"/>
      <c r="C753" s="4"/>
      <c r="D753" s="4"/>
      <c r="E753" s="4"/>
      <c r="F753" s="188"/>
      <c r="G753" s="188"/>
      <c r="H753" s="4"/>
      <c r="I753" s="4"/>
      <c r="J753" s="4"/>
      <c r="K753" s="4"/>
      <c r="L753" s="4"/>
      <c r="M753" s="4"/>
      <c r="N753" s="4"/>
      <c r="O753" s="4"/>
      <c r="P753" s="4"/>
      <c r="Q753" s="4"/>
      <c r="R753" s="4"/>
      <c r="S753" s="4"/>
      <c r="T753" s="4"/>
      <c r="U753" s="4"/>
      <c r="V753" s="4"/>
      <c r="W753" s="4"/>
      <c r="X753" s="4"/>
      <c r="Y753" s="4"/>
      <c r="Z753" s="4"/>
    </row>
    <row r="754" ht="14.25" customHeight="1">
      <c r="A754" s="4"/>
      <c r="B754" s="4"/>
      <c r="C754" s="4"/>
      <c r="D754" s="4"/>
      <c r="E754" s="4"/>
      <c r="F754" s="188"/>
      <c r="G754" s="188"/>
      <c r="H754" s="4"/>
      <c r="I754" s="4"/>
      <c r="J754" s="4"/>
      <c r="K754" s="4"/>
      <c r="L754" s="4"/>
      <c r="M754" s="4"/>
      <c r="N754" s="4"/>
      <c r="O754" s="4"/>
      <c r="P754" s="4"/>
      <c r="Q754" s="4"/>
      <c r="R754" s="4"/>
      <c r="S754" s="4"/>
      <c r="T754" s="4"/>
      <c r="U754" s="4"/>
      <c r="V754" s="4"/>
      <c r="W754" s="4"/>
      <c r="X754" s="4"/>
      <c r="Y754" s="4"/>
      <c r="Z754" s="4"/>
    </row>
    <row r="755" ht="14.25" customHeight="1">
      <c r="A755" s="4"/>
      <c r="B755" s="4"/>
      <c r="C755" s="4"/>
      <c r="D755" s="4"/>
      <c r="E755" s="4"/>
      <c r="F755" s="188"/>
      <c r="G755" s="188"/>
      <c r="H755" s="4"/>
      <c r="I755" s="4"/>
      <c r="J755" s="4"/>
      <c r="K755" s="4"/>
      <c r="L755" s="4"/>
      <c r="M755" s="4"/>
      <c r="N755" s="4"/>
      <c r="O755" s="4"/>
      <c r="P755" s="4"/>
      <c r="Q755" s="4"/>
      <c r="R755" s="4"/>
      <c r="S755" s="4"/>
      <c r="T755" s="4"/>
      <c r="U755" s="4"/>
      <c r="V755" s="4"/>
      <c r="W755" s="4"/>
      <c r="X755" s="4"/>
      <c r="Y755" s="4"/>
      <c r="Z755" s="4"/>
    </row>
    <row r="756" ht="14.25" customHeight="1">
      <c r="A756" s="4"/>
      <c r="B756" s="4"/>
      <c r="C756" s="4"/>
      <c r="D756" s="4"/>
      <c r="E756" s="4"/>
      <c r="F756" s="188"/>
      <c r="G756" s="188"/>
      <c r="H756" s="4"/>
      <c r="I756" s="4"/>
      <c r="J756" s="4"/>
      <c r="K756" s="4"/>
      <c r="L756" s="4"/>
      <c r="M756" s="4"/>
      <c r="N756" s="4"/>
      <c r="O756" s="4"/>
      <c r="P756" s="4"/>
      <c r="Q756" s="4"/>
      <c r="R756" s="4"/>
      <c r="S756" s="4"/>
      <c r="T756" s="4"/>
      <c r="U756" s="4"/>
      <c r="V756" s="4"/>
      <c r="W756" s="4"/>
      <c r="X756" s="4"/>
      <c r="Y756" s="4"/>
      <c r="Z756" s="4"/>
    </row>
    <row r="757" ht="14.25" customHeight="1">
      <c r="A757" s="4"/>
      <c r="B757" s="4"/>
      <c r="C757" s="4"/>
      <c r="D757" s="4"/>
      <c r="E757" s="4"/>
      <c r="F757" s="188"/>
      <c r="G757" s="188"/>
      <c r="H757" s="4"/>
      <c r="I757" s="4"/>
      <c r="J757" s="4"/>
      <c r="K757" s="4"/>
      <c r="L757" s="4"/>
      <c r="M757" s="4"/>
      <c r="N757" s="4"/>
      <c r="O757" s="4"/>
      <c r="P757" s="4"/>
      <c r="Q757" s="4"/>
      <c r="R757" s="4"/>
      <c r="S757" s="4"/>
      <c r="T757" s="4"/>
      <c r="U757" s="4"/>
      <c r="V757" s="4"/>
      <c r="W757" s="4"/>
      <c r="X757" s="4"/>
      <c r="Y757" s="4"/>
      <c r="Z757" s="4"/>
    </row>
    <row r="758" ht="14.25" customHeight="1">
      <c r="A758" s="4"/>
      <c r="B758" s="4"/>
      <c r="C758" s="4"/>
      <c r="D758" s="4"/>
      <c r="E758" s="4"/>
      <c r="F758" s="188"/>
      <c r="G758" s="188"/>
      <c r="H758" s="4"/>
      <c r="I758" s="4"/>
      <c r="J758" s="4"/>
      <c r="K758" s="4"/>
      <c r="L758" s="4"/>
      <c r="M758" s="4"/>
      <c r="N758" s="4"/>
      <c r="O758" s="4"/>
      <c r="P758" s="4"/>
      <c r="Q758" s="4"/>
      <c r="R758" s="4"/>
      <c r="S758" s="4"/>
      <c r="T758" s="4"/>
      <c r="U758" s="4"/>
      <c r="V758" s="4"/>
      <c r="W758" s="4"/>
      <c r="X758" s="4"/>
      <c r="Y758" s="4"/>
      <c r="Z758" s="4"/>
    </row>
    <row r="759" ht="14.25" customHeight="1">
      <c r="A759" s="4"/>
      <c r="B759" s="4"/>
      <c r="C759" s="4"/>
      <c r="D759" s="4"/>
      <c r="E759" s="4"/>
      <c r="F759" s="188"/>
      <c r="G759" s="188"/>
      <c r="H759" s="4"/>
      <c r="I759" s="4"/>
      <c r="J759" s="4"/>
      <c r="K759" s="4"/>
      <c r="L759" s="4"/>
      <c r="M759" s="4"/>
      <c r="N759" s="4"/>
      <c r="O759" s="4"/>
      <c r="P759" s="4"/>
      <c r="Q759" s="4"/>
      <c r="R759" s="4"/>
      <c r="S759" s="4"/>
      <c r="T759" s="4"/>
      <c r="U759" s="4"/>
      <c r="V759" s="4"/>
      <c r="W759" s="4"/>
      <c r="X759" s="4"/>
      <c r="Y759" s="4"/>
      <c r="Z759" s="4"/>
    </row>
    <row r="760" ht="14.25" customHeight="1">
      <c r="A760" s="4"/>
      <c r="B760" s="4"/>
      <c r="C760" s="4"/>
      <c r="D760" s="4"/>
      <c r="E760" s="4"/>
      <c r="F760" s="188"/>
      <c r="G760" s="188"/>
      <c r="H760" s="4"/>
      <c r="I760" s="4"/>
      <c r="J760" s="4"/>
      <c r="K760" s="4"/>
      <c r="L760" s="4"/>
      <c r="M760" s="4"/>
      <c r="N760" s="4"/>
      <c r="O760" s="4"/>
      <c r="P760" s="4"/>
      <c r="Q760" s="4"/>
      <c r="R760" s="4"/>
      <c r="S760" s="4"/>
      <c r="T760" s="4"/>
      <c r="U760" s="4"/>
      <c r="V760" s="4"/>
      <c r="W760" s="4"/>
      <c r="X760" s="4"/>
      <c r="Y760" s="4"/>
      <c r="Z760" s="4"/>
    </row>
    <row r="761" ht="14.25" customHeight="1">
      <c r="A761" s="4"/>
      <c r="B761" s="4"/>
      <c r="C761" s="4"/>
      <c r="D761" s="4"/>
      <c r="E761" s="4"/>
      <c r="F761" s="188"/>
      <c r="G761" s="188"/>
      <c r="H761" s="4"/>
      <c r="I761" s="4"/>
      <c r="J761" s="4"/>
      <c r="K761" s="4"/>
      <c r="L761" s="4"/>
      <c r="M761" s="4"/>
      <c r="N761" s="4"/>
      <c r="O761" s="4"/>
      <c r="P761" s="4"/>
      <c r="Q761" s="4"/>
      <c r="R761" s="4"/>
      <c r="S761" s="4"/>
      <c r="T761" s="4"/>
      <c r="U761" s="4"/>
      <c r="V761" s="4"/>
      <c r="W761" s="4"/>
      <c r="X761" s="4"/>
      <c r="Y761" s="4"/>
      <c r="Z761" s="4"/>
    </row>
    <row r="762" ht="14.25" customHeight="1">
      <c r="A762" s="4"/>
      <c r="B762" s="4"/>
      <c r="C762" s="4"/>
      <c r="D762" s="4"/>
      <c r="E762" s="4"/>
      <c r="F762" s="188"/>
      <c r="G762" s="188"/>
      <c r="H762" s="4"/>
      <c r="I762" s="4"/>
      <c r="J762" s="4"/>
      <c r="K762" s="4"/>
      <c r="L762" s="4"/>
      <c r="M762" s="4"/>
      <c r="N762" s="4"/>
      <c r="O762" s="4"/>
      <c r="P762" s="4"/>
      <c r="Q762" s="4"/>
      <c r="R762" s="4"/>
      <c r="S762" s="4"/>
      <c r="T762" s="4"/>
      <c r="U762" s="4"/>
      <c r="V762" s="4"/>
      <c r="W762" s="4"/>
      <c r="X762" s="4"/>
      <c r="Y762" s="4"/>
      <c r="Z762" s="4"/>
    </row>
    <row r="763" ht="14.25" customHeight="1">
      <c r="A763" s="4"/>
      <c r="B763" s="4"/>
      <c r="C763" s="4"/>
      <c r="D763" s="4"/>
      <c r="E763" s="4"/>
      <c r="F763" s="188"/>
      <c r="G763" s="188"/>
      <c r="H763" s="4"/>
      <c r="I763" s="4"/>
      <c r="J763" s="4"/>
      <c r="K763" s="4"/>
      <c r="L763" s="4"/>
      <c r="M763" s="4"/>
      <c r="N763" s="4"/>
      <c r="O763" s="4"/>
      <c r="P763" s="4"/>
      <c r="Q763" s="4"/>
      <c r="R763" s="4"/>
      <c r="S763" s="4"/>
      <c r="T763" s="4"/>
      <c r="U763" s="4"/>
      <c r="V763" s="4"/>
      <c r="W763" s="4"/>
      <c r="X763" s="4"/>
      <c r="Y763" s="4"/>
      <c r="Z763" s="4"/>
    </row>
    <row r="764" ht="14.25" customHeight="1">
      <c r="A764" s="4"/>
      <c r="B764" s="4"/>
      <c r="C764" s="4"/>
      <c r="D764" s="4"/>
      <c r="E764" s="4"/>
      <c r="F764" s="188"/>
      <c r="G764" s="188"/>
      <c r="H764" s="4"/>
      <c r="I764" s="4"/>
      <c r="J764" s="4"/>
      <c r="K764" s="4"/>
      <c r="L764" s="4"/>
      <c r="M764" s="4"/>
      <c r="N764" s="4"/>
      <c r="O764" s="4"/>
      <c r="P764" s="4"/>
      <c r="Q764" s="4"/>
      <c r="R764" s="4"/>
      <c r="S764" s="4"/>
      <c r="T764" s="4"/>
      <c r="U764" s="4"/>
      <c r="V764" s="4"/>
      <c r="W764" s="4"/>
      <c r="X764" s="4"/>
      <c r="Y764" s="4"/>
      <c r="Z764" s="4"/>
    </row>
    <row r="765" ht="14.25" customHeight="1">
      <c r="A765" s="4"/>
      <c r="B765" s="4"/>
      <c r="C765" s="4"/>
      <c r="D765" s="4"/>
      <c r="E765" s="4"/>
      <c r="F765" s="188"/>
      <c r="G765" s="188"/>
      <c r="H765" s="4"/>
      <c r="I765" s="4"/>
      <c r="J765" s="4"/>
      <c r="K765" s="4"/>
      <c r="L765" s="4"/>
      <c r="M765" s="4"/>
      <c r="N765" s="4"/>
      <c r="O765" s="4"/>
      <c r="P765" s="4"/>
      <c r="Q765" s="4"/>
      <c r="R765" s="4"/>
      <c r="S765" s="4"/>
      <c r="T765" s="4"/>
      <c r="U765" s="4"/>
      <c r="V765" s="4"/>
      <c r="W765" s="4"/>
      <c r="X765" s="4"/>
      <c r="Y765" s="4"/>
      <c r="Z765" s="4"/>
    </row>
    <row r="766" ht="14.25" customHeight="1">
      <c r="A766" s="4"/>
      <c r="B766" s="4"/>
      <c r="C766" s="4"/>
      <c r="D766" s="4"/>
      <c r="E766" s="4"/>
      <c r="F766" s="188"/>
      <c r="G766" s="188"/>
      <c r="H766" s="4"/>
      <c r="I766" s="4"/>
      <c r="J766" s="4"/>
      <c r="K766" s="4"/>
      <c r="L766" s="4"/>
      <c r="M766" s="4"/>
      <c r="N766" s="4"/>
      <c r="O766" s="4"/>
      <c r="P766" s="4"/>
      <c r="Q766" s="4"/>
      <c r="R766" s="4"/>
      <c r="S766" s="4"/>
      <c r="T766" s="4"/>
      <c r="U766" s="4"/>
      <c r="V766" s="4"/>
      <c r="W766" s="4"/>
      <c r="X766" s="4"/>
      <c r="Y766" s="4"/>
      <c r="Z766" s="4"/>
    </row>
    <row r="767" ht="14.25" customHeight="1">
      <c r="A767" s="4"/>
      <c r="B767" s="4"/>
      <c r="C767" s="4"/>
      <c r="D767" s="4"/>
      <c r="E767" s="4"/>
      <c r="F767" s="188"/>
      <c r="G767" s="188"/>
      <c r="H767" s="4"/>
      <c r="I767" s="4"/>
      <c r="J767" s="4"/>
      <c r="K767" s="4"/>
      <c r="L767" s="4"/>
      <c r="M767" s="4"/>
      <c r="N767" s="4"/>
      <c r="O767" s="4"/>
      <c r="P767" s="4"/>
      <c r="Q767" s="4"/>
      <c r="R767" s="4"/>
      <c r="S767" s="4"/>
      <c r="T767" s="4"/>
      <c r="U767" s="4"/>
      <c r="V767" s="4"/>
      <c r="W767" s="4"/>
      <c r="X767" s="4"/>
      <c r="Y767" s="4"/>
      <c r="Z767" s="4"/>
    </row>
    <row r="768" ht="14.25" customHeight="1">
      <c r="A768" s="4"/>
      <c r="B768" s="4"/>
      <c r="C768" s="4"/>
      <c r="D768" s="4"/>
      <c r="E768" s="4"/>
      <c r="F768" s="188"/>
      <c r="G768" s="188"/>
      <c r="H768" s="4"/>
      <c r="I768" s="4"/>
      <c r="J768" s="4"/>
      <c r="K768" s="4"/>
      <c r="L768" s="4"/>
      <c r="M768" s="4"/>
      <c r="N768" s="4"/>
      <c r="O768" s="4"/>
      <c r="P768" s="4"/>
      <c r="Q768" s="4"/>
      <c r="R768" s="4"/>
      <c r="S768" s="4"/>
      <c r="T768" s="4"/>
      <c r="U768" s="4"/>
      <c r="V768" s="4"/>
      <c r="W768" s="4"/>
      <c r="X768" s="4"/>
      <c r="Y768" s="4"/>
      <c r="Z768" s="4"/>
    </row>
    <row r="769" ht="14.25" customHeight="1">
      <c r="A769" s="4"/>
      <c r="B769" s="4"/>
      <c r="C769" s="4"/>
      <c r="D769" s="4"/>
      <c r="E769" s="4"/>
      <c r="F769" s="188"/>
      <c r="G769" s="188"/>
      <c r="H769" s="4"/>
      <c r="I769" s="4"/>
      <c r="J769" s="4"/>
      <c r="K769" s="4"/>
      <c r="L769" s="4"/>
      <c r="M769" s="4"/>
      <c r="N769" s="4"/>
      <c r="O769" s="4"/>
      <c r="P769" s="4"/>
      <c r="Q769" s="4"/>
      <c r="R769" s="4"/>
      <c r="S769" s="4"/>
      <c r="T769" s="4"/>
      <c r="U769" s="4"/>
      <c r="V769" s="4"/>
      <c r="W769" s="4"/>
      <c r="X769" s="4"/>
      <c r="Y769" s="4"/>
      <c r="Z769" s="4"/>
    </row>
    <row r="770" ht="14.25" customHeight="1">
      <c r="A770" s="4"/>
      <c r="B770" s="4"/>
      <c r="C770" s="4"/>
      <c r="D770" s="4"/>
      <c r="E770" s="4"/>
      <c r="F770" s="188"/>
      <c r="G770" s="188"/>
      <c r="H770" s="4"/>
      <c r="I770" s="4"/>
      <c r="J770" s="4"/>
      <c r="K770" s="4"/>
      <c r="L770" s="4"/>
      <c r="M770" s="4"/>
      <c r="N770" s="4"/>
      <c r="O770" s="4"/>
      <c r="P770" s="4"/>
      <c r="Q770" s="4"/>
      <c r="R770" s="4"/>
      <c r="S770" s="4"/>
      <c r="T770" s="4"/>
      <c r="U770" s="4"/>
      <c r="V770" s="4"/>
      <c r="W770" s="4"/>
      <c r="X770" s="4"/>
      <c r="Y770" s="4"/>
      <c r="Z770" s="4"/>
    </row>
    <row r="771" ht="14.25" customHeight="1">
      <c r="A771" s="4"/>
      <c r="B771" s="4"/>
      <c r="C771" s="4"/>
      <c r="D771" s="4"/>
      <c r="E771" s="4"/>
      <c r="F771" s="188"/>
      <c r="G771" s="188"/>
      <c r="H771" s="4"/>
      <c r="I771" s="4"/>
      <c r="J771" s="4"/>
      <c r="K771" s="4"/>
      <c r="L771" s="4"/>
      <c r="M771" s="4"/>
      <c r="N771" s="4"/>
      <c r="O771" s="4"/>
      <c r="P771" s="4"/>
      <c r="Q771" s="4"/>
      <c r="R771" s="4"/>
      <c r="S771" s="4"/>
      <c r="T771" s="4"/>
      <c r="U771" s="4"/>
      <c r="V771" s="4"/>
      <c r="W771" s="4"/>
      <c r="X771" s="4"/>
      <c r="Y771" s="4"/>
      <c r="Z771" s="4"/>
    </row>
    <row r="772" ht="14.25" customHeight="1">
      <c r="A772" s="4"/>
      <c r="B772" s="4"/>
      <c r="C772" s="4"/>
      <c r="D772" s="4"/>
      <c r="E772" s="4"/>
      <c r="F772" s="188"/>
      <c r="G772" s="188"/>
      <c r="H772" s="4"/>
      <c r="I772" s="4"/>
      <c r="J772" s="4"/>
      <c r="K772" s="4"/>
      <c r="L772" s="4"/>
      <c r="M772" s="4"/>
      <c r="N772" s="4"/>
      <c r="O772" s="4"/>
      <c r="P772" s="4"/>
      <c r="Q772" s="4"/>
      <c r="R772" s="4"/>
      <c r="S772" s="4"/>
      <c r="T772" s="4"/>
      <c r="U772" s="4"/>
      <c r="V772" s="4"/>
      <c r="W772" s="4"/>
      <c r="X772" s="4"/>
      <c r="Y772" s="4"/>
      <c r="Z772" s="4"/>
    </row>
    <row r="773" ht="14.25" customHeight="1">
      <c r="A773" s="4"/>
      <c r="B773" s="4"/>
      <c r="C773" s="4"/>
      <c r="D773" s="4"/>
      <c r="E773" s="4"/>
      <c r="F773" s="188"/>
      <c r="G773" s="188"/>
      <c r="H773" s="4"/>
      <c r="I773" s="4"/>
      <c r="J773" s="4"/>
      <c r="K773" s="4"/>
      <c r="L773" s="4"/>
      <c r="M773" s="4"/>
      <c r="N773" s="4"/>
      <c r="O773" s="4"/>
      <c r="P773" s="4"/>
      <c r="Q773" s="4"/>
      <c r="R773" s="4"/>
      <c r="S773" s="4"/>
      <c r="T773" s="4"/>
      <c r="U773" s="4"/>
      <c r="V773" s="4"/>
      <c r="W773" s="4"/>
      <c r="X773" s="4"/>
      <c r="Y773" s="4"/>
      <c r="Z773" s="4"/>
    </row>
    <row r="774" ht="14.25" customHeight="1">
      <c r="A774" s="4"/>
      <c r="B774" s="4"/>
      <c r="C774" s="4"/>
      <c r="D774" s="4"/>
      <c r="E774" s="4"/>
      <c r="F774" s="188"/>
      <c r="G774" s="188"/>
      <c r="H774" s="4"/>
      <c r="I774" s="4"/>
      <c r="J774" s="4"/>
      <c r="K774" s="4"/>
      <c r="L774" s="4"/>
      <c r="M774" s="4"/>
      <c r="N774" s="4"/>
      <c r="O774" s="4"/>
      <c r="P774" s="4"/>
      <c r="Q774" s="4"/>
      <c r="R774" s="4"/>
      <c r="S774" s="4"/>
      <c r="T774" s="4"/>
      <c r="U774" s="4"/>
      <c r="V774" s="4"/>
      <c r="W774" s="4"/>
      <c r="X774" s="4"/>
      <c r="Y774" s="4"/>
      <c r="Z774" s="4"/>
    </row>
    <row r="775" ht="14.25" customHeight="1">
      <c r="A775" s="4"/>
      <c r="B775" s="4"/>
      <c r="C775" s="4"/>
      <c r="D775" s="4"/>
      <c r="E775" s="4"/>
      <c r="F775" s="188"/>
      <c r="G775" s="188"/>
      <c r="H775" s="4"/>
      <c r="I775" s="4"/>
      <c r="J775" s="4"/>
      <c r="K775" s="4"/>
      <c r="L775" s="4"/>
      <c r="M775" s="4"/>
      <c r="N775" s="4"/>
      <c r="O775" s="4"/>
      <c r="P775" s="4"/>
      <c r="Q775" s="4"/>
      <c r="R775" s="4"/>
      <c r="S775" s="4"/>
      <c r="T775" s="4"/>
      <c r="U775" s="4"/>
      <c r="V775" s="4"/>
      <c r="W775" s="4"/>
      <c r="X775" s="4"/>
      <c r="Y775" s="4"/>
      <c r="Z775" s="4"/>
    </row>
    <row r="776" ht="14.25" customHeight="1">
      <c r="A776" s="4"/>
      <c r="B776" s="4"/>
      <c r="C776" s="4"/>
      <c r="D776" s="4"/>
      <c r="E776" s="4"/>
      <c r="F776" s="188"/>
      <c r="G776" s="188"/>
      <c r="H776" s="4"/>
      <c r="I776" s="4"/>
      <c r="J776" s="4"/>
      <c r="K776" s="4"/>
      <c r="L776" s="4"/>
      <c r="M776" s="4"/>
      <c r="N776" s="4"/>
      <c r="O776" s="4"/>
      <c r="P776" s="4"/>
      <c r="Q776" s="4"/>
      <c r="R776" s="4"/>
      <c r="S776" s="4"/>
      <c r="T776" s="4"/>
      <c r="U776" s="4"/>
      <c r="V776" s="4"/>
      <c r="W776" s="4"/>
      <c r="X776" s="4"/>
      <c r="Y776" s="4"/>
      <c r="Z776" s="4"/>
    </row>
    <row r="777" ht="14.25" customHeight="1">
      <c r="A777" s="4"/>
      <c r="B777" s="4"/>
      <c r="C777" s="4"/>
      <c r="D777" s="4"/>
      <c r="E777" s="4"/>
      <c r="F777" s="188"/>
      <c r="G777" s="188"/>
      <c r="H777" s="4"/>
      <c r="I777" s="4"/>
      <c r="J777" s="4"/>
      <c r="K777" s="4"/>
      <c r="L777" s="4"/>
      <c r="M777" s="4"/>
      <c r="N777" s="4"/>
      <c r="O777" s="4"/>
      <c r="P777" s="4"/>
      <c r="Q777" s="4"/>
      <c r="R777" s="4"/>
      <c r="S777" s="4"/>
      <c r="T777" s="4"/>
      <c r="U777" s="4"/>
      <c r="V777" s="4"/>
      <c r="W777" s="4"/>
      <c r="X777" s="4"/>
      <c r="Y777" s="4"/>
      <c r="Z777" s="4"/>
    </row>
    <row r="778" ht="14.25" customHeight="1">
      <c r="A778" s="4"/>
      <c r="B778" s="4"/>
      <c r="C778" s="4"/>
      <c r="D778" s="4"/>
      <c r="E778" s="4"/>
      <c r="F778" s="188"/>
      <c r="G778" s="188"/>
      <c r="H778" s="4"/>
      <c r="I778" s="4"/>
      <c r="J778" s="4"/>
      <c r="K778" s="4"/>
      <c r="L778" s="4"/>
      <c r="M778" s="4"/>
      <c r="N778" s="4"/>
      <c r="O778" s="4"/>
      <c r="P778" s="4"/>
      <c r="Q778" s="4"/>
      <c r="R778" s="4"/>
      <c r="S778" s="4"/>
      <c r="T778" s="4"/>
      <c r="U778" s="4"/>
      <c r="V778" s="4"/>
      <c r="W778" s="4"/>
      <c r="X778" s="4"/>
      <c r="Y778" s="4"/>
      <c r="Z778" s="4"/>
    </row>
    <row r="779" ht="14.25" customHeight="1">
      <c r="A779" s="4"/>
      <c r="B779" s="4"/>
      <c r="C779" s="4"/>
      <c r="D779" s="4"/>
      <c r="E779" s="4"/>
      <c r="F779" s="188"/>
      <c r="G779" s="188"/>
      <c r="H779" s="4"/>
      <c r="I779" s="4"/>
      <c r="J779" s="4"/>
      <c r="K779" s="4"/>
      <c r="L779" s="4"/>
      <c r="M779" s="4"/>
      <c r="N779" s="4"/>
      <c r="O779" s="4"/>
      <c r="P779" s="4"/>
      <c r="Q779" s="4"/>
      <c r="R779" s="4"/>
      <c r="S779" s="4"/>
      <c r="T779" s="4"/>
      <c r="U779" s="4"/>
      <c r="V779" s="4"/>
      <c r="W779" s="4"/>
      <c r="X779" s="4"/>
      <c r="Y779" s="4"/>
      <c r="Z779" s="4"/>
    </row>
    <row r="780" ht="14.25" customHeight="1">
      <c r="A780" s="4"/>
      <c r="B780" s="4"/>
      <c r="C780" s="4"/>
      <c r="D780" s="4"/>
      <c r="E780" s="4"/>
      <c r="F780" s="188"/>
      <c r="G780" s="188"/>
      <c r="H780" s="4"/>
      <c r="I780" s="4"/>
      <c r="J780" s="4"/>
      <c r="K780" s="4"/>
      <c r="L780" s="4"/>
      <c r="M780" s="4"/>
      <c r="N780" s="4"/>
      <c r="O780" s="4"/>
      <c r="P780" s="4"/>
      <c r="Q780" s="4"/>
      <c r="R780" s="4"/>
      <c r="S780" s="4"/>
      <c r="T780" s="4"/>
      <c r="U780" s="4"/>
      <c r="V780" s="4"/>
      <c r="W780" s="4"/>
      <c r="X780" s="4"/>
      <c r="Y780" s="4"/>
      <c r="Z780" s="4"/>
    </row>
    <row r="781" ht="14.25" customHeight="1">
      <c r="A781" s="4"/>
      <c r="B781" s="4"/>
      <c r="C781" s="4"/>
      <c r="D781" s="4"/>
      <c r="E781" s="4"/>
      <c r="F781" s="188"/>
      <c r="G781" s="188"/>
      <c r="H781" s="4"/>
      <c r="I781" s="4"/>
      <c r="J781" s="4"/>
      <c r="K781" s="4"/>
      <c r="L781" s="4"/>
      <c r="M781" s="4"/>
      <c r="N781" s="4"/>
      <c r="O781" s="4"/>
      <c r="P781" s="4"/>
      <c r="Q781" s="4"/>
      <c r="R781" s="4"/>
      <c r="S781" s="4"/>
      <c r="T781" s="4"/>
      <c r="U781" s="4"/>
      <c r="V781" s="4"/>
      <c r="W781" s="4"/>
      <c r="X781" s="4"/>
      <c r="Y781" s="4"/>
      <c r="Z781" s="4"/>
    </row>
    <row r="782" ht="14.25" customHeight="1">
      <c r="A782" s="4"/>
      <c r="B782" s="4"/>
      <c r="C782" s="4"/>
      <c r="D782" s="4"/>
      <c r="E782" s="4"/>
      <c r="F782" s="188"/>
      <c r="G782" s="188"/>
      <c r="H782" s="4"/>
      <c r="I782" s="4"/>
      <c r="J782" s="4"/>
      <c r="K782" s="4"/>
      <c r="L782" s="4"/>
      <c r="M782" s="4"/>
      <c r="N782" s="4"/>
      <c r="O782" s="4"/>
      <c r="P782" s="4"/>
      <c r="Q782" s="4"/>
      <c r="R782" s="4"/>
      <c r="S782" s="4"/>
      <c r="T782" s="4"/>
      <c r="U782" s="4"/>
      <c r="V782" s="4"/>
      <c r="W782" s="4"/>
      <c r="X782" s="4"/>
      <c r="Y782" s="4"/>
      <c r="Z782" s="4"/>
    </row>
    <row r="783" ht="14.25" customHeight="1">
      <c r="A783" s="4"/>
      <c r="B783" s="4"/>
      <c r="C783" s="4"/>
      <c r="D783" s="4"/>
      <c r="E783" s="4"/>
      <c r="F783" s="188"/>
      <c r="G783" s="188"/>
      <c r="H783" s="4"/>
      <c r="I783" s="4"/>
      <c r="J783" s="4"/>
      <c r="K783" s="4"/>
      <c r="L783" s="4"/>
      <c r="M783" s="4"/>
      <c r="N783" s="4"/>
      <c r="O783" s="4"/>
      <c r="P783" s="4"/>
      <c r="Q783" s="4"/>
      <c r="R783" s="4"/>
      <c r="S783" s="4"/>
      <c r="T783" s="4"/>
      <c r="U783" s="4"/>
      <c r="V783" s="4"/>
      <c r="W783" s="4"/>
      <c r="X783" s="4"/>
      <c r="Y783" s="4"/>
      <c r="Z783" s="4"/>
    </row>
    <row r="784" ht="14.25" customHeight="1">
      <c r="A784" s="4"/>
      <c r="B784" s="4"/>
      <c r="C784" s="4"/>
      <c r="D784" s="4"/>
      <c r="E784" s="4"/>
      <c r="F784" s="188"/>
      <c r="G784" s="188"/>
      <c r="H784" s="4"/>
      <c r="I784" s="4"/>
      <c r="J784" s="4"/>
      <c r="K784" s="4"/>
      <c r="L784" s="4"/>
      <c r="M784" s="4"/>
      <c r="N784" s="4"/>
      <c r="O784" s="4"/>
      <c r="P784" s="4"/>
      <c r="Q784" s="4"/>
      <c r="R784" s="4"/>
      <c r="S784" s="4"/>
      <c r="T784" s="4"/>
      <c r="U784" s="4"/>
      <c r="V784" s="4"/>
      <c r="W784" s="4"/>
      <c r="X784" s="4"/>
      <c r="Y784" s="4"/>
      <c r="Z784" s="4"/>
    </row>
    <row r="785" ht="14.25" customHeight="1">
      <c r="A785" s="4"/>
      <c r="B785" s="4"/>
      <c r="C785" s="4"/>
      <c r="D785" s="4"/>
      <c r="E785" s="4"/>
      <c r="F785" s="188"/>
      <c r="G785" s="188"/>
      <c r="H785" s="4"/>
      <c r="I785" s="4"/>
      <c r="J785" s="4"/>
      <c r="K785" s="4"/>
      <c r="L785" s="4"/>
      <c r="M785" s="4"/>
      <c r="N785" s="4"/>
      <c r="O785" s="4"/>
      <c r="P785" s="4"/>
      <c r="Q785" s="4"/>
      <c r="R785" s="4"/>
      <c r="S785" s="4"/>
      <c r="T785" s="4"/>
      <c r="U785" s="4"/>
      <c r="V785" s="4"/>
      <c r="W785" s="4"/>
      <c r="X785" s="4"/>
      <c r="Y785" s="4"/>
      <c r="Z785" s="4"/>
    </row>
    <row r="786" ht="14.25" customHeight="1">
      <c r="A786" s="4"/>
      <c r="B786" s="4"/>
      <c r="C786" s="4"/>
      <c r="D786" s="4"/>
      <c r="E786" s="4"/>
      <c r="F786" s="188"/>
      <c r="G786" s="188"/>
      <c r="H786" s="4"/>
      <c r="I786" s="4"/>
      <c r="J786" s="4"/>
      <c r="K786" s="4"/>
      <c r="L786" s="4"/>
      <c r="M786" s="4"/>
      <c r="N786" s="4"/>
      <c r="O786" s="4"/>
      <c r="P786" s="4"/>
      <c r="Q786" s="4"/>
      <c r="R786" s="4"/>
      <c r="S786" s="4"/>
      <c r="T786" s="4"/>
      <c r="U786" s="4"/>
      <c r="V786" s="4"/>
      <c r="W786" s="4"/>
      <c r="X786" s="4"/>
      <c r="Y786" s="4"/>
      <c r="Z786" s="4"/>
    </row>
    <row r="787" ht="14.25" customHeight="1">
      <c r="A787" s="4"/>
      <c r="B787" s="4"/>
      <c r="C787" s="4"/>
      <c r="D787" s="4"/>
      <c r="E787" s="4"/>
      <c r="F787" s="188"/>
      <c r="G787" s="188"/>
      <c r="H787" s="4"/>
      <c r="I787" s="4"/>
      <c r="J787" s="4"/>
      <c r="K787" s="4"/>
      <c r="L787" s="4"/>
      <c r="M787" s="4"/>
      <c r="N787" s="4"/>
      <c r="O787" s="4"/>
      <c r="P787" s="4"/>
      <c r="Q787" s="4"/>
      <c r="R787" s="4"/>
      <c r="S787" s="4"/>
      <c r="T787" s="4"/>
      <c r="U787" s="4"/>
      <c r="V787" s="4"/>
      <c r="W787" s="4"/>
      <c r="X787" s="4"/>
      <c r="Y787" s="4"/>
      <c r="Z787" s="4"/>
    </row>
    <row r="788" ht="14.25" customHeight="1">
      <c r="A788" s="4"/>
      <c r="B788" s="4"/>
      <c r="C788" s="4"/>
      <c r="D788" s="4"/>
      <c r="E788" s="4"/>
      <c r="F788" s="188"/>
      <c r="G788" s="188"/>
      <c r="H788" s="4"/>
      <c r="I788" s="4"/>
      <c r="J788" s="4"/>
      <c r="K788" s="4"/>
      <c r="L788" s="4"/>
      <c r="M788" s="4"/>
      <c r="N788" s="4"/>
      <c r="O788" s="4"/>
      <c r="P788" s="4"/>
      <c r="Q788" s="4"/>
      <c r="R788" s="4"/>
      <c r="S788" s="4"/>
      <c r="T788" s="4"/>
      <c r="U788" s="4"/>
      <c r="V788" s="4"/>
      <c r="W788" s="4"/>
      <c r="X788" s="4"/>
      <c r="Y788" s="4"/>
      <c r="Z788" s="4"/>
    </row>
    <row r="789" ht="14.25" customHeight="1">
      <c r="A789" s="4"/>
      <c r="B789" s="4"/>
      <c r="C789" s="4"/>
      <c r="D789" s="4"/>
      <c r="E789" s="4"/>
      <c r="F789" s="188"/>
      <c r="G789" s="188"/>
      <c r="H789" s="4"/>
      <c r="I789" s="4"/>
      <c r="J789" s="4"/>
      <c r="K789" s="4"/>
      <c r="L789" s="4"/>
      <c r="M789" s="4"/>
      <c r="N789" s="4"/>
      <c r="O789" s="4"/>
      <c r="P789" s="4"/>
      <c r="Q789" s="4"/>
      <c r="R789" s="4"/>
      <c r="S789" s="4"/>
      <c r="T789" s="4"/>
      <c r="U789" s="4"/>
      <c r="V789" s="4"/>
      <c r="W789" s="4"/>
      <c r="X789" s="4"/>
      <c r="Y789" s="4"/>
      <c r="Z789" s="4"/>
    </row>
    <row r="790" ht="14.25" customHeight="1">
      <c r="A790" s="4"/>
      <c r="B790" s="4"/>
      <c r="C790" s="4"/>
      <c r="D790" s="4"/>
      <c r="E790" s="4"/>
      <c r="F790" s="188"/>
      <c r="G790" s="188"/>
      <c r="H790" s="4"/>
      <c r="I790" s="4"/>
      <c r="J790" s="4"/>
      <c r="K790" s="4"/>
      <c r="L790" s="4"/>
      <c r="M790" s="4"/>
      <c r="N790" s="4"/>
      <c r="O790" s="4"/>
      <c r="P790" s="4"/>
      <c r="Q790" s="4"/>
      <c r="R790" s="4"/>
      <c r="S790" s="4"/>
      <c r="T790" s="4"/>
      <c r="U790" s="4"/>
      <c r="V790" s="4"/>
      <c r="W790" s="4"/>
      <c r="X790" s="4"/>
      <c r="Y790" s="4"/>
      <c r="Z790" s="4"/>
    </row>
    <row r="791" ht="14.25" customHeight="1">
      <c r="A791" s="4"/>
      <c r="B791" s="4"/>
      <c r="C791" s="4"/>
      <c r="D791" s="4"/>
      <c r="E791" s="4"/>
      <c r="F791" s="188"/>
      <c r="G791" s="188"/>
      <c r="H791" s="4"/>
      <c r="I791" s="4"/>
      <c r="J791" s="4"/>
      <c r="K791" s="4"/>
      <c r="L791" s="4"/>
      <c r="M791" s="4"/>
      <c r="N791" s="4"/>
      <c r="O791" s="4"/>
      <c r="P791" s="4"/>
      <c r="Q791" s="4"/>
      <c r="R791" s="4"/>
      <c r="S791" s="4"/>
      <c r="T791" s="4"/>
      <c r="U791" s="4"/>
      <c r="V791" s="4"/>
      <c r="W791" s="4"/>
      <c r="X791" s="4"/>
      <c r="Y791" s="4"/>
      <c r="Z791" s="4"/>
    </row>
    <row r="792" ht="14.25" customHeight="1">
      <c r="A792" s="4"/>
      <c r="B792" s="4"/>
      <c r="C792" s="4"/>
      <c r="D792" s="4"/>
      <c r="E792" s="4"/>
      <c r="F792" s="188"/>
      <c r="G792" s="188"/>
      <c r="H792" s="4"/>
      <c r="I792" s="4"/>
      <c r="J792" s="4"/>
      <c r="K792" s="4"/>
      <c r="L792" s="4"/>
      <c r="M792" s="4"/>
      <c r="N792" s="4"/>
      <c r="O792" s="4"/>
      <c r="P792" s="4"/>
      <c r="Q792" s="4"/>
      <c r="R792" s="4"/>
      <c r="S792" s="4"/>
      <c r="T792" s="4"/>
      <c r="U792" s="4"/>
      <c r="V792" s="4"/>
      <c r="W792" s="4"/>
      <c r="X792" s="4"/>
      <c r="Y792" s="4"/>
      <c r="Z792" s="4"/>
    </row>
    <row r="793" ht="14.25" customHeight="1">
      <c r="A793" s="4"/>
      <c r="B793" s="4"/>
      <c r="C793" s="4"/>
      <c r="D793" s="4"/>
      <c r="E793" s="4"/>
      <c r="F793" s="188"/>
      <c r="G793" s="188"/>
      <c r="H793" s="4"/>
      <c r="I793" s="4"/>
      <c r="J793" s="4"/>
      <c r="K793" s="4"/>
      <c r="L793" s="4"/>
      <c r="M793" s="4"/>
      <c r="N793" s="4"/>
      <c r="O793" s="4"/>
      <c r="P793" s="4"/>
      <c r="Q793" s="4"/>
      <c r="R793" s="4"/>
      <c r="S793" s="4"/>
      <c r="T793" s="4"/>
      <c r="U793" s="4"/>
      <c r="V793" s="4"/>
      <c r="W793" s="4"/>
      <c r="X793" s="4"/>
      <c r="Y793" s="4"/>
      <c r="Z793" s="4"/>
    </row>
    <row r="794" ht="14.25" customHeight="1">
      <c r="A794" s="4"/>
      <c r="B794" s="4"/>
      <c r="C794" s="4"/>
      <c r="D794" s="4"/>
      <c r="E794" s="4"/>
      <c r="F794" s="188"/>
      <c r="G794" s="188"/>
      <c r="H794" s="4"/>
      <c r="I794" s="4"/>
      <c r="J794" s="4"/>
      <c r="K794" s="4"/>
      <c r="L794" s="4"/>
      <c r="M794" s="4"/>
      <c r="N794" s="4"/>
      <c r="O794" s="4"/>
      <c r="P794" s="4"/>
      <c r="Q794" s="4"/>
      <c r="R794" s="4"/>
      <c r="S794" s="4"/>
      <c r="T794" s="4"/>
      <c r="U794" s="4"/>
      <c r="V794" s="4"/>
      <c r="W794" s="4"/>
      <c r="X794" s="4"/>
      <c r="Y794" s="4"/>
      <c r="Z794" s="4"/>
    </row>
    <row r="795" ht="14.25" customHeight="1">
      <c r="A795" s="4"/>
      <c r="B795" s="4"/>
      <c r="C795" s="4"/>
      <c r="D795" s="4"/>
      <c r="E795" s="4"/>
      <c r="F795" s="188"/>
      <c r="G795" s="188"/>
      <c r="H795" s="4"/>
      <c r="I795" s="4"/>
      <c r="J795" s="4"/>
      <c r="K795" s="4"/>
      <c r="L795" s="4"/>
      <c r="M795" s="4"/>
      <c r="N795" s="4"/>
      <c r="O795" s="4"/>
      <c r="P795" s="4"/>
      <c r="Q795" s="4"/>
      <c r="R795" s="4"/>
      <c r="S795" s="4"/>
      <c r="T795" s="4"/>
      <c r="U795" s="4"/>
      <c r="V795" s="4"/>
      <c r="W795" s="4"/>
      <c r="X795" s="4"/>
      <c r="Y795" s="4"/>
      <c r="Z795" s="4"/>
    </row>
    <row r="796" ht="14.25" customHeight="1">
      <c r="A796" s="4"/>
      <c r="B796" s="4"/>
      <c r="C796" s="4"/>
      <c r="D796" s="4"/>
      <c r="E796" s="4"/>
      <c r="F796" s="188"/>
      <c r="G796" s="188"/>
      <c r="H796" s="4"/>
      <c r="I796" s="4"/>
      <c r="J796" s="4"/>
      <c r="K796" s="4"/>
      <c r="L796" s="4"/>
      <c r="M796" s="4"/>
      <c r="N796" s="4"/>
      <c r="O796" s="4"/>
      <c r="P796" s="4"/>
      <c r="Q796" s="4"/>
      <c r="R796" s="4"/>
      <c r="S796" s="4"/>
      <c r="T796" s="4"/>
      <c r="U796" s="4"/>
      <c r="V796" s="4"/>
      <c r="W796" s="4"/>
      <c r="X796" s="4"/>
      <c r="Y796" s="4"/>
      <c r="Z796" s="4"/>
    </row>
    <row r="797" ht="14.25" customHeight="1">
      <c r="A797" s="4"/>
      <c r="B797" s="4"/>
      <c r="C797" s="4"/>
      <c r="D797" s="4"/>
      <c r="E797" s="4"/>
      <c r="F797" s="188"/>
      <c r="G797" s="188"/>
      <c r="H797" s="4"/>
      <c r="I797" s="4"/>
      <c r="J797" s="4"/>
      <c r="K797" s="4"/>
      <c r="L797" s="4"/>
      <c r="M797" s="4"/>
      <c r="N797" s="4"/>
      <c r="O797" s="4"/>
      <c r="P797" s="4"/>
      <c r="Q797" s="4"/>
      <c r="R797" s="4"/>
      <c r="S797" s="4"/>
      <c r="T797" s="4"/>
      <c r="U797" s="4"/>
      <c r="V797" s="4"/>
      <c r="W797" s="4"/>
      <c r="X797" s="4"/>
      <c r="Y797" s="4"/>
      <c r="Z797" s="4"/>
    </row>
    <row r="798" ht="14.25" customHeight="1">
      <c r="A798" s="4"/>
      <c r="B798" s="4"/>
      <c r="C798" s="4"/>
      <c r="D798" s="4"/>
      <c r="E798" s="4"/>
      <c r="F798" s="188"/>
      <c r="G798" s="188"/>
      <c r="H798" s="4"/>
      <c r="I798" s="4"/>
      <c r="J798" s="4"/>
      <c r="K798" s="4"/>
      <c r="L798" s="4"/>
      <c r="M798" s="4"/>
      <c r="N798" s="4"/>
      <c r="O798" s="4"/>
      <c r="P798" s="4"/>
      <c r="Q798" s="4"/>
      <c r="R798" s="4"/>
      <c r="S798" s="4"/>
      <c r="T798" s="4"/>
      <c r="U798" s="4"/>
      <c r="V798" s="4"/>
      <c r="W798" s="4"/>
      <c r="X798" s="4"/>
      <c r="Y798" s="4"/>
      <c r="Z798" s="4"/>
    </row>
    <row r="799" ht="14.25" customHeight="1">
      <c r="A799" s="4"/>
      <c r="B799" s="4"/>
      <c r="C799" s="4"/>
      <c r="D799" s="4"/>
      <c r="E799" s="4"/>
      <c r="F799" s="188"/>
      <c r="G799" s="188"/>
      <c r="H799" s="4"/>
      <c r="I799" s="4"/>
      <c r="J799" s="4"/>
      <c r="K799" s="4"/>
      <c r="L799" s="4"/>
      <c r="M799" s="4"/>
      <c r="N799" s="4"/>
      <c r="O799" s="4"/>
      <c r="P799" s="4"/>
      <c r="Q799" s="4"/>
      <c r="R799" s="4"/>
      <c r="S799" s="4"/>
      <c r="T799" s="4"/>
      <c r="U799" s="4"/>
      <c r="V799" s="4"/>
      <c r="W799" s="4"/>
      <c r="X799" s="4"/>
      <c r="Y799" s="4"/>
      <c r="Z799" s="4"/>
    </row>
    <row r="800" ht="14.25" customHeight="1">
      <c r="A800" s="4"/>
      <c r="B800" s="4"/>
      <c r="C800" s="4"/>
      <c r="D800" s="4"/>
      <c r="E800" s="4"/>
      <c r="F800" s="188"/>
      <c r="G800" s="188"/>
      <c r="H800" s="4"/>
      <c r="I800" s="4"/>
      <c r="J800" s="4"/>
      <c r="K800" s="4"/>
      <c r="L800" s="4"/>
      <c r="M800" s="4"/>
      <c r="N800" s="4"/>
      <c r="O800" s="4"/>
      <c r="P800" s="4"/>
      <c r="Q800" s="4"/>
      <c r="R800" s="4"/>
      <c r="S800" s="4"/>
      <c r="T800" s="4"/>
      <c r="U800" s="4"/>
      <c r="V800" s="4"/>
      <c r="W800" s="4"/>
      <c r="X800" s="4"/>
      <c r="Y800" s="4"/>
      <c r="Z800" s="4"/>
    </row>
    <row r="801" ht="14.25" customHeight="1">
      <c r="A801" s="4"/>
      <c r="B801" s="4"/>
      <c r="C801" s="4"/>
      <c r="D801" s="4"/>
      <c r="E801" s="4"/>
      <c r="F801" s="188"/>
      <c r="G801" s="188"/>
      <c r="H801" s="4"/>
      <c r="I801" s="4"/>
      <c r="J801" s="4"/>
      <c r="K801" s="4"/>
      <c r="L801" s="4"/>
      <c r="M801" s="4"/>
      <c r="N801" s="4"/>
      <c r="O801" s="4"/>
      <c r="P801" s="4"/>
      <c r="Q801" s="4"/>
      <c r="R801" s="4"/>
      <c r="S801" s="4"/>
      <c r="T801" s="4"/>
      <c r="U801" s="4"/>
      <c r="V801" s="4"/>
      <c r="W801" s="4"/>
      <c r="X801" s="4"/>
      <c r="Y801" s="4"/>
      <c r="Z801" s="4"/>
    </row>
    <row r="802" ht="14.25" customHeight="1">
      <c r="A802" s="4"/>
      <c r="B802" s="4"/>
      <c r="C802" s="4"/>
      <c r="D802" s="4"/>
      <c r="E802" s="4"/>
      <c r="F802" s="188"/>
      <c r="G802" s="188"/>
      <c r="H802" s="4"/>
      <c r="I802" s="4"/>
      <c r="J802" s="4"/>
      <c r="K802" s="4"/>
      <c r="L802" s="4"/>
      <c r="M802" s="4"/>
      <c r="N802" s="4"/>
      <c r="O802" s="4"/>
      <c r="P802" s="4"/>
      <c r="Q802" s="4"/>
      <c r="R802" s="4"/>
      <c r="S802" s="4"/>
      <c r="T802" s="4"/>
      <c r="U802" s="4"/>
      <c r="V802" s="4"/>
      <c r="W802" s="4"/>
      <c r="X802" s="4"/>
      <c r="Y802" s="4"/>
      <c r="Z802" s="4"/>
    </row>
    <row r="803" ht="14.25" customHeight="1">
      <c r="A803" s="4"/>
      <c r="B803" s="4"/>
      <c r="C803" s="4"/>
      <c r="D803" s="4"/>
      <c r="E803" s="4"/>
      <c r="F803" s="188"/>
      <c r="G803" s="188"/>
      <c r="H803" s="4"/>
      <c r="I803" s="4"/>
      <c r="J803" s="4"/>
      <c r="K803" s="4"/>
      <c r="L803" s="4"/>
      <c r="M803" s="4"/>
      <c r="N803" s="4"/>
      <c r="O803" s="4"/>
      <c r="P803" s="4"/>
      <c r="Q803" s="4"/>
      <c r="R803" s="4"/>
      <c r="S803" s="4"/>
      <c r="T803" s="4"/>
      <c r="U803" s="4"/>
      <c r="V803" s="4"/>
      <c r="W803" s="4"/>
      <c r="X803" s="4"/>
      <c r="Y803" s="4"/>
      <c r="Z803" s="4"/>
    </row>
    <row r="804" ht="14.25" customHeight="1">
      <c r="A804" s="4"/>
      <c r="B804" s="4"/>
      <c r="C804" s="4"/>
      <c r="D804" s="4"/>
      <c r="E804" s="4"/>
      <c r="F804" s="188"/>
      <c r="G804" s="188"/>
      <c r="H804" s="4"/>
      <c r="I804" s="4"/>
      <c r="J804" s="4"/>
      <c r="K804" s="4"/>
      <c r="L804" s="4"/>
      <c r="M804" s="4"/>
      <c r="N804" s="4"/>
      <c r="O804" s="4"/>
      <c r="P804" s="4"/>
      <c r="Q804" s="4"/>
      <c r="R804" s="4"/>
      <c r="S804" s="4"/>
      <c r="T804" s="4"/>
      <c r="U804" s="4"/>
      <c r="V804" s="4"/>
      <c r="W804" s="4"/>
      <c r="X804" s="4"/>
      <c r="Y804" s="4"/>
      <c r="Z804" s="4"/>
    </row>
    <row r="805" ht="14.25" customHeight="1">
      <c r="A805" s="4"/>
      <c r="B805" s="4"/>
      <c r="C805" s="4"/>
      <c r="D805" s="4"/>
      <c r="E805" s="4"/>
      <c r="F805" s="188"/>
      <c r="G805" s="188"/>
      <c r="H805" s="4"/>
      <c r="I805" s="4"/>
      <c r="J805" s="4"/>
      <c r="K805" s="4"/>
      <c r="L805" s="4"/>
      <c r="M805" s="4"/>
      <c r="N805" s="4"/>
      <c r="O805" s="4"/>
      <c r="P805" s="4"/>
      <c r="Q805" s="4"/>
      <c r="R805" s="4"/>
      <c r="S805" s="4"/>
      <c r="T805" s="4"/>
      <c r="U805" s="4"/>
      <c r="V805" s="4"/>
      <c r="W805" s="4"/>
      <c r="X805" s="4"/>
      <c r="Y805" s="4"/>
      <c r="Z805" s="4"/>
    </row>
    <row r="806" ht="14.25" customHeight="1">
      <c r="A806" s="4"/>
      <c r="B806" s="4"/>
      <c r="C806" s="4"/>
      <c r="D806" s="4"/>
      <c r="E806" s="4"/>
      <c r="F806" s="188"/>
      <c r="G806" s="188"/>
      <c r="H806" s="4"/>
      <c r="I806" s="4"/>
      <c r="J806" s="4"/>
      <c r="K806" s="4"/>
      <c r="L806" s="4"/>
      <c r="M806" s="4"/>
      <c r="N806" s="4"/>
      <c r="O806" s="4"/>
      <c r="P806" s="4"/>
      <c r="Q806" s="4"/>
      <c r="R806" s="4"/>
      <c r="S806" s="4"/>
      <c r="T806" s="4"/>
      <c r="U806" s="4"/>
      <c r="V806" s="4"/>
      <c r="W806" s="4"/>
      <c r="X806" s="4"/>
      <c r="Y806" s="4"/>
      <c r="Z806" s="4"/>
    </row>
    <row r="807" ht="14.25" customHeight="1">
      <c r="A807" s="4"/>
      <c r="B807" s="4"/>
      <c r="C807" s="4"/>
      <c r="D807" s="4"/>
      <c r="E807" s="4"/>
      <c r="F807" s="188"/>
      <c r="G807" s="188"/>
      <c r="H807" s="4"/>
      <c r="I807" s="4"/>
      <c r="J807" s="4"/>
      <c r="K807" s="4"/>
      <c r="L807" s="4"/>
      <c r="M807" s="4"/>
      <c r="N807" s="4"/>
      <c r="O807" s="4"/>
      <c r="P807" s="4"/>
      <c r="Q807" s="4"/>
      <c r="R807" s="4"/>
      <c r="S807" s="4"/>
      <c r="T807" s="4"/>
      <c r="U807" s="4"/>
      <c r="V807" s="4"/>
      <c r="W807" s="4"/>
      <c r="X807" s="4"/>
      <c r="Y807" s="4"/>
      <c r="Z807" s="4"/>
    </row>
    <row r="808" ht="14.25" customHeight="1">
      <c r="A808" s="4"/>
      <c r="B808" s="4"/>
      <c r="C808" s="4"/>
      <c r="D808" s="4"/>
      <c r="E808" s="4"/>
      <c r="F808" s="188"/>
      <c r="G808" s="188"/>
      <c r="H808" s="4"/>
      <c r="I808" s="4"/>
      <c r="J808" s="4"/>
      <c r="K808" s="4"/>
      <c r="L808" s="4"/>
      <c r="M808" s="4"/>
      <c r="N808" s="4"/>
      <c r="O808" s="4"/>
      <c r="P808" s="4"/>
      <c r="Q808" s="4"/>
      <c r="R808" s="4"/>
      <c r="S808" s="4"/>
      <c r="T808" s="4"/>
      <c r="U808" s="4"/>
      <c r="V808" s="4"/>
      <c r="W808" s="4"/>
      <c r="X808" s="4"/>
      <c r="Y808" s="4"/>
      <c r="Z808" s="4"/>
    </row>
    <row r="809" ht="14.25" customHeight="1">
      <c r="A809" s="4"/>
      <c r="B809" s="4"/>
      <c r="C809" s="4"/>
      <c r="D809" s="4"/>
      <c r="E809" s="4"/>
      <c r="F809" s="188"/>
      <c r="G809" s="188"/>
      <c r="H809" s="4"/>
      <c r="I809" s="4"/>
      <c r="J809" s="4"/>
      <c r="K809" s="4"/>
      <c r="L809" s="4"/>
      <c r="M809" s="4"/>
      <c r="N809" s="4"/>
      <c r="O809" s="4"/>
      <c r="P809" s="4"/>
      <c r="Q809" s="4"/>
      <c r="R809" s="4"/>
      <c r="S809" s="4"/>
      <c r="T809" s="4"/>
      <c r="U809" s="4"/>
      <c r="V809" s="4"/>
      <c r="W809" s="4"/>
      <c r="X809" s="4"/>
      <c r="Y809" s="4"/>
      <c r="Z809" s="4"/>
    </row>
    <row r="810" ht="14.25" customHeight="1">
      <c r="A810" s="4"/>
      <c r="B810" s="4"/>
      <c r="C810" s="4"/>
      <c r="D810" s="4"/>
      <c r="E810" s="4"/>
      <c r="F810" s="188"/>
      <c r="G810" s="188"/>
      <c r="H810" s="4"/>
      <c r="I810" s="4"/>
      <c r="J810" s="4"/>
      <c r="K810" s="4"/>
      <c r="L810" s="4"/>
      <c r="M810" s="4"/>
      <c r="N810" s="4"/>
      <c r="O810" s="4"/>
      <c r="P810" s="4"/>
      <c r="Q810" s="4"/>
      <c r="R810" s="4"/>
      <c r="S810" s="4"/>
      <c r="T810" s="4"/>
      <c r="U810" s="4"/>
      <c r="V810" s="4"/>
      <c r="W810" s="4"/>
      <c r="X810" s="4"/>
      <c r="Y810" s="4"/>
      <c r="Z810" s="4"/>
    </row>
    <row r="811" ht="14.25" customHeight="1">
      <c r="A811" s="4"/>
      <c r="B811" s="4"/>
      <c r="C811" s="4"/>
      <c r="D811" s="4"/>
      <c r="E811" s="4"/>
      <c r="F811" s="188"/>
      <c r="G811" s="188"/>
      <c r="H811" s="4"/>
      <c r="I811" s="4"/>
      <c r="J811" s="4"/>
      <c r="K811" s="4"/>
      <c r="L811" s="4"/>
      <c r="M811" s="4"/>
      <c r="N811" s="4"/>
      <c r="O811" s="4"/>
      <c r="P811" s="4"/>
      <c r="Q811" s="4"/>
      <c r="R811" s="4"/>
      <c r="S811" s="4"/>
      <c r="T811" s="4"/>
      <c r="U811" s="4"/>
      <c r="V811" s="4"/>
      <c r="W811" s="4"/>
      <c r="X811" s="4"/>
      <c r="Y811" s="4"/>
      <c r="Z811" s="4"/>
    </row>
    <row r="812" ht="14.25" customHeight="1">
      <c r="A812" s="4"/>
      <c r="B812" s="4"/>
      <c r="C812" s="4"/>
      <c r="D812" s="4"/>
      <c r="E812" s="4"/>
      <c r="F812" s="188"/>
      <c r="G812" s="188"/>
      <c r="H812" s="4"/>
      <c r="I812" s="4"/>
      <c r="J812" s="4"/>
      <c r="K812" s="4"/>
      <c r="L812" s="4"/>
      <c r="M812" s="4"/>
      <c r="N812" s="4"/>
      <c r="O812" s="4"/>
      <c r="P812" s="4"/>
      <c r="Q812" s="4"/>
      <c r="R812" s="4"/>
      <c r="S812" s="4"/>
      <c r="T812" s="4"/>
      <c r="U812" s="4"/>
      <c r="V812" s="4"/>
      <c r="W812" s="4"/>
      <c r="X812" s="4"/>
      <c r="Y812" s="4"/>
      <c r="Z812" s="4"/>
    </row>
    <row r="813" ht="14.25" customHeight="1">
      <c r="A813" s="4"/>
      <c r="B813" s="4"/>
      <c r="C813" s="4"/>
      <c r="D813" s="4"/>
      <c r="E813" s="4"/>
      <c r="F813" s="188"/>
      <c r="G813" s="188"/>
      <c r="H813" s="4"/>
      <c r="I813" s="4"/>
      <c r="J813" s="4"/>
      <c r="K813" s="4"/>
      <c r="L813" s="4"/>
      <c r="M813" s="4"/>
      <c r="N813" s="4"/>
      <c r="O813" s="4"/>
      <c r="P813" s="4"/>
      <c r="Q813" s="4"/>
      <c r="R813" s="4"/>
      <c r="S813" s="4"/>
      <c r="T813" s="4"/>
      <c r="U813" s="4"/>
      <c r="V813" s="4"/>
      <c r="W813" s="4"/>
      <c r="X813" s="4"/>
      <c r="Y813" s="4"/>
      <c r="Z813" s="4"/>
    </row>
    <row r="814" ht="14.25" customHeight="1">
      <c r="A814" s="4"/>
      <c r="B814" s="4"/>
      <c r="C814" s="4"/>
      <c r="D814" s="4"/>
      <c r="E814" s="4"/>
      <c r="F814" s="188"/>
      <c r="G814" s="188"/>
      <c r="H814" s="4"/>
      <c r="I814" s="4"/>
      <c r="J814" s="4"/>
      <c r="K814" s="4"/>
      <c r="L814" s="4"/>
      <c r="M814" s="4"/>
      <c r="N814" s="4"/>
      <c r="O814" s="4"/>
      <c r="P814" s="4"/>
      <c r="Q814" s="4"/>
      <c r="R814" s="4"/>
      <c r="S814" s="4"/>
      <c r="T814" s="4"/>
      <c r="U814" s="4"/>
      <c r="V814" s="4"/>
      <c r="W814" s="4"/>
      <c r="X814" s="4"/>
      <c r="Y814" s="4"/>
      <c r="Z814" s="4"/>
    </row>
    <row r="815" ht="14.25" customHeight="1">
      <c r="A815" s="4"/>
      <c r="B815" s="4"/>
      <c r="C815" s="4"/>
      <c r="D815" s="4"/>
      <c r="E815" s="4"/>
      <c r="F815" s="188"/>
      <c r="G815" s="188"/>
      <c r="H815" s="4"/>
      <c r="I815" s="4"/>
      <c r="J815" s="4"/>
      <c r="K815" s="4"/>
      <c r="L815" s="4"/>
      <c r="M815" s="4"/>
      <c r="N815" s="4"/>
      <c r="O815" s="4"/>
      <c r="P815" s="4"/>
      <c r="Q815" s="4"/>
      <c r="R815" s="4"/>
      <c r="S815" s="4"/>
      <c r="T815" s="4"/>
      <c r="U815" s="4"/>
      <c r="V815" s="4"/>
      <c r="W815" s="4"/>
      <c r="X815" s="4"/>
      <c r="Y815" s="4"/>
      <c r="Z815" s="4"/>
    </row>
    <row r="816" ht="14.25" customHeight="1">
      <c r="A816" s="4"/>
      <c r="B816" s="4"/>
      <c r="C816" s="4"/>
      <c r="D816" s="4"/>
      <c r="E816" s="4"/>
      <c r="F816" s="188"/>
      <c r="G816" s="188"/>
      <c r="H816" s="4"/>
      <c r="I816" s="4"/>
      <c r="J816" s="4"/>
      <c r="K816" s="4"/>
      <c r="L816" s="4"/>
      <c r="M816" s="4"/>
      <c r="N816" s="4"/>
      <c r="O816" s="4"/>
      <c r="P816" s="4"/>
      <c r="Q816" s="4"/>
      <c r="R816" s="4"/>
      <c r="S816" s="4"/>
      <c r="T816" s="4"/>
      <c r="U816" s="4"/>
      <c r="V816" s="4"/>
      <c r="W816" s="4"/>
      <c r="X816" s="4"/>
      <c r="Y816" s="4"/>
      <c r="Z816" s="4"/>
    </row>
    <row r="817" ht="14.25" customHeight="1">
      <c r="A817" s="4"/>
      <c r="B817" s="4"/>
      <c r="C817" s="4"/>
      <c r="D817" s="4"/>
      <c r="E817" s="4"/>
      <c r="F817" s="188"/>
      <c r="G817" s="188"/>
      <c r="H817" s="4"/>
      <c r="I817" s="4"/>
      <c r="J817" s="4"/>
      <c r="K817" s="4"/>
      <c r="L817" s="4"/>
      <c r="M817" s="4"/>
      <c r="N817" s="4"/>
      <c r="O817" s="4"/>
      <c r="P817" s="4"/>
      <c r="Q817" s="4"/>
      <c r="R817" s="4"/>
      <c r="S817" s="4"/>
      <c r="T817" s="4"/>
      <c r="U817" s="4"/>
      <c r="V817" s="4"/>
      <c r="W817" s="4"/>
      <c r="X817" s="4"/>
      <c r="Y817" s="4"/>
      <c r="Z817" s="4"/>
    </row>
    <row r="818" ht="14.25" customHeight="1">
      <c r="A818" s="4"/>
      <c r="B818" s="4"/>
      <c r="C818" s="4"/>
      <c r="D818" s="4"/>
      <c r="E818" s="4"/>
      <c r="F818" s="188"/>
      <c r="G818" s="188"/>
      <c r="H818" s="4"/>
      <c r="I818" s="4"/>
      <c r="J818" s="4"/>
      <c r="K818" s="4"/>
      <c r="L818" s="4"/>
      <c r="M818" s="4"/>
      <c r="N818" s="4"/>
      <c r="O818" s="4"/>
      <c r="P818" s="4"/>
      <c r="Q818" s="4"/>
      <c r="R818" s="4"/>
      <c r="S818" s="4"/>
      <c r="T818" s="4"/>
      <c r="U818" s="4"/>
      <c r="V818" s="4"/>
      <c r="W818" s="4"/>
      <c r="X818" s="4"/>
      <c r="Y818" s="4"/>
      <c r="Z818" s="4"/>
    </row>
    <row r="819" ht="14.25" customHeight="1">
      <c r="A819" s="4"/>
      <c r="B819" s="4"/>
      <c r="C819" s="4"/>
      <c r="D819" s="4"/>
      <c r="E819" s="4"/>
      <c r="F819" s="188"/>
      <c r="G819" s="188"/>
      <c r="H819" s="4"/>
      <c r="I819" s="4"/>
      <c r="J819" s="4"/>
      <c r="K819" s="4"/>
      <c r="L819" s="4"/>
      <c r="M819" s="4"/>
      <c r="N819" s="4"/>
      <c r="O819" s="4"/>
      <c r="P819" s="4"/>
      <c r="Q819" s="4"/>
      <c r="R819" s="4"/>
      <c r="S819" s="4"/>
      <c r="T819" s="4"/>
      <c r="U819" s="4"/>
      <c r="V819" s="4"/>
      <c r="W819" s="4"/>
      <c r="X819" s="4"/>
      <c r="Y819" s="4"/>
      <c r="Z819" s="4"/>
    </row>
    <row r="820" ht="14.25" customHeight="1">
      <c r="A820" s="4"/>
      <c r="B820" s="4"/>
      <c r="C820" s="4"/>
      <c r="D820" s="4"/>
      <c r="E820" s="4"/>
      <c r="F820" s="188"/>
      <c r="G820" s="188"/>
      <c r="H820" s="4"/>
      <c r="I820" s="4"/>
      <c r="J820" s="4"/>
      <c r="K820" s="4"/>
      <c r="L820" s="4"/>
      <c r="M820" s="4"/>
      <c r="N820" s="4"/>
      <c r="O820" s="4"/>
      <c r="P820" s="4"/>
      <c r="Q820" s="4"/>
      <c r="R820" s="4"/>
      <c r="S820" s="4"/>
      <c r="T820" s="4"/>
      <c r="U820" s="4"/>
      <c r="V820" s="4"/>
      <c r="W820" s="4"/>
      <c r="X820" s="4"/>
      <c r="Y820" s="4"/>
      <c r="Z820" s="4"/>
    </row>
    <row r="821" ht="14.25" customHeight="1">
      <c r="A821" s="4"/>
      <c r="B821" s="4"/>
      <c r="C821" s="4"/>
      <c r="D821" s="4"/>
      <c r="E821" s="4"/>
      <c r="F821" s="188"/>
      <c r="G821" s="188"/>
      <c r="H821" s="4"/>
      <c r="I821" s="4"/>
      <c r="J821" s="4"/>
      <c r="K821" s="4"/>
      <c r="L821" s="4"/>
      <c r="M821" s="4"/>
      <c r="N821" s="4"/>
      <c r="O821" s="4"/>
      <c r="P821" s="4"/>
      <c r="Q821" s="4"/>
      <c r="R821" s="4"/>
      <c r="S821" s="4"/>
      <c r="T821" s="4"/>
      <c r="U821" s="4"/>
      <c r="V821" s="4"/>
      <c r="W821" s="4"/>
      <c r="X821" s="4"/>
      <c r="Y821" s="4"/>
      <c r="Z821" s="4"/>
    </row>
    <row r="822" ht="14.25" customHeight="1">
      <c r="A822" s="4"/>
      <c r="B822" s="4"/>
      <c r="C822" s="4"/>
      <c r="D822" s="4"/>
      <c r="E822" s="4"/>
      <c r="F822" s="188"/>
      <c r="G822" s="188"/>
      <c r="H822" s="4"/>
      <c r="I822" s="4"/>
      <c r="J822" s="4"/>
      <c r="K822" s="4"/>
      <c r="L822" s="4"/>
      <c r="M822" s="4"/>
      <c r="N822" s="4"/>
      <c r="O822" s="4"/>
      <c r="P822" s="4"/>
      <c r="Q822" s="4"/>
      <c r="R822" s="4"/>
      <c r="S822" s="4"/>
      <c r="T822" s="4"/>
      <c r="U822" s="4"/>
      <c r="V822" s="4"/>
      <c r="W822" s="4"/>
      <c r="X822" s="4"/>
      <c r="Y822" s="4"/>
      <c r="Z822" s="4"/>
    </row>
    <row r="823" ht="14.25" customHeight="1">
      <c r="A823" s="4"/>
      <c r="B823" s="4"/>
      <c r="C823" s="4"/>
      <c r="D823" s="4"/>
      <c r="E823" s="4"/>
      <c r="F823" s="188"/>
      <c r="G823" s="188"/>
      <c r="H823" s="4"/>
      <c r="I823" s="4"/>
      <c r="J823" s="4"/>
      <c r="K823" s="4"/>
      <c r="L823" s="4"/>
      <c r="M823" s="4"/>
      <c r="N823" s="4"/>
      <c r="O823" s="4"/>
      <c r="P823" s="4"/>
      <c r="Q823" s="4"/>
      <c r="R823" s="4"/>
      <c r="S823" s="4"/>
      <c r="T823" s="4"/>
      <c r="U823" s="4"/>
      <c r="V823" s="4"/>
      <c r="W823" s="4"/>
      <c r="X823" s="4"/>
      <c r="Y823" s="4"/>
      <c r="Z823" s="4"/>
    </row>
    <row r="824" ht="14.25" customHeight="1">
      <c r="A824" s="4"/>
      <c r="B824" s="4"/>
      <c r="C824" s="4"/>
      <c r="D824" s="4"/>
      <c r="E824" s="4"/>
      <c r="F824" s="188"/>
      <c r="G824" s="188"/>
      <c r="H824" s="4"/>
      <c r="I824" s="4"/>
      <c r="J824" s="4"/>
      <c r="K824" s="4"/>
      <c r="L824" s="4"/>
      <c r="M824" s="4"/>
      <c r="N824" s="4"/>
      <c r="O824" s="4"/>
      <c r="P824" s="4"/>
      <c r="Q824" s="4"/>
      <c r="R824" s="4"/>
      <c r="S824" s="4"/>
      <c r="T824" s="4"/>
      <c r="U824" s="4"/>
      <c r="V824" s="4"/>
      <c r="W824" s="4"/>
      <c r="X824" s="4"/>
      <c r="Y824" s="4"/>
      <c r="Z824" s="4"/>
    </row>
    <row r="825" ht="14.25" customHeight="1">
      <c r="A825" s="4"/>
      <c r="B825" s="4"/>
      <c r="C825" s="4"/>
      <c r="D825" s="4"/>
      <c r="E825" s="4"/>
      <c r="F825" s="188"/>
      <c r="G825" s="188"/>
      <c r="H825" s="4"/>
      <c r="I825" s="4"/>
      <c r="J825" s="4"/>
      <c r="K825" s="4"/>
      <c r="L825" s="4"/>
      <c r="M825" s="4"/>
      <c r="N825" s="4"/>
      <c r="O825" s="4"/>
      <c r="P825" s="4"/>
      <c r="Q825" s="4"/>
      <c r="R825" s="4"/>
      <c r="S825" s="4"/>
      <c r="T825" s="4"/>
      <c r="U825" s="4"/>
      <c r="V825" s="4"/>
      <c r="W825" s="4"/>
      <c r="X825" s="4"/>
      <c r="Y825" s="4"/>
      <c r="Z825" s="4"/>
    </row>
    <row r="826" ht="14.25" customHeight="1">
      <c r="A826" s="4"/>
      <c r="B826" s="4"/>
      <c r="C826" s="4"/>
      <c r="D826" s="4"/>
      <c r="E826" s="4"/>
      <c r="F826" s="188"/>
      <c r="G826" s="188"/>
      <c r="H826" s="4"/>
      <c r="I826" s="4"/>
      <c r="J826" s="4"/>
      <c r="K826" s="4"/>
      <c r="L826" s="4"/>
      <c r="M826" s="4"/>
      <c r="N826" s="4"/>
      <c r="O826" s="4"/>
      <c r="P826" s="4"/>
      <c r="Q826" s="4"/>
      <c r="R826" s="4"/>
      <c r="S826" s="4"/>
      <c r="T826" s="4"/>
      <c r="U826" s="4"/>
      <c r="V826" s="4"/>
      <c r="W826" s="4"/>
      <c r="X826" s="4"/>
      <c r="Y826" s="4"/>
      <c r="Z826" s="4"/>
    </row>
    <row r="827" ht="14.25" customHeight="1">
      <c r="A827" s="4"/>
      <c r="B827" s="4"/>
      <c r="C827" s="4"/>
      <c r="D827" s="4"/>
      <c r="E827" s="4"/>
      <c r="F827" s="188"/>
      <c r="G827" s="188"/>
      <c r="H827" s="4"/>
      <c r="I827" s="4"/>
      <c r="J827" s="4"/>
      <c r="K827" s="4"/>
      <c r="L827" s="4"/>
      <c r="M827" s="4"/>
      <c r="N827" s="4"/>
      <c r="O827" s="4"/>
      <c r="P827" s="4"/>
      <c r="Q827" s="4"/>
      <c r="R827" s="4"/>
      <c r="S827" s="4"/>
      <c r="T827" s="4"/>
      <c r="U827" s="4"/>
      <c r="V827" s="4"/>
      <c r="W827" s="4"/>
      <c r="X827" s="4"/>
      <c r="Y827" s="4"/>
      <c r="Z827" s="4"/>
    </row>
    <row r="828" ht="14.25" customHeight="1">
      <c r="A828" s="4"/>
      <c r="B828" s="4"/>
      <c r="C828" s="4"/>
      <c r="D828" s="4"/>
      <c r="E828" s="4"/>
      <c r="F828" s="188"/>
      <c r="G828" s="188"/>
      <c r="H828" s="4"/>
      <c r="I828" s="4"/>
      <c r="J828" s="4"/>
      <c r="K828" s="4"/>
      <c r="L828" s="4"/>
      <c r="M828" s="4"/>
      <c r="N828" s="4"/>
      <c r="O828" s="4"/>
      <c r="P828" s="4"/>
      <c r="Q828" s="4"/>
      <c r="R828" s="4"/>
      <c r="S828" s="4"/>
      <c r="T828" s="4"/>
      <c r="U828" s="4"/>
      <c r="V828" s="4"/>
      <c r="W828" s="4"/>
      <c r="X828" s="4"/>
      <c r="Y828" s="4"/>
      <c r="Z828" s="4"/>
    </row>
    <row r="829" ht="14.25" customHeight="1">
      <c r="A829" s="4"/>
      <c r="B829" s="4"/>
      <c r="C829" s="4"/>
      <c r="D829" s="4"/>
      <c r="E829" s="4"/>
      <c r="F829" s="188"/>
      <c r="G829" s="188"/>
      <c r="H829" s="4"/>
      <c r="I829" s="4"/>
      <c r="J829" s="4"/>
      <c r="K829" s="4"/>
      <c r="L829" s="4"/>
      <c r="M829" s="4"/>
      <c r="N829" s="4"/>
      <c r="O829" s="4"/>
      <c r="P829" s="4"/>
      <c r="Q829" s="4"/>
      <c r="R829" s="4"/>
      <c r="S829" s="4"/>
      <c r="T829" s="4"/>
      <c r="U829" s="4"/>
      <c r="V829" s="4"/>
      <c r="W829" s="4"/>
      <c r="X829" s="4"/>
      <c r="Y829" s="4"/>
      <c r="Z829" s="4"/>
    </row>
    <row r="830" ht="14.25" customHeight="1">
      <c r="A830" s="4"/>
      <c r="B830" s="4"/>
      <c r="C830" s="4"/>
      <c r="D830" s="4"/>
      <c r="E830" s="4"/>
      <c r="F830" s="188"/>
      <c r="G830" s="188"/>
      <c r="H830" s="4"/>
      <c r="I830" s="4"/>
      <c r="J830" s="4"/>
      <c r="K830" s="4"/>
      <c r="L830" s="4"/>
      <c r="M830" s="4"/>
      <c r="N830" s="4"/>
      <c r="O830" s="4"/>
      <c r="P830" s="4"/>
      <c r="Q830" s="4"/>
      <c r="R830" s="4"/>
      <c r="S830" s="4"/>
      <c r="T830" s="4"/>
      <c r="U830" s="4"/>
      <c r="V830" s="4"/>
      <c r="W830" s="4"/>
      <c r="X830" s="4"/>
      <c r="Y830" s="4"/>
      <c r="Z830" s="4"/>
    </row>
    <row r="831" ht="14.25" customHeight="1">
      <c r="A831" s="4"/>
      <c r="B831" s="4"/>
      <c r="C831" s="4"/>
      <c r="D831" s="4"/>
      <c r="E831" s="4"/>
      <c r="F831" s="188"/>
      <c r="G831" s="188"/>
      <c r="H831" s="4"/>
      <c r="I831" s="4"/>
      <c r="J831" s="4"/>
      <c r="K831" s="4"/>
      <c r="L831" s="4"/>
      <c r="M831" s="4"/>
      <c r="N831" s="4"/>
      <c r="O831" s="4"/>
      <c r="P831" s="4"/>
      <c r="Q831" s="4"/>
      <c r="R831" s="4"/>
      <c r="S831" s="4"/>
      <c r="T831" s="4"/>
      <c r="U831" s="4"/>
      <c r="V831" s="4"/>
      <c r="W831" s="4"/>
      <c r="X831" s="4"/>
      <c r="Y831" s="4"/>
      <c r="Z831" s="4"/>
    </row>
    <row r="832" ht="14.25" customHeight="1">
      <c r="A832" s="4"/>
      <c r="B832" s="4"/>
      <c r="C832" s="4"/>
      <c r="D832" s="4"/>
      <c r="E832" s="4"/>
      <c r="F832" s="188"/>
      <c r="G832" s="188"/>
      <c r="H832" s="4"/>
      <c r="I832" s="4"/>
      <c r="J832" s="4"/>
      <c r="K832" s="4"/>
      <c r="L832" s="4"/>
      <c r="M832" s="4"/>
      <c r="N832" s="4"/>
      <c r="O832" s="4"/>
      <c r="P832" s="4"/>
      <c r="Q832" s="4"/>
      <c r="R832" s="4"/>
      <c r="S832" s="4"/>
      <c r="T832" s="4"/>
      <c r="U832" s="4"/>
      <c r="V832" s="4"/>
      <c r="W832" s="4"/>
      <c r="X832" s="4"/>
      <c r="Y832" s="4"/>
      <c r="Z832" s="4"/>
    </row>
    <row r="833" ht="14.25" customHeight="1">
      <c r="A833" s="4"/>
      <c r="B833" s="4"/>
      <c r="C833" s="4"/>
      <c r="D833" s="4"/>
      <c r="E833" s="4"/>
      <c r="F833" s="188"/>
      <c r="G833" s="188"/>
      <c r="H833" s="4"/>
      <c r="I833" s="4"/>
      <c r="J833" s="4"/>
      <c r="K833" s="4"/>
      <c r="L833" s="4"/>
      <c r="M833" s="4"/>
      <c r="N833" s="4"/>
      <c r="O833" s="4"/>
      <c r="P833" s="4"/>
      <c r="Q833" s="4"/>
      <c r="R833" s="4"/>
      <c r="S833" s="4"/>
      <c r="T833" s="4"/>
      <c r="U833" s="4"/>
      <c r="V833" s="4"/>
      <c r="W833" s="4"/>
      <c r="X833" s="4"/>
      <c r="Y833" s="4"/>
      <c r="Z833" s="4"/>
    </row>
    <row r="834" ht="14.25" customHeight="1">
      <c r="A834" s="4"/>
      <c r="B834" s="4"/>
      <c r="C834" s="4"/>
      <c r="D834" s="4"/>
      <c r="E834" s="4"/>
      <c r="F834" s="188"/>
      <c r="G834" s="188"/>
      <c r="H834" s="4"/>
      <c r="I834" s="4"/>
      <c r="J834" s="4"/>
      <c r="K834" s="4"/>
      <c r="L834" s="4"/>
      <c r="M834" s="4"/>
      <c r="N834" s="4"/>
      <c r="O834" s="4"/>
      <c r="P834" s="4"/>
      <c r="Q834" s="4"/>
      <c r="R834" s="4"/>
      <c r="S834" s="4"/>
      <c r="T834" s="4"/>
      <c r="U834" s="4"/>
      <c r="V834" s="4"/>
      <c r="W834" s="4"/>
      <c r="X834" s="4"/>
      <c r="Y834" s="4"/>
      <c r="Z834" s="4"/>
    </row>
    <row r="835" ht="14.25" customHeight="1">
      <c r="A835" s="4"/>
      <c r="B835" s="4"/>
      <c r="C835" s="4"/>
      <c r="D835" s="4"/>
      <c r="E835" s="4"/>
      <c r="F835" s="188"/>
      <c r="G835" s="188"/>
      <c r="H835" s="4"/>
      <c r="I835" s="4"/>
      <c r="J835" s="4"/>
      <c r="K835" s="4"/>
      <c r="L835" s="4"/>
      <c r="M835" s="4"/>
      <c r="N835" s="4"/>
      <c r="O835" s="4"/>
      <c r="P835" s="4"/>
      <c r="Q835" s="4"/>
      <c r="R835" s="4"/>
      <c r="S835" s="4"/>
      <c r="T835" s="4"/>
      <c r="U835" s="4"/>
      <c r="V835" s="4"/>
      <c r="W835" s="4"/>
      <c r="X835" s="4"/>
      <c r="Y835" s="4"/>
      <c r="Z835" s="4"/>
    </row>
    <row r="836" ht="14.25" customHeight="1">
      <c r="A836" s="4"/>
      <c r="B836" s="4"/>
      <c r="C836" s="4"/>
      <c r="D836" s="4"/>
      <c r="E836" s="4"/>
      <c r="F836" s="188"/>
      <c r="G836" s="188"/>
      <c r="H836" s="4"/>
      <c r="I836" s="4"/>
      <c r="J836" s="4"/>
      <c r="K836" s="4"/>
      <c r="L836" s="4"/>
      <c r="M836" s="4"/>
      <c r="N836" s="4"/>
      <c r="O836" s="4"/>
      <c r="P836" s="4"/>
      <c r="Q836" s="4"/>
      <c r="R836" s="4"/>
      <c r="S836" s="4"/>
      <c r="T836" s="4"/>
      <c r="U836" s="4"/>
      <c r="V836" s="4"/>
      <c r="W836" s="4"/>
      <c r="X836" s="4"/>
      <c r="Y836" s="4"/>
      <c r="Z836" s="4"/>
    </row>
    <row r="837" ht="14.25" customHeight="1">
      <c r="A837" s="4"/>
      <c r="B837" s="4"/>
      <c r="C837" s="4"/>
      <c r="D837" s="4"/>
      <c r="E837" s="4"/>
      <c r="F837" s="188"/>
      <c r="G837" s="188"/>
      <c r="H837" s="4"/>
      <c r="I837" s="4"/>
      <c r="J837" s="4"/>
      <c r="K837" s="4"/>
      <c r="L837" s="4"/>
      <c r="M837" s="4"/>
      <c r="N837" s="4"/>
      <c r="O837" s="4"/>
      <c r="P837" s="4"/>
      <c r="Q837" s="4"/>
      <c r="R837" s="4"/>
      <c r="S837" s="4"/>
      <c r="T837" s="4"/>
      <c r="U837" s="4"/>
      <c r="V837" s="4"/>
      <c r="W837" s="4"/>
      <c r="X837" s="4"/>
      <c r="Y837" s="4"/>
      <c r="Z837" s="4"/>
    </row>
    <row r="838" ht="14.25" customHeight="1">
      <c r="A838" s="4"/>
      <c r="B838" s="4"/>
      <c r="C838" s="4"/>
      <c r="D838" s="4"/>
      <c r="E838" s="4"/>
      <c r="F838" s="188"/>
      <c r="G838" s="188"/>
      <c r="H838" s="4"/>
      <c r="I838" s="4"/>
      <c r="J838" s="4"/>
      <c r="K838" s="4"/>
      <c r="L838" s="4"/>
      <c r="M838" s="4"/>
      <c r="N838" s="4"/>
      <c r="O838" s="4"/>
      <c r="P838" s="4"/>
      <c r="Q838" s="4"/>
      <c r="R838" s="4"/>
      <c r="S838" s="4"/>
      <c r="T838" s="4"/>
      <c r="U838" s="4"/>
      <c r="V838" s="4"/>
      <c r="W838" s="4"/>
      <c r="X838" s="4"/>
      <c r="Y838" s="4"/>
      <c r="Z838" s="4"/>
    </row>
    <row r="839" ht="14.25" customHeight="1">
      <c r="A839" s="4"/>
      <c r="B839" s="4"/>
      <c r="C839" s="4"/>
      <c r="D839" s="4"/>
      <c r="E839" s="4"/>
      <c r="F839" s="188"/>
      <c r="G839" s="188"/>
      <c r="H839" s="4"/>
      <c r="I839" s="4"/>
      <c r="J839" s="4"/>
      <c r="K839" s="4"/>
      <c r="L839" s="4"/>
      <c r="M839" s="4"/>
      <c r="N839" s="4"/>
      <c r="O839" s="4"/>
      <c r="P839" s="4"/>
      <c r="Q839" s="4"/>
      <c r="R839" s="4"/>
      <c r="S839" s="4"/>
      <c r="T839" s="4"/>
      <c r="U839" s="4"/>
      <c r="V839" s="4"/>
      <c r="W839" s="4"/>
      <c r="X839" s="4"/>
      <c r="Y839" s="4"/>
      <c r="Z839" s="4"/>
    </row>
    <row r="840" ht="14.25" customHeight="1">
      <c r="A840" s="4"/>
      <c r="B840" s="4"/>
      <c r="C840" s="4"/>
      <c r="D840" s="4"/>
      <c r="E840" s="4"/>
      <c r="F840" s="188"/>
      <c r="G840" s="188"/>
      <c r="H840" s="4"/>
      <c r="I840" s="4"/>
      <c r="J840" s="4"/>
      <c r="K840" s="4"/>
      <c r="L840" s="4"/>
      <c r="M840" s="4"/>
      <c r="N840" s="4"/>
      <c r="O840" s="4"/>
      <c r="P840" s="4"/>
      <c r="Q840" s="4"/>
      <c r="R840" s="4"/>
      <c r="S840" s="4"/>
      <c r="T840" s="4"/>
      <c r="U840" s="4"/>
      <c r="V840" s="4"/>
      <c r="W840" s="4"/>
      <c r="X840" s="4"/>
      <c r="Y840" s="4"/>
      <c r="Z840" s="4"/>
    </row>
    <row r="841" ht="14.25" customHeight="1">
      <c r="A841" s="4"/>
      <c r="B841" s="4"/>
      <c r="C841" s="4"/>
      <c r="D841" s="4"/>
      <c r="E841" s="4"/>
      <c r="F841" s="188"/>
      <c r="G841" s="188"/>
      <c r="H841" s="4"/>
      <c r="I841" s="4"/>
      <c r="J841" s="4"/>
      <c r="K841" s="4"/>
      <c r="L841" s="4"/>
      <c r="M841" s="4"/>
      <c r="N841" s="4"/>
      <c r="O841" s="4"/>
      <c r="P841" s="4"/>
      <c r="Q841" s="4"/>
      <c r="R841" s="4"/>
      <c r="S841" s="4"/>
      <c r="T841" s="4"/>
      <c r="U841" s="4"/>
      <c r="V841" s="4"/>
      <c r="W841" s="4"/>
      <c r="X841" s="4"/>
      <c r="Y841" s="4"/>
      <c r="Z841" s="4"/>
    </row>
    <row r="842" ht="14.25" customHeight="1">
      <c r="A842" s="4"/>
      <c r="B842" s="4"/>
      <c r="C842" s="4"/>
      <c r="D842" s="4"/>
      <c r="E842" s="4"/>
      <c r="F842" s="188"/>
      <c r="G842" s="188"/>
      <c r="H842" s="4"/>
      <c r="I842" s="4"/>
      <c r="J842" s="4"/>
      <c r="K842" s="4"/>
      <c r="L842" s="4"/>
      <c r="M842" s="4"/>
      <c r="N842" s="4"/>
      <c r="O842" s="4"/>
      <c r="P842" s="4"/>
      <c r="Q842" s="4"/>
      <c r="R842" s="4"/>
      <c r="S842" s="4"/>
      <c r="T842" s="4"/>
      <c r="U842" s="4"/>
      <c r="V842" s="4"/>
      <c r="W842" s="4"/>
      <c r="X842" s="4"/>
      <c r="Y842" s="4"/>
      <c r="Z842" s="4"/>
    </row>
    <row r="843" ht="14.25" customHeight="1">
      <c r="A843" s="4"/>
      <c r="B843" s="4"/>
      <c r="C843" s="4"/>
      <c r="D843" s="4"/>
      <c r="E843" s="4"/>
      <c r="F843" s="188"/>
      <c r="G843" s="188"/>
      <c r="H843" s="4"/>
      <c r="I843" s="4"/>
      <c r="J843" s="4"/>
      <c r="K843" s="4"/>
      <c r="L843" s="4"/>
      <c r="M843" s="4"/>
      <c r="N843" s="4"/>
      <c r="O843" s="4"/>
      <c r="P843" s="4"/>
      <c r="Q843" s="4"/>
      <c r="R843" s="4"/>
      <c r="S843" s="4"/>
      <c r="T843" s="4"/>
      <c r="U843" s="4"/>
      <c r="V843" s="4"/>
      <c r="W843" s="4"/>
      <c r="X843" s="4"/>
      <c r="Y843" s="4"/>
      <c r="Z843" s="4"/>
    </row>
    <row r="844" ht="14.25" customHeight="1">
      <c r="A844" s="4"/>
      <c r="B844" s="4"/>
      <c r="C844" s="4"/>
      <c r="D844" s="4"/>
      <c r="E844" s="4"/>
      <c r="F844" s="188"/>
      <c r="G844" s="188"/>
      <c r="H844" s="4"/>
      <c r="I844" s="4"/>
      <c r="J844" s="4"/>
      <c r="K844" s="4"/>
      <c r="L844" s="4"/>
      <c r="M844" s="4"/>
      <c r="N844" s="4"/>
      <c r="O844" s="4"/>
      <c r="P844" s="4"/>
      <c r="Q844" s="4"/>
      <c r="R844" s="4"/>
      <c r="S844" s="4"/>
      <c r="T844" s="4"/>
      <c r="U844" s="4"/>
      <c r="V844" s="4"/>
      <c r="W844" s="4"/>
      <c r="X844" s="4"/>
      <c r="Y844" s="4"/>
      <c r="Z844" s="4"/>
    </row>
    <row r="845" ht="14.25" customHeight="1">
      <c r="A845" s="4"/>
      <c r="B845" s="4"/>
      <c r="C845" s="4"/>
      <c r="D845" s="4"/>
      <c r="E845" s="4"/>
      <c r="F845" s="188"/>
      <c r="G845" s="188"/>
      <c r="H845" s="4"/>
      <c r="I845" s="4"/>
      <c r="J845" s="4"/>
      <c r="K845" s="4"/>
      <c r="L845" s="4"/>
      <c r="M845" s="4"/>
      <c r="N845" s="4"/>
      <c r="O845" s="4"/>
      <c r="P845" s="4"/>
      <c r="Q845" s="4"/>
      <c r="R845" s="4"/>
      <c r="S845" s="4"/>
      <c r="T845" s="4"/>
      <c r="U845" s="4"/>
      <c r="V845" s="4"/>
      <c r="W845" s="4"/>
      <c r="X845" s="4"/>
      <c r="Y845" s="4"/>
      <c r="Z845" s="4"/>
    </row>
    <row r="846" ht="14.25" customHeight="1">
      <c r="A846" s="4"/>
      <c r="B846" s="4"/>
      <c r="C846" s="4"/>
      <c r="D846" s="4"/>
      <c r="E846" s="4"/>
      <c r="F846" s="188"/>
      <c r="G846" s="188"/>
      <c r="H846" s="4"/>
      <c r="I846" s="4"/>
      <c r="J846" s="4"/>
      <c r="K846" s="4"/>
      <c r="L846" s="4"/>
      <c r="M846" s="4"/>
      <c r="N846" s="4"/>
      <c r="O846" s="4"/>
      <c r="P846" s="4"/>
      <c r="Q846" s="4"/>
      <c r="R846" s="4"/>
      <c r="S846" s="4"/>
      <c r="T846" s="4"/>
      <c r="U846" s="4"/>
      <c r="V846" s="4"/>
      <c r="W846" s="4"/>
      <c r="X846" s="4"/>
      <c r="Y846" s="4"/>
      <c r="Z846" s="4"/>
    </row>
    <row r="847" ht="14.25" customHeight="1">
      <c r="A847" s="4"/>
      <c r="B847" s="4"/>
      <c r="C847" s="4"/>
      <c r="D847" s="4"/>
      <c r="E847" s="4"/>
      <c r="F847" s="188"/>
      <c r="G847" s="188"/>
      <c r="H847" s="4"/>
      <c r="I847" s="4"/>
      <c r="J847" s="4"/>
      <c r="K847" s="4"/>
      <c r="L847" s="4"/>
      <c r="M847" s="4"/>
      <c r="N847" s="4"/>
      <c r="O847" s="4"/>
      <c r="P847" s="4"/>
      <c r="Q847" s="4"/>
      <c r="R847" s="4"/>
      <c r="S847" s="4"/>
      <c r="T847" s="4"/>
      <c r="U847" s="4"/>
      <c r="V847" s="4"/>
      <c r="W847" s="4"/>
      <c r="X847" s="4"/>
      <c r="Y847" s="4"/>
      <c r="Z847" s="4"/>
    </row>
    <row r="848" ht="14.25" customHeight="1">
      <c r="A848" s="4"/>
      <c r="B848" s="4"/>
      <c r="C848" s="4"/>
      <c r="D848" s="4"/>
      <c r="E848" s="4"/>
      <c r="F848" s="188"/>
      <c r="G848" s="188"/>
      <c r="H848" s="4"/>
      <c r="I848" s="4"/>
      <c r="J848" s="4"/>
      <c r="K848" s="4"/>
      <c r="L848" s="4"/>
      <c r="M848" s="4"/>
      <c r="N848" s="4"/>
      <c r="O848" s="4"/>
      <c r="P848" s="4"/>
      <c r="Q848" s="4"/>
      <c r="R848" s="4"/>
      <c r="S848" s="4"/>
      <c r="T848" s="4"/>
      <c r="U848" s="4"/>
      <c r="V848" s="4"/>
      <c r="W848" s="4"/>
      <c r="X848" s="4"/>
      <c r="Y848" s="4"/>
      <c r="Z848" s="4"/>
    </row>
    <row r="849" ht="14.25" customHeight="1">
      <c r="A849" s="4"/>
      <c r="B849" s="4"/>
      <c r="C849" s="4"/>
      <c r="D849" s="4"/>
      <c r="E849" s="4"/>
      <c r="F849" s="188"/>
      <c r="G849" s="188"/>
      <c r="H849" s="4"/>
      <c r="I849" s="4"/>
      <c r="J849" s="4"/>
      <c r="K849" s="4"/>
      <c r="L849" s="4"/>
      <c r="M849" s="4"/>
      <c r="N849" s="4"/>
      <c r="O849" s="4"/>
      <c r="P849" s="4"/>
      <c r="Q849" s="4"/>
      <c r="R849" s="4"/>
      <c r="S849" s="4"/>
      <c r="T849" s="4"/>
      <c r="U849" s="4"/>
      <c r="V849" s="4"/>
      <c r="W849" s="4"/>
      <c r="X849" s="4"/>
      <c r="Y849" s="4"/>
      <c r="Z849" s="4"/>
    </row>
    <row r="850" ht="14.25" customHeight="1">
      <c r="A850" s="4"/>
      <c r="B850" s="4"/>
      <c r="C850" s="4"/>
      <c r="D850" s="4"/>
      <c r="E850" s="4"/>
      <c r="F850" s="188"/>
      <c r="G850" s="188"/>
      <c r="H850" s="4"/>
      <c r="I850" s="4"/>
      <c r="J850" s="4"/>
      <c r="K850" s="4"/>
      <c r="L850" s="4"/>
      <c r="M850" s="4"/>
      <c r="N850" s="4"/>
      <c r="O850" s="4"/>
      <c r="P850" s="4"/>
      <c r="Q850" s="4"/>
      <c r="R850" s="4"/>
      <c r="S850" s="4"/>
      <c r="T850" s="4"/>
      <c r="U850" s="4"/>
      <c r="V850" s="4"/>
      <c r="W850" s="4"/>
      <c r="X850" s="4"/>
      <c r="Y850" s="4"/>
      <c r="Z850" s="4"/>
    </row>
    <row r="851" ht="14.25" customHeight="1">
      <c r="A851" s="4"/>
      <c r="B851" s="4"/>
      <c r="C851" s="4"/>
      <c r="D851" s="4"/>
      <c r="E851" s="4"/>
      <c r="F851" s="188"/>
      <c r="G851" s="188"/>
      <c r="H851" s="4"/>
      <c r="I851" s="4"/>
      <c r="J851" s="4"/>
      <c r="K851" s="4"/>
      <c r="L851" s="4"/>
      <c r="M851" s="4"/>
      <c r="N851" s="4"/>
      <c r="O851" s="4"/>
      <c r="P851" s="4"/>
      <c r="Q851" s="4"/>
      <c r="R851" s="4"/>
      <c r="S851" s="4"/>
      <c r="T851" s="4"/>
      <c r="U851" s="4"/>
      <c r="V851" s="4"/>
      <c r="W851" s="4"/>
      <c r="X851" s="4"/>
      <c r="Y851" s="4"/>
      <c r="Z851" s="4"/>
    </row>
    <row r="852" ht="14.25" customHeight="1">
      <c r="A852" s="4"/>
      <c r="B852" s="4"/>
      <c r="C852" s="4"/>
      <c r="D852" s="4"/>
      <c r="E852" s="4"/>
      <c r="F852" s="188"/>
      <c r="G852" s="188"/>
      <c r="H852" s="4"/>
      <c r="I852" s="4"/>
      <c r="J852" s="4"/>
      <c r="K852" s="4"/>
      <c r="L852" s="4"/>
      <c r="M852" s="4"/>
      <c r="N852" s="4"/>
      <c r="O852" s="4"/>
      <c r="P852" s="4"/>
      <c r="Q852" s="4"/>
      <c r="R852" s="4"/>
      <c r="S852" s="4"/>
      <c r="T852" s="4"/>
      <c r="U852" s="4"/>
      <c r="V852" s="4"/>
      <c r="W852" s="4"/>
      <c r="X852" s="4"/>
      <c r="Y852" s="4"/>
      <c r="Z852" s="4"/>
    </row>
    <row r="853" ht="14.25" customHeight="1">
      <c r="A853" s="4"/>
      <c r="B853" s="4"/>
      <c r="C853" s="4"/>
      <c r="D853" s="4"/>
      <c r="E853" s="4"/>
      <c r="F853" s="188"/>
      <c r="G853" s="188"/>
      <c r="H853" s="4"/>
      <c r="I853" s="4"/>
      <c r="J853" s="4"/>
      <c r="K853" s="4"/>
      <c r="L853" s="4"/>
      <c r="M853" s="4"/>
      <c r="N853" s="4"/>
      <c r="O853" s="4"/>
      <c r="P853" s="4"/>
      <c r="Q853" s="4"/>
      <c r="R853" s="4"/>
      <c r="S853" s="4"/>
      <c r="T853" s="4"/>
      <c r="U853" s="4"/>
      <c r="V853" s="4"/>
      <c r="W853" s="4"/>
      <c r="X853" s="4"/>
      <c r="Y853" s="4"/>
      <c r="Z853" s="4"/>
    </row>
    <row r="854" ht="14.25" customHeight="1">
      <c r="A854" s="4"/>
      <c r="B854" s="4"/>
      <c r="C854" s="4"/>
      <c r="D854" s="4"/>
      <c r="E854" s="4"/>
      <c r="F854" s="188"/>
      <c r="G854" s="188"/>
      <c r="H854" s="4"/>
      <c r="I854" s="4"/>
      <c r="J854" s="4"/>
      <c r="K854" s="4"/>
      <c r="L854" s="4"/>
      <c r="M854" s="4"/>
      <c r="N854" s="4"/>
      <c r="O854" s="4"/>
      <c r="P854" s="4"/>
      <c r="Q854" s="4"/>
      <c r="R854" s="4"/>
      <c r="S854" s="4"/>
      <c r="T854" s="4"/>
      <c r="U854" s="4"/>
      <c r="V854" s="4"/>
      <c r="W854" s="4"/>
      <c r="X854" s="4"/>
      <c r="Y854" s="4"/>
      <c r="Z854" s="4"/>
    </row>
    <row r="855" ht="14.25" customHeight="1">
      <c r="A855" s="4"/>
      <c r="B855" s="4"/>
      <c r="C855" s="4"/>
      <c r="D855" s="4"/>
      <c r="E855" s="4"/>
      <c r="F855" s="188"/>
      <c r="G855" s="188"/>
      <c r="H855" s="4"/>
      <c r="I855" s="4"/>
      <c r="J855" s="4"/>
      <c r="K855" s="4"/>
      <c r="L855" s="4"/>
      <c r="M855" s="4"/>
      <c r="N855" s="4"/>
      <c r="O855" s="4"/>
      <c r="P855" s="4"/>
      <c r="Q855" s="4"/>
      <c r="R855" s="4"/>
      <c r="S855" s="4"/>
      <c r="T855" s="4"/>
      <c r="U855" s="4"/>
      <c r="V855" s="4"/>
      <c r="W855" s="4"/>
      <c r="X855" s="4"/>
      <c r="Y855" s="4"/>
      <c r="Z855" s="4"/>
    </row>
    <row r="856" ht="14.25" customHeight="1">
      <c r="A856" s="4"/>
      <c r="B856" s="4"/>
      <c r="C856" s="4"/>
      <c r="D856" s="4"/>
      <c r="E856" s="4"/>
      <c r="F856" s="188"/>
      <c r="G856" s="188"/>
      <c r="H856" s="4"/>
      <c r="I856" s="4"/>
      <c r="J856" s="4"/>
      <c r="K856" s="4"/>
      <c r="L856" s="4"/>
      <c r="M856" s="4"/>
      <c r="N856" s="4"/>
      <c r="O856" s="4"/>
      <c r="P856" s="4"/>
      <c r="Q856" s="4"/>
      <c r="R856" s="4"/>
      <c r="S856" s="4"/>
      <c r="T856" s="4"/>
      <c r="U856" s="4"/>
      <c r="V856" s="4"/>
      <c r="W856" s="4"/>
      <c r="X856" s="4"/>
      <c r="Y856" s="4"/>
      <c r="Z856" s="4"/>
    </row>
    <row r="857" ht="14.25" customHeight="1">
      <c r="A857" s="4"/>
      <c r="B857" s="4"/>
      <c r="C857" s="4"/>
      <c r="D857" s="4"/>
      <c r="E857" s="4"/>
      <c r="F857" s="188"/>
      <c r="G857" s="188"/>
      <c r="H857" s="4"/>
      <c r="I857" s="4"/>
      <c r="J857" s="4"/>
      <c r="K857" s="4"/>
      <c r="L857" s="4"/>
      <c r="M857" s="4"/>
      <c r="N857" s="4"/>
      <c r="O857" s="4"/>
      <c r="P857" s="4"/>
      <c r="Q857" s="4"/>
      <c r="R857" s="4"/>
      <c r="S857" s="4"/>
      <c r="T857" s="4"/>
      <c r="U857" s="4"/>
      <c r="V857" s="4"/>
      <c r="W857" s="4"/>
      <c r="X857" s="4"/>
      <c r="Y857" s="4"/>
      <c r="Z857" s="4"/>
    </row>
    <row r="858" ht="14.25" customHeight="1">
      <c r="A858" s="4"/>
      <c r="B858" s="4"/>
      <c r="C858" s="4"/>
      <c r="D858" s="4"/>
      <c r="E858" s="4"/>
      <c r="F858" s="188"/>
      <c r="G858" s="188"/>
      <c r="H858" s="4"/>
      <c r="I858" s="4"/>
      <c r="J858" s="4"/>
      <c r="K858" s="4"/>
      <c r="L858" s="4"/>
      <c r="M858" s="4"/>
      <c r="N858" s="4"/>
      <c r="O858" s="4"/>
      <c r="P858" s="4"/>
      <c r="Q858" s="4"/>
      <c r="R858" s="4"/>
      <c r="S858" s="4"/>
      <c r="T858" s="4"/>
      <c r="U858" s="4"/>
      <c r="V858" s="4"/>
      <c r="W858" s="4"/>
      <c r="X858" s="4"/>
      <c r="Y858" s="4"/>
      <c r="Z858" s="4"/>
    </row>
    <row r="859" ht="14.25" customHeight="1">
      <c r="A859" s="4"/>
      <c r="B859" s="4"/>
      <c r="C859" s="4"/>
      <c r="D859" s="4"/>
      <c r="E859" s="4"/>
      <c r="F859" s="188"/>
      <c r="G859" s="188"/>
      <c r="H859" s="4"/>
      <c r="I859" s="4"/>
      <c r="J859" s="4"/>
      <c r="K859" s="4"/>
      <c r="L859" s="4"/>
      <c r="M859" s="4"/>
      <c r="N859" s="4"/>
      <c r="O859" s="4"/>
      <c r="P859" s="4"/>
      <c r="Q859" s="4"/>
      <c r="R859" s="4"/>
      <c r="S859" s="4"/>
      <c r="T859" s="4"/>
      <c r="U859" s="4"/>
      <c r="V859" s="4"/>
      <c r="W859" s="4"/>
      <c r="X859" s="4"/>
      <c r="Y859" s="4"/>
      <c r="Z859" s="4"/>
    </row>
    <row r="860" ht="14.25" customHeight="1">
      <c r="A860" s="4"/>
      <c r="B860" s="4"/>
      <c r="C860" s="4"/>
      <c r="D860" s="4"/>
      <c r="E860" s="4"/>
      <c r="F860" s="188"/>
      <c r="G860" s="188"/>
      <c r="H860" s="4"/>
      <c r="I860" s="4"/>
      <c r="J860" s="4"/>
      <c r="K860" s="4"/>
      <c r="L860" s="4"/>
      <c r="M860" s="4"/>
      <c r="N860" s="4"/>
      <c r="O860" s="4"/>
      <c r="P860" s="4"/>
      <c r="Q860" s="4"/>
      <c r="R860" s="4"/>
      <c r="S860" s="4"/>
      <c r="T860" s="4"/>
      <c r="U860" s="4"/>
      <c r="V860" s="4"/>
      <c r="W860" s="4"/>
      <c r="X860" s="4"/>
      <c r="Y860" s="4"/>
      <c r="Z860" s="4"/>
    </row>
    <row r="861" ht="14.25" customHeight="1">
      <c r="A861" s="4"/>
      <c r="B861" s="4"/>
      <c r="C861" s="4"/>
      <c r="D861" s="4"/>
      <c r="E861" s="4"/>
      <c r="F861" s="188"/>
      <c r="G861" s="188"/>
      <c r="H861" s="4"/>
      <c r="I861" s="4"/>
      <c r="J861" s="4"/>
      <c r="K861" s="4"/>
      <c r="L861" s="4"/>
      <c r="M861" s="4"/>
      <c r="N861" s="4"/>
      <c r="O861" s="4"/>
      <c r="P861" s="4"/>
      <c r="Q861" s="4"/>
      <c r="R861" s="4"/>
      <c r="S861" s="4"/>
      <c r="T861" s="4"/>
      <c r="U861" s="4"/>
      <c r="V861" s="4"/>
      <c r="W861" s="4"/>
      <c r="X861" s="4"/>
      <c r="Y861" s="4"/>
      <c r="Z861" s="4"/>
    </row>
    <row r="862" ht="14.25" customHeight="1">
      <c r="A862" s="4"/>
      <c r="B862" s="4"/>
      <c r="C862" s="4"/>
      <c r="D862" s="4"/>
      <c r="E862" s="4"/>
      <c r="F862" s="188"/>
      <c r="G862" s="188"/>
      <c r="H862" s="4"/>
      <c r="I862" s="4"/>
      <c r="J862" s="4"/>
      <c r="K862" s="4"/>
      <c r="L862" s="4"/>
      <c r="M862" s="4"/>
      <c r="N862" s="4"/>
      <c r="O862" s="4"/>
      <c r="P862" s="4"/>
      <c r="Q862" s="4"/>
      <c r="R862" s="4"/>
      <c r="S862" s="4"/>
      <c r="T862" s="4"/>
      <c r="U862" s="4"/>
      <c r="V862" s="4"/>
      <c r="W862" s="4"/>
      <c r="X862" s="4"/>
      <c r="Y862" s="4"/>
      <c r="Z862" s="4"/>
    </row>
    <row r="863" ht="14.25" customHeight="1">
      <c r="A863" s="4"/>
      <c r="B863" s="4"/>
      <c r="C863" s="4"/>
      <c r="D863" s="4"/>
      <c r="E863" s="4"/>
      <c r="F863" s="188"/>
      <c r="G863" s="188"/>
      <c r="H863" s="4"/>
      <c r="I863" s="4"/>
      <c r="J863" s="4"/>
      <c r="K863" s="4"/>
      <c r="L863" s="4"/>
      <c r="M863" s="4"/>
      <c r="N863" s="4"/>
      <c r="O863" s="4"/>
      <c r="P863" s="4"/>
      <c r="Q863" s="4"/>
      <c r="R863" s="4"/>
      <c r="S863" s="4"/>
      <c r="T863" s="4"/>
      <c r="U863" s="4"/>
      <c r="V863" s="4"/>
      <c r="W863" s="4"/>
      <c r="X863" s="4"/>
      <c r="Y863" s="4"/>
      <c r="Z863" s="4"/>
    </row>
    <row r="864" ht="14.25" customHeight="1">
      <c r="A864" s="4"/>
      <c r="B864" s="4"/>
      <c r="C864" s="4"/>
      <c r="D864" s="4"/>
      <c r="E864" s="4"/>
      <c r="F864" s="188"/>
      <c r="G864" s="188"/>
      <c r="H864" s="4"/>
      <c r="I864" s="4"/>
      <c r="J864" s="4"/>
      <c r="K864" s="4"/>
      <c r="L864" s="4"/>
      <c r="M864" s="4"/>
      <c r="N864" s="4"/>
      <c r="O864" s="4"/>
      <c r="P864" s="4"/>
      <c r="Q864" s="4"/>
      <c r="R864" s="4"/>
      <c r="S864" s="4"/>
      <c r="T864" s="4"/>
      <c r="U864" s="4"/>
      <c r="V864" s="4"/>
      <c r="W864" s="4"/>
      <c r="X864" s="4"/>
      <c r="Y864" s="4"/>
      <c r="Z864" s="4"/>
    </row>
    <row r="865" ht="14.25" customHeight="1">
      <c r="A865" s="4"/>
      <c r="B865" s="4"/>
      <c r="C865" s="4"/>
      <c r="D865" s="4"/>
      <c r="E865" s="4"/>
      <c r="F865" s="188"/>
      <c r="G865" s="188"/>
      <c r="H865" s="4"/>
      <c r="I865" s="4"/>
      <c r="J865" s="4"/>
      <c r="K865" s="4"/>
      <c r="L865" s="4"/>
      <c r="M865" s="4"/>
      <c r="N865" s="4"/>
      <c r="O865" s="4"/>
      <c r="P865" s="4"/>
      <c r="Q865" s="4"/>
      <c r="R865" s="4"/>
      <c r="S865" s="4"/>
      <c r="T865" s="4"/>
      <c r="U865" s="4"/>
      <c r="V865" s="4"/>
      <c r="W865" s="4"/>
      <c r="X865" s="4"/>
      <c r="Y865" s="4"/>
      <c r="Z865" s="4"/>
    </row>
    <row r="866" ht="14.25" customHeight="1">
      <c r="A866" s="4"/>
      <c r="B866" s="4"/>
      <c r="C866" s="4"/>
      <c r="D866" s="4"/>
      <c r="E866" s="4"/>
      <c r="F866" s="188"/>
      <c r="G866" s="188"/>
      <c r="H866" s="4"/>
      <c r="I866" s="4"/>
      <c r="J866" s="4"/>
      <c r="K866" s="4"/>
      <c r="L866" s="4"/>
      <c r="M866" s="4"/>
      <c r="N866" s="4"/>
      <c r="O866" s="4"/>
      <c r="P866" s="4"/>
      <c r="Q866" s="4"/>
      <c r="R866" s="4"/>
      <c r="S866" s="4"/>
      <c r="T866" s="4"/>
      <c r="U866" s="4"/>
      <c r="V866" s="4"/>
      <c r="W866" s="4"/>
      <c r="X866" s="4"/>
      <c r="Y866" s="4"/>
      <c r="Z866" s="4"/>
    </row>
    <row r="867" ht="14.25" customHeight="1">
      <c r="A867" s="4"/>
      <c r="B867" s="4"/>
      <c r="C867" s="4"/>
      <c r="D867" s="4"/>
      <c r="E867" s="4"/>
      <c r="F867" s="188"/>
      <c r="G867" s="188"/>
      <c r="H867" s="4"/>
      <c r="I867" s="4"/>
      <c r="J867" s="4"/>
      <c r="K867" s="4"/>
      <c r="L867" s="4"/>
      <c r="M867" s="4"/>
      <c r="N867" s="4"/>
      <c r="O867" s="4"/>
      <c r="P867" s="4"/>
      <c r="Q867" s="4"/>
      <c r="R867" s="4"/>
      <c r="S867" s="4"/>
      <c r="T867" s="4"/>
      <c r="U867" s="4"/>
      <c r="V867" s="4"/>
      <c r="W867" s="4"/>
      <c r="X867" s="4"/>
      <c r="Y867" s="4"/>
      <c r="Z867" s="4"/>
    </row>
    <row r="868" ht="14.25" customHeight="1">
      <c r="A868" s="4"/>
      <c r="B868" s="4"/>
      <c r="C868" s="4"/>
      <c r="D868" s="4"/>
      <c r="E868" s="4"/>
      <c r="F868" s="188"/>
      <c r="G868" s="188"/>
      <c r="H868" s="4"/>
      <c r="I868" s="4"/>
      <c r="J868" s="4"/>
      <c r="K868" s="4"/>
      <c r="L868" s="4"/>
      <c r="M868" s="4"/>
      <c r="N868" s="4"/>
      <c r="O868" s="4"/>
      <c r="P868" s="4"/>
      <c r="Q868" s="4"/>
      <c r="R868" s="4"/>
      <c r="S868" s="4"/>
      <c r="T868" s="4"/>
      <c r="U868" s="4"/>
      <c r="V868" s="4"/>
      <c r="W868" s="4"/>
      <c r="X868" s="4"/>
      <c r="Y868" s="4"/>
      <c r="Z868" s="4"/>
    </row>
    <row r="869" ht="14.25" customHeight="1">
      <c r="A869" s="4"/>
      <c r="B869" s="4"/>
      <c r="C869" s="4"/>
      <c r="D869" s="4"/>
      <c r="E869" s="4"/>
      <c r="F869" s="188"/>
      <c r="G869" s="188"/>
      <c r="H869" s="4"/>
      <c r="I869" s="4"/>
      <c r="J869" s="4"/>
      <c r="K869" s="4"/>
      <c r="L869" s="4"/>
      <c r="M869" s="4"/>
      <c r="N869" s="4"/>
      <c r="O869" s="4"/>
      <c r="P869" s="4"/>
      <c r="Q869" s="4"/>
      <c r="R869" s="4"/>
      <c r="S869" s="4"/>
      <c r="T869" s="4"/>
      <c r="U869" s="4"/>
      <c r="V869" s="4"/>
      <c r="W869" s="4"/>
      <c r="X869" s="4"/>
      <c r="Y869" s="4"/>
      <c r="Z869" s="4"/>
    </row>
    <row r="870" ht="14.25" customHeight="1">
      <c r="A870" s="4"/>
      <c r="B870" s="4"/>
      <c r="C870" s="4"/>
      <c r="D870" s="4"/>
      <c r="E870" s="4"/>
      <c r="F870" s="188"/>
      <c r="G870" s="188"/>
      <c r="H870" s="4"/>
      <c r="I870" s="4"/>
      <c r="J870" s="4"/>
      <c r="K870" s="4"/>
      <c r="L870" s="4"/>
      <c r="M870" s="4"/>
      <c r="N870" s="4"/>
      <c r="O870" s="4"/>
      <c r="P870" s="4"/>
      <c r="Q870" s="4"/>
      <c r="R870" s="4"/>
      <c r="S870" s="4"/>
      <c r="T870" s="4"/>
      <c r="U870" s="4"/>
      <c r="V870" s="4"/>
      <c r="W870" s="4"/>
      <c r="X870" s="4"/>
      <c r="Y870" s="4"/>
      <c r="Z870" s="4"/>
    </row>
    <row r="871" ht="14.25" customHeight="1">
      <c r="A871" s="4"/>
      <c r="B871" s="4"/>
      <c r="C871" s="4"/>
      <c r="D871" s="4"/>
      <c r="E871" s="4"/>
      <c r="F871" s="188"/>
      <c r="G871" s="188"/>
      <c r="H871" s="4"/>
      <c r="I871" s="4"/>
      <c r="J871" s="4"/>
      <c r="K871" s="4"/>
      <c r="L871" s="4"/>
      <c r="M871" s="4"/>
      <c r="N871" s="4"/>
      <c r="O871" s="4"/>
      <c r="P871" s="4"/>
      <c r="Q871" s="4"/>
      <c r="R871" s="4"/>
      <c r="S871" s="4"/>
      <c r="T871" s="4"/>
      <c r="U871" s="4"/>
      <c r="V871" s="4"/>
      <c r="W871" s="4"/>
      <c r="X871" s="4"/>
      <c r="Y871" s="4"/>
      <c r="Z871" s="4"/>
    </row>
    <row r="872" ht="14.25" customHeight="1">
      <c r="A872" s="4"/>
      <c r="B872" s="4"/>
      <c r="C872" s="4"/>
      <c r="D872" s="4"/>
      <c r="E872" s="4"/>
      <c r="F872" s="188"/>
      <c r="G872" s="188"/>
      <c r="H872" s="4"/>
      <c r="I872" s="4"/>
      <c r="J872" s="4"/>
      <c r="K872" s="4"/>
      <c r="L872" s="4"/>
      <c r="M872" s="4"/>
      <c r="N872" s="4"/>
      <c r="O872" s="4"/>
      <c r="P872" s="4"/>
      <c r="Q872" s="4"/>
      <c r="R872" s="4"/>
      <c r="S872" s="4"/>
      <c r="T872" s="4"/>
      <c r="U872" s="4"/>
      <c r="V872" s="4"/>
      <c r="W872" s="4"/>
      <c r="X872" s="4"/>
      <c r="Y872" s="4"/>
      <c r="Z872" s="4"/>
    </row>
    <row r="873" ht="14.25" customHeight="1">
      <c r="A873" s="4"/>
      <c r="B873" s="4"/>
      <c r="C873" s="4"/>
      <c r="D873" s="4"/>
      <c r="E873" s="4"/>
      <c r="F873" s="188"/>
      <c r="G873" s="188"/>
      <c r="H873" s="4"/>
      <c r="I873" s="4"/>
      <c r="J873" s="4"/>
      <c r="K873" s="4"/>
      <c r="L873" s="4"/>
      <c r="M873" s="4"/>
      <c r="N873" s="4"/>
      <c r="O873" s="4"/>
      <c r="P873" s="4"/>
      <c r="Q873" s="4"/>
      <c r="R873" s="4"/>
      <c r="S873" s="4"/>
      <c r="T873" s="4"/>
      <c r="U873" s="4"/>
      <c r="V873" s="4"/>
      <c r="W873" s="4"/>
      <c r="X873" s="4"/>
      <c r="Y873" s="4"/>
      <c r="Z873" s="4"/>
    </row>
    <row r="874" ht="14.25" customHeight="1">
      <c r="A874" s="4"/>
      <c r="B874" s="4"/>
      <c r="C874" s="4"/>
      <c r="D874" s="4"/>
      <c r="E874" s="4"/>
      <c r="F874" s="188"/>
      <c r="G874" s="188"/>
      <c r="H874" s="4"/>
      <c r="I874" s="4"/>
      <c r="J874" s="4"/>
      <c r="K874" s="4"/>
      <c r="L874" s="4"/>
      <c r="M874" s="4"/>
      <c r="N874" s="4"/>
      <c r="O874" s="4"/>
      <c r="P874" s="4"/>
      <c r="Q874" s="4"/>
      <c r="R874" s="4"/>
      <c r="S874" s="4"/>
      <c r="T874" s="4"/>
      <c r="U874" s="4"/>
      <c r="V874" s="4"/>
      <c r="W874" s="4"/>
      <c r="X874" s="4"/>
      <c r="Y874" s="4"/>
      <c r="Z874" s="4"/>
    </row>
    <row r="875" ht="14.25" customHeight="1">
      <c r="A875" s="4"/>
      <c r="B875" s="4"/>
      <c r="C875" s="4"/>
      <c r="D875" s="4"/>
      <c r="E875" s="4"/>
      <c r="F875" s="188"/>
      <c r="G875" s="188"/>
      <c r="H875" s="4"/>
      <c r="I875" s="4"/>
      <c r="J875" s="4"/>
      <c r="K875" s="4"/>
      <c r="L875" s="4"/>
      <c r="M875" s="4"/>
      <c r="N875" s="4"/>
      <c r="O875" s="4"/>
      <c r="P875" s="4"/>
      <c r="Q875" s="4"/>
      <c r="R875" s="4"/>
      <c r="S875" s="4"/>
      <c r="T875" s="4"/>
      <c r="U875" s="4"/>
      <c r="V875" s="4"/>
      <c r="W875" s="4"/>
      <c r="X875" s="4"/>
      <c r="Y875" s="4"/>
      <c r="Z875" s="4"/>
    </row>
    <row r="876" ht="14.25" customHeight="1">
      <c r="A876" s="4"/>
      <c r="B876" s="4"/>
      <c r="C876" s="4"/>
      <c r="D876" s="4"/>
      <c r="E876" s="4"/>
      <c r="F876" s="188"/>
      <c r="G876" s="188"/>
      <c r="H876" s="4"/>
      <c r="I876" s="4"/>
      <c r="J876" s="4"/>
      <c r="K876" s="4"/>
      <c r="L876" s="4"/>
      <c r="M876" s="4"/>
      <c r="N876" s="4"/>
      <c r="O876" s="4"/>
      <c r="P876" s="4"/>
      <c r="Q876" s="4"/>
      <c r="R876" s="4"/>
      <c r="S876" s="4"/>
      <c r="T876" s="4"/>
      <c r="U876" s="4"/>
      <c r="V876" s="4"/>
      <c r="W876" s="4"/>
      <c r="X876" s="4"/>
      <c r="Y876" s="4"/>
      <c r="Z876" s="4"/>
    </row>
    <row r="877" ht="14.25" customHeight="1">
      <c r="A877" s="4"/>
      <c r="B877" s="4"/>
      <c r="C877" s="4"/>
      <c r="D877" s="4"/>
      <c r="E877" s="4"/>
      <c r="F877" s="188"/>
      <c r="G877" s="188"/>
      <c r="H877" s="4"/>
      <c r="I877" s="4"/>
      <c r="J877" s="4"/>
      <c r="K877" s="4"/>
      <c r="L877" s="4"/>
      <c r="M877" s="4"/>
      <c r="N877" s="4"/>
      <c r="O877" s="4"/>
      <c r="P877" s="4"/>
      <c r="Q877" s="4"/>
      <c r="R877" s="4"/>
      <c r="S877" s="4"/>
      <c r="T877" s="4"/>
      <c r="U877" s="4"/>
      <c r="V877" s="4"/>
      <c r="W877" s="4"/>
      <c r="X877" s="4"/>
      <c r="Y877" s="4"/>
      <c r="Z877" s="4"/>
    </row>
    <row r="878" ht="14.25" customHeight="1">
      <c r="A878" s="4"/>
      <c r="B878" s="4"/>
      <c r="C878" s="4"/>
      <c r="D878" s="4"/>
      <c r="E878" s="4"/>
      <c r="F878" s="188"/>
      <c r="G878" s="188"/>
      <c r="H878" s="4"/>
      <c r="I878" s="4"/>
      <c r="J878" s="4"/>
      <c r="K878" s="4"/>
      <c r="L878" s="4"/>
      <c r="M878" s="4"/>
      <c r="N878" s="4"/>
      <c r="O878" s="4"/>
      <c r="P878" s="4"/>
      <c r="Q878" s="4"/>
      <c r="R878" s="4"/>
      <c r="S878" s="4"/>
      <c r="T878" s="4"/>
      <c r="U878" s="4"/>
      <c r="V878" s="4"/>
      <c r="W878" s="4"/>
      <c r="X878" s="4"/>
      <c r="Y878" s="4"/>
      <c r="Z878" s="4"/>
    </row>
    <row r="879" ht="14.25" customHeight="1">
      <c r="A879" s="4"/>
      <c r="B879" s="4"/>
      <c r="C879" s="4"/>
      <c r="D879" s="4"/>
      <c r="E879" s="4"/>
      <c r="F879" s="188"/>
      <c r="G879" s="188"/>
      <c r="H879" s="4"/>
      <c r="I879" s="4"/>
      <c r="J879" s="4"/>
      <c r="K879" s="4"/>
      <c r="L879" s="4"/>
      <c r="M879" s="4"/>
      <c r="N879" s="4"/>
      <c r="O879" s="4"/>
      <c r="P879" s="4"/>
      <c r="Q879" s="4"/>
      <c r="R879" s="4"/>
      <c r="S879" s="4"/>
      <c r="T879" s="4"/>
      <c r="U879" s="4"/>
      <c r="V879" s="4"/>
      <c r="W879" s="4"/>
      <c r="X879" s="4"/>
      <c r="Y879" s="4"/>
      <c r="Z879" s="4"/>
    </row>
    <row r="880" ht="14.25" customHeight="1">
      <c r="A880" s="4"/>
      <c r="B880" s="4"/>
      <c r="C880" s="4"/>
      <c r="D880" s="4"/>
      <c r="E880" s="4"/>
      <c r="F880" s="188"/>
      <c r="G880" s="188"/>
      <c r="H880" s="4"/>
      <c r="I880" s="4"/>
      <c r="J880" s="4"/>
      <c r="K880" s="4"/>
      <c r="L880" s="4"/>
      <c r="M880" s="4"/>
      <c r="N880" s="4"/>
      <c r="O880" s="4"/>
      <c r="P880" s="4"/>
      <c r="Q880" s="4"/>
      <c r="R880" s="4"/>
      <c r="S880" s="4"/>
      <c r="T880" s="4"/>
      <c r="U880" s="4"/>
      <c r="V880" s="4"/>
      <c r="W880" s="4"/>
      <c r="X880" s="4"/>
      <c r="Y880" s="4"/>
      <c r="Z880" s="4"/>
    </row>
    <row r="881" ht="14.25" customHeight="1">
      <c r="A881" s="4"/>
      <c r="B881" s="4"/>
      <c r="C881" s="4"/>
      <c r="D881" s="4"/>
      <c r="E881" s="4"/>
      <c r="F881" s="188"/>
      <c r="G881" s="188"/>
      <c r="H881" s="4"/>
      <c r="I881" s="4"/>
      <c r="J881" s="4"/>
      <c r="K881" s="4"/>
      <c r="L881" s="4"/>
      <c r="M881" s="4"/>
      <c r="N881" s="4"/>
      <c r="O881" s="4"/>
      <c r="P881" s="4"/>
      <c r="Q881" s="4"/>
      <c r="R881" s="4"/>
      <c r="S881" s="4"/>
      <c r="T881" s="4"/>
      <c r="U881" s="4"/>
      <c r="V881" s="4"/>
      <c r="W881" s="4"/>
      <c r="X881" s="4"/>
      <c r="Y881" s="4"/>
      <c r="Z881" s="4"/>
    </row>
    <row r="882" ht="14.25" customHeight="1">
      <c r="A882" s="4"/>
      <c r="B882" s="4"/>
      <c r="C882" s="4"/>
      <c r="D882" s="4"/>
      <c r="E882" s="4"/>
      <c r="F882" s="188"/>
      <c r="G882" s="188"/>
      <c r="H882" s="4"/>
      <c r="I882" s="4"/>
      <c r="J882" s="4"/>
      <c r="K882" s="4"/>
      <c r="L882" s="4"/>
      <c r="M882" s="4"/>
      <c r="N882" s="4"/>
      <c r="O882" s="4"/>
      <c r="P882" s="4"/>
      <c r="Q882" s="4"/>
      <c r="R882" s="4"/>
      <c r="S882" s="4"/>
      <c r="T882" s="4"/>
      <c r="U882" s="4"/>
      <c r="V882" s="4"/>
      <c r="W882" s="4"/>
      <c r="X882" s="4"/>
      <c r="Y882" s="4"/>
      <c r="Z882" s="4"/>
    </row>
    <row r="883" ht="14.25" customHeight="1">
      <c r="A883" s="4"/>
      <c r="B883" s="4"/>
      <c r="C883" s="4"/>
      <c r="D883" s="4"/>
      <c r="E883" s="4"/>
      <c r="F883" s="188"/>
      <c r="G883" s="188"/>
      <c r="H883" s="4"/>
      <c r="I883" s="4"/>
      <c r="J883" s="4"/>
      <c r="K883" s="4"/>
      <c r="L883" s="4"/>
      <c r="M883" s="4"/>
      <c r="N883" s="4"/>
      <c r="O883" s="4"/>
      <c r="P883" s="4"/>
      <c r="Q883" s="4"/>
      <c r="R883" s="4"/>
      <c r="S883" s="4"/>
      <c r="T883" s="4"/>
      <c r="U883" s="4"/>
      <c r="V883" s="4"/>
      <c r="W883" s="4"/>
      <c r="X883" s="4"/>
      <c r="Y883" s="4"/>
      <c r="Z883" s="4"/>
    </row>
    <row r="884" ht="14.25" customHeight="1">
      <c r="A884" s="4"/>
      <c r="B884" s="4"/>
      <c r="C884" s="4"/>
      <c r="D884" s="4"/>
      <c r="E884" s="4"/>
      <c r="F884" s="188"/>
      <c r="G884" s="188"/>
      <c r="H884" s="4"/>
      <c r="I884" s="4"/>
      <c r="J884" s="4"/>
      <c r="K884" s="4"/>
      <c r="L884" s="4"/>
      <c r="M884" s="4"/>
      <c r="N884" s="4"/>
      <c r="O884" s="4"/>
      <c r="P884" s="4"/>
      <c r="Q884" s="4"/>
      <c r="R884" s="4"/>
      <c r="S884" s="4"/>
      <c r="T884" s="4"/>
      <c r="U884" s="4"/>
      <c r="V884" s="4"/>
      <c r="W884" s="4"/>
      <c r="X884" s="4"/>
      <c r="Y884" s="4"/>
      <c r="Z884" s="4"/>
    </row>
    <row r="885" ht="14.25" customHeight="1">
      <c r="A885" s="4"/>
      <c r="B885" s="4"/>
      <c r="C885" s="4"/>
      <c r="D885" s="4"/>
      <c r="E885" s="4"/>
      <c r="F885" s="188"/>
      <c r="G885" s="188"/>
      <c r="H885" s="4"/>
      <c r="I885" s="4"/>
      <c r="J885" s="4"/>
      <c r="K885" s="4"/>
      <c r="L885" s="4"/>
      <c r="M885" s="4"/>
      <c r="N885" s="4"/>
      <c r="O885" s="4"/>
      <c r="P885" s="4"/>
      <c r="Q885" s="4"/>
      <c r="R885" s="4"/>
      <c r="S885" s="4"/>
      <c r="T885" s="4"/>
      <c r="U885" s="4"/>
      <c r="V885" s="4"/>
      <c r="W885" s="4"/>
      <c r="X885" s="4"/>
      <c r="Y885" s="4"/>
      <c r="Z885" s="4"/>
    </row>
    <row r="886" ht="14.25" customHeight="1">
      <c r="A886" s="4"/>
      <c r="B886" s="4"/>
      <c r="C886" s="4"/>
      <c r="D886" s="4"/>
      <c r="E886" s="4"/>
      <c r="F886" s="188"/>
      <c r="G886" s="188"/>
      <c r="H886" s="4"/>
      <c r="I886" s="4"/>
      <c r="J886" s="4"/>
      <c r="K886" s="4"/>
      <c r="L886" s="4"/>
      <c r="M886" s="4"/>
      <c r="N886" s="4"/>
      <c r="O886" s="4"/>
      <c r="P886" s="4"/>
      <c r="Q886" s="4"/>
      <c r="R886" s="4"/>
      <c r="S886" s="4"/>
      <c r="T886" s="4"/>
      <c r="U886" s="4"/>
      <c r="V886" s="4"/>
      <c r="W886" s="4"/>
      <c r="X886" s="4"/>
      <c r="Y886" s="4"/>
      <c r="Z886" s="4"/>
    </row>
    <row r="887" ht="14.25" customHeight="1">
      <c r="A887" s="4"/>
      <c r="B887" s="4"/>
      <c r="C887" s="4"/>
      <c r="D887" s="4"/>
      <c r="E887" s="4"/>
      <c r="F887" s="188"/>
      <c r="G887" s="188"/>
      <c r="H887" s="4"/>
      <c r="I887" s="4"/>
      <c r="J887" s="4"/>
      <c r="K887" s="4"/>
      <c r="L887" s="4"/>
      <c r="M887" s="4"/>
      <c r="N887" s="4"/>
      <c r="O887" s="4"/>
      <c r="P887" s="4"/>
      <c r="Q887" s="4"/>
      <c r="R887" s="4"/>
      <c r="S887" s="4"/>
      <c r="T887" s="4"/>
      <c r="U887" s="4"/>
      <c r="V887" s="4"/>
      <c r="W887" s="4"/>
      <c r="X887" s="4"/>
      <c r="Y887" s="4"/>
      <c r="Z887" s="4"/>
    </row>
    <row r="888" ht="14.25" customHeight="1">
      <c r="A888" s="4"/>
      <c r="B888" s="4"/>
      <c r="C888" s="4"/>
      <c r="D888" s="4"/>
      <c r="E888" s="4"/>
      <c r="F888" s="188"/>
      <c r="G888" s="188"/>
      <c r="H888" s="4"/>
      <c r="I888" s="4"/>
      <c r="J888" s="4"/>
      <c r="K888" s="4"/>
      <c r="L888" s="4"/>
      <c r="M888" s="4"/>
      <c r="N888" s="4"/>
      <c r="O888" s="4"/>
      <c r="P888" s="4"/>
      <c r="Q888" s="4"/>
      <c r="R888" s="4"/>
      <c r="S888" s="4"/>
      <c r="T888" s="4"/>
      <c r="U888" s="4"/>
      <c r="V888" s="4"/>
      <c r="W888" s="4"/>
      <c r="X888" s="4"/>
      <c r="Y888" s="4"/>
      <c r="Z888" s="4"/>
    </row>
    <row r="889" ht="14.25" customHeight="1">
      <c r="A889" s="4"/>
      <c r="B889" s="4"/>
      <c r="C889" s="4"/>
      <c r="D889" s="4"/>
      <c r="E889" s="4"/>
      <c r="F889" s="188"/>
      <c r="G889" s="188"/>
      <c r="H889" s="4"/>
      <c r="I889" s="4"/>
      <c r="J889" s="4"/>
      <c r="K889" s="4"/>
      <c r="L889" s="4"/>
      <c r="M889" s="4"/>
      <c r="N889" s="4"/>
      <c r="O889" s="4"/>
      <c r="P889" s="4"/>
      <c r="Q889" s="4"/>
      <c r="R889" s="4"/>
      <c r="S889" s="4"/>
      <c r="T889" s="4"/>
      <c r="U889" s="4"/>
      <c r="V889" s="4"/>
      <c r="W889" s="4"/>
      <c r="X889" s="4"/>
      <c r="Y889" s="4"/>
      <c r="Z889" s="4"/>
    </row>
    <row r="890" ht="14.25" customHeight="1">
      <c r="A890" s="4"/>
      <c r="B890" s="4"/>
      <c r="C890" s="4"/>
      <c r="D890" s="4"/>
      <c r="E890" s="4"/>
      <c r="F890" s="188"/>
      <c r="G890" s="188"/>
      <c r="H890" s="4"/>
      <c r="I890" s="4"/>
      <c r="J890" s="4"/>
      <c r="K890" s="4"/>
      <c r="L890" s="4"/>
      <c r="M890" s="4"/>
      <c r="N890" s="4"/>
      <c r="O890" s="4"/>
      <c r="P890" s="4"/>
      <c r="Q890" s="4"/>
      <c r="R890" s="4"/>
      <c r="S890" s="4"/>
      <c r="T890" s="4"/>
      <c r="U890" s="4"/>
      <c r="V890" s="4"/>
      <c r="W890" s="4"/>
      <c r="X890" s="4"/>
      <c r="Y890" s="4"/>
      <c r="Z890" s="4"/>
    </row>
    <row r="891" ht="14.25" customHeight="1">
      <c r="A891" s="4"/>
      <c r="B891" s="4"/>
      <c r="C891" s="4"/>
      <c r="D891" s="4"/>
      <c r="E891" s="4"/>
      <c r="F891" s="188"/>
      <c r="G891" s="188"/>
      <c r="H891" s="4"/>
      <c r="I891" s="4"/>
      <c r="J891" s="4"/>
      <c r="K891" s="4"/>
      <c r="L891" s="4"/>
      <c r="M891" s="4"/>
      <c r="N891" s="4"/>
      <c r="O891" s="4"/>
      <c r="P891" s="4"/>
      <c r="Q891" s="4"/>
      <c r="R891" s="4"/>
      <c r="S891" s="4"/>
      <c r="T891" s="4"/>
      <c r="U891" s="4"/>
      <c r="V891" s="4"/>
      <c r="W891" s="4"/>
      <c r="X891" s="4"/>
      <c r="Y891" s="4"/>
      <c r="Z891" s="4"/>
    </row>
    <row r="892" ht="14.25" customHeight="1">
      <c r="A892" s="4"/>
      <c r="B892" s="4"/>
      <c r="C892" s="4"/>
      <c r="D892" s="4"/>
      <c r="E892" s="4"/>
      <c r="F892" s="188"/>
      <c r="G892" s="188"/>
      <c r="H892" s="4"/>
      <c r="I892" s="4"/>
      <c r="J892" s="4"/>
      <c r="K892" s="4"/>
      <c r="L892" s="4"/>
      <c r="M892" s="4"/>
      <c r="N892" s="4"/>
      <c r="O892" s="4"/>
      <c r="P892" s="4"/>
      <c r="Q892" s="4"/>
      <c r="R892" s="4"/>
      <c r="S892" s="4"/>
      <c r="T892" s="4"/>
      <c r="U892" s="4"/>
      <c r="V892" s="4"/>
      <c r="W892" s="4"/>
      <c r="X892" s="4"/>
      <c r="Y892" s="4"/>
      <c r="Z892" s="4"/>
    </row>
    <row r="893" ht="14.25" customHeight="1">
      <c r="A893" s="4"/>
      <c r="B893" s="4"/>
      <c r="C893" s="4"/>
      <c r="D893" s="4"/>
      <c r="E893" s="4"/>
      <c r="F893" s="188"/>
      <c r="G893" s="188"/>
      <c r="H893" s="4"/>
      <c r="I893" s="4"/>
      <c r="J893" s="4"/>
      <c r="K893" s="4"/>
      <c r="L893" s="4"/>
      <c r="M893" s="4"/>
      <c r="N893" s="4"/>
      <c r="O893" s="4"/>
      <c r="P893" s="4"/>
      <c r="Q893" s="4"/>
      <c r="R893" s="4"/>
      <c r="S893" s="4"/>
      <c r="T893" s="4"/>
      <c r="U893" s="4"/>
      <c r="V893" s="4"/>
      <c r="W893" s="4"/>
      <c r="X893" s="4"/>
      <c r="Y893" s="4"/>
      <c r="Z893" s="4"/>
    </row>
    <row r="894" ht="14.25" customHeight="1">
      <c r="A894" s="4"/>
      <c r="B894" s="4"/>
      <c r="C894" s="4"/>
      <c r="D894" s="4"/>
      <c r="E894" s="4"/>
      <c r="F894" s="188"/>
      <c r="G894" s="188"/>
      <c r="H894" s="4"/>
      <c r="I894" s="4"/>
      <c r="J894" s="4"/>
      <c r="K894" s="4"/>
      <c r="L894" s="4"/>
      <c r="M894" s="4"/>
      <c r="N894" s="4"/>
      <c r="O894" s="4"/>
      <c r="P894" s="4"/>
      <c r="Q894" s="4"/>
      <c r="R894" s="4"/>
      <c r="S894" s="4"/>
      <c r="T894" s="4"/>
      <c r="U894" s="4"/>
      <c r="V894" s="4"/>
      <c r="W894" s="4"/>
      <c r="X894" s="4"/>
      <c r="Y894" s="4"/>
      <c r="Z894" s="4"/>
    </row>
    <row r="895" ht="14.25" customHeight="1">
      <c r="A895" s="4"/>
      <c r="B895" s="4"/>
      <c r="C895" s="4"/>
      <c r="D895" s="4"/>
      <c r="E895" s="4"/>
      <c r="F895" s="188"/>
      <c r="G895" s="188"/>
      <c r="H895" s="4"/>
      <c r="I895" s="4"/>
      <c r="J895" s="4"/>
      <c r="K895" s="4"/>
      <c r="L895" s="4"/>
      <c r="M895" s="4"/>
      <c r="N895" s="4"/>
      <c r="O895" s="4"/>
      <c r="P895" s="4"/>
      <c r="Q895" s="4"/>
      <c r="R895" s="4"/>
      <c r="S895" s="4"/>
      <c r="T895" s="4"/>
      <c r="U895" s="4"/>
      <c r="V895" s="4"/>
      <c r="W895" s="4"/>
      <c r="X895" s="4"/>
      <c r="Y895" s="4"/>
      <c r="Z895" s="4"/>
    </row>
    <row r="896" ht="14.25" customHeight="1">
      <c r="A896" s="4"/>
      <c r="B896" s="4"/>
      <c r="C896" s="4"/>
      <c r="D896" s="4"/>
      <c r="E896" s="4"/>
      <c r="F896" s="188"/>
      <c r="G896" s="188"/>
      <c r="H896" s="4"/>
      <c r="I896" s="4"/>
      <c r="J896" s="4"/>
      <c r="K896" s="4"/>
      <c r="L896" s="4"/>
      <c r="M896" s="4"/>
      <c r="N896" s="4"/>
      <c r="O896" s="4"/>
      <c r="P896" s="4"/>
      <c r="Q896" s="4"/>
      <c r="R896" s="4"/>
      <c r="S896" s="4"/>
      <c r="T896" s="4"/>
      <c r="U896" s="4"/>
      <c r="V896" s="4"/>
      <c r="W896" s="4"/>
      <c r="X896" s="4"/>
      <c r="Y896" s="4"/>
      <c r="Z896" s="4"/>
    </row>
    <row r="897" ht="14.25" customHeight="1">
      <c r="A897" s="4"/>
      <c r="B897" s="4"/>
      <c r="C897" s="4"/>
      <c r="D897" s="4"/>
      <c r="E897" s="4"/>
      <c r="F897" s="188"/>
      <c r="G897" s="188"/>
      <c r="H897" s="4"/>
      <c r="I897" s="4"/>
      <c r="J897" s="4"/>
      <c r="K897" s="4"/>
      <c r="L897" s="4"/>
      <c r="M897" s="4"/>
      <c r="N897" s="4"/>
      <c r="O897" s="4"/>
      <c r="P897" s="4"/>
      <c r="Q897" s="4"/>
      <c r="R897" s="4"/>
      <c r="S897" s="4"/>
      <c r="T897" s="4"/>
      <c r="U897" s="4"/>
      <c r="V897" s="4"/>
      <c r="W897" s="4"/>
      <c r="X897" s="4"/>
      <c r="Y897" s="4"/>
      <c r="Z897" s="4"/>
    </row>
    <row r="898" ht="14.25" customHeight="1">
      <c r="A898" s="4"/>
      <c r="B898" s="4"/>
      <c r="C898" s="4"/>
      <c r="D898" s="4"/>
      <c r="E898" s="4"/>
      <c r="F898" s="188"/>
      <c r="G898" s="188"/>
      <c r="H898" s="4"/>
      <c r="I898" s="4"/>
      <c r="J898" s="4"/>
      <c r="K898" s="4"/>
      <c r="L898" s="4"/>
      <c r="M898" s="4"/>
      <c r="N898" s="4"/>
      <c r="O898" s="4"/>
      <c r="P898" s="4"/>
      <c r="Q898" s="4"/>
      <c r="R898" s="4"/>
      <c r="S898" s="4"/>
      <c r="T898" s="4"/>
      <c r="U898" s="4"/>
      <c r="V898" s="4"/>
      <c r="W898" s="4"/>
      <c r="X898" s="4"/>
      <c r="Y898" s="4"/>
      <c r="Z898" s="4"/>
    </row>
    <row r="899" ht="14.25" customHeight="1">
      <c r="A899" s="4"/>
      <c r="B899" s="4"/>
      <c r="C899" s="4"/>
      <c r="D899" s="4"/>
      <c r="E899" s="4"/>
      <c r="F899" s="188"/>
      <c r="G899" s="188"/>
      <c r="H899" s="4"/>
      <c r="I899" s="4"/>
      <c r="J899" s="4"/>
      <c r="K899" s="4"/>
      <c r="L899" s="4"/>
      <c r="M899" s="4"/>
      <c r="N899" s="4"/>
      <c r="O899" s="4"/>
      <c r="P899" s="4"/>
      <c r="Q899" s="4"/>
      <c r="R899" s="4"/>
      <c r="S899" s="4"/>
      <c r="T899" s="4"/>
      <c r="U899" s="4"/>
      <c r="V899" s="4"/>
      <c r="W899" s="4"/>
      <c r="X899" s="4"/>
      <c r="Y899" s="4"/>
      <c r="Z899" s="4"/>
    </row>
    <row r="900" ht="14.25" customHeight="1">
      <c r="A900" s="4"/>
      <c r="B900" s="4"/>
      <c r="C900" s="4"/>
      <c r="D900" s="4"/>
      <c r="E900" s="4"/>
      <c r="F900" s="188"/>
      <c r="G900" s="188"/>
      <c r="H900" s="4"/>
      <c r="I900" s="4"/>
      <c r="J900" s="4"/>
      <c r="K900" s="4"/>
      <c r="L900" s="4"/>
      <c r="M900" s="4"/>
      <c r="N900" s="4"/>
      <c r="O900" s="4"/>
      <c r="P900" s="4"/>
      <c r="Q900" s="4"/>
      <c r="R900" s="4"/>
      <c r="S900" s="4"/>
      <c r="T900" s="4"/>
      <c r="U900" s="4"/>
      <c r="V900" s="4"/>
      <c r="W900" s="4"/>
      <c r="X900" s="4"/>
      <c r="Y900" s="4"/>
      <c r="Z900" s="4"/>
    </row>
    <row r="901" ht="14.25" customHeight="1">
      <c r="A901" s="4"/>
      <c r="B901" s="4"/>
      <c r="C901" s="4"/>
      <c r="D901" s="4"/>
      <c r="E901" s="4"/>
      <c r="F901" s="188"/>
      <c r="G901" s="188"/>
      <c r="H901" s="4"/>
      <c r="I901" s="4"/>
      <c r="J901" s="4"/>
      <c r="K901" s="4"/>
      <c r="L901" s="4"/>
      <c r="M901" s="4"/>
      <c r="N901" s="4"/>
      <c r="O901" s="4"/>
      <c r="P901" s="4"/>
      <c r="Q901" s="4"/>
      <c r="R901" s="4"/>
      <c r="S901" s="4"/>
      <c r="T901" s="4"/>
      <c r="U901" s="4"/>
      <c r="V901" s="4"/>
      <c r="W901" s="4"/>
      <c r="X901" s="4"/>
      <c r="Y901" s="4"/>
      <c r="Z901" s="4"/>
    </row>
    <row r="902" ht="14.25" customHeight="1">
      <c r="A902" s="4"/>
      <c r="B902" s="4"/>
      <c r="C902" s="4"/>
      <c r="D902" s="4"/>
      <c r="E902" s="4"/>
      <c r="F902" s="188"/>
      <c r="G902" s="188"/>
      <c r="H902" s="4"/>
      <c r="I902" s="4"/>
      <c r="J902" s="4"/>
      <c r="K902" s="4"/>
      <c r="L902" s="4"/>
      <c r="M902" s="4"/>
      <c r="N902" s="4"/>
      <c r="O902" s="4"/>
      <c r="P902" s="4"/>
      <c r="Q902" s="4"/>
      <c r="R902" s="4"/>
      <c r="S902" s="4"/>
      <c r="T902" s="4"/>
      <c r="U902" s="4"/>
      <c r="V902" s="4"/>
      <c r="W902" s="4"/>
      <c r="X902" s="4"/>
      <c r="Y902" s="4"/>
      <c r="Z902" s="4"/>
    </row>
    <row r="903" ht="14.25" customHeight="1">
      <c r="A903" s="4"/>
      <c r="B903" s="4"/>
      <c r="C903" s="4"/>
      <c r="D903" s="4"/>
      <c r="E903" s="4"/>
      <c r="F903" s="188"/>
      <c r="G903" s="188"/>
      <c r="H903" s="4"/>
      <c r="I903" s="4"/>
      <c r="J903" s="4"/>
      <c r="K903" s="4"/>
      <c r="L903" s="4"/>
      <c r="M903" s="4"/>
      <c r="N903" s="4"/>
      <c r="O903" s="4"/>
      <c r="P903" s="4"/>
      <c r="Q903" s="4"/>
      <c r="R903" s="4"/>
      <c r="S903" s="4"/>
      <c r="T903" s="4"/>
      <c r="U903" s="4"/>
      <c r="V903" s="4"/>
      <c r="W903" s="4"/>
      <c r="X903" s="4"/>
      <c r="Y903" s="4"/>
      <c r="Z903" s="4"/>
    </row>
    <row r="904" ht="14.25" customHeight="1">
      <c r="A904" s="4"/>
      <c r="B904" s="4"/>
      <c r="C904" s="4"/>
      <c r="D904" s="4"/>
      <c r="E904" s="4"/>
      <c r="F904" s="188"/>
      <c r="G904" s="188"/>
      <c r="H904" s="4"/>
      <c r="I904" s="4"/>
      <c r="J904" s="4"/>
      <c r="K904" s="4"/>
      <c r="L904" s="4"/>
      <c r="M904" s="4"/>
      <c r="N904" s="4"/>
      <c r="O904" s="4"/>
      <c r="P904" s="4"/>
      <c r="Q904" s="4"/>
      <c r="R904" s="4"/>
      <c r="S904" s="4"/>
      <c r="T904" s="4"/>
      <c r="U904" s="4"/>
      <c r="V904" s="4"/>
      <c r="W904" s="4"/>
      <c r="X904" s="4"/>
      <c r="Y904" s="4"/>
      <c r="Z904" s="4"/>
    </row>
    <row r="905" ht="14.25" customHeight="1">
      <c r="A905" s="4"/>
      <c r="B905" s="4"/>
      <c r="C905" s="4"/>
      <c r="D905" s="4"/>
      <c r="E905" s="4"/>
      <c r="F905" s="188"/>
      <c r="G905" s="188"/>
      <c r="H905" s="4"/>
      <c r="I905" s="4"/>
      <c r="J905" s="4"/>
      <c r="K905" s="4"/>
      <c r="L905" s="4"/>
      <c r="M905" s="4"/>
      <c r="N905" s="4"/>
      <c r="O905" s="4"/>
      <c r="P905" s="4"/>
      <c r="Q905" s="4"/>
      <c r="R905" s="4"/>
      <c r="S905" s="4"/>
      <c r="T905" s="4"/>
      <c r="U905" s="4"/>
      <c r="V905" s="4"/>
      <c r="W905" s="4"/>
      <c r="X905" s="4"/>
      <c r="Y905" s="4"/>
      <c r="Z905" s="4"/>
    </row>
    <row r="906" ht="14.25" customHeight="1">
      <c r="A906" s="4"/>
      <c r="B906" s="4"/>
      <c r="C906" s="4"/>
      <c r="D906" s="4"/>
      <c r="E906" s="4"/>
      <c r="F906" s="188"/>
      <c r="G906" s="188"/>
      <c r="H906" s="4"/>
      <c r="I906" s="4"/>
      <c r="J906" s="4"/>
      <c r="K906" s="4"/>
      <c r="L906" s="4"/>
      <c r="M906" s="4"/>
      <c r="N906" s="4"/>
      <c r="O906" s="4"/>
      <c r="P906" s="4"/>
      <c r="Q906" s="4"/>
      <c r="R906" s="4"/>
      <c r="S906" s="4"/>
      <c r="T906" s="4"/>
      <c r="U906" s="4"/>
      <c r="V906" s="4"/>
      <c r="W906" s="4"/>
      <c r="X906" s="4"/>
      <c r="Y906" s="4"/>
      <c r="Z906" s="4"/>
    </row>
    <row r="907" ht="14.25" customHeight="1">
      <c r="A907" s="4"/>
      <c r="B907" s="4"/>
      <c r="C907" s="4"/>
      <c r="D907" s="4"/>
      <c r="E907" s="4"/>
      <c r="F907" s="188"/>
      <c r="G907" s="188"/>
      <c r="H907" s="4"/>
      <c r="I907" s="4"/>
      <c r="J907" s="4"/>
      <c r="K907" s="4"/>
      <c r="L907" s="4"/>
      <c r="M907" s="4"/>
      <c r="N907" s="4"/>
      <c r="O907" s="4"/>
      <c r="P907" s="4"/>
      <c r="Q907" s="4"/>
      <c r="R907" s="4"/>
      <c r="S907" s="4"/>
      <c r="T907" s="4"/>
      <c r="U907" s="4"/>
      <c r="V907" s="4"/>
      <c r="W907" s="4"/>
      <c r="X907" s="4"/>
      <c r="Y907" s="4"/>
      <c r="Z907" s="4"/>
    </row>
    <row r="908" ht="14.25" customHeight="1">
      <c r="A908" s="4"/>
      <c r="B908" s="4"/>
      <c r="C908" s="4"/>
      <c r="D908" s="4"/>
      <c r="E908" s="4"/>
      <c r="F908" s="188"/>
      <c r="G908" s="188"/>
      <c r="H908" s="4"/>
      <c r="I908" s="4"/>
      <c r="J908" s="4"/>
      <c r="K908" s="4"/>
      <c r="L908" s="4"/>
      <c r="M908" s="4"/>
      <c r="N908" s="4"/>
      <c r="O908" s="4"/>
      <c r="P908" s="4"/>
      <c r="Q908" s="4"/>
      <c r="R908" s="4"/>
      <c r="S908" s="4"/>
      <c r="T908" s="4"/>
      <c r="U908" s="4"/>
      <c r="V908" s="4"/>
      <c r="W908" s="4"/>
      <c r="X908" s="4"/>
      <c r="Y908" s="4"/>
      <c r="Z908" s="4"/>
    </row>
    <row r="909" ht="14.25" customHeight="1">
      <c r="A909" s="4"/>
      <c r="B909" s="4"/>
      <c r="C909" s="4"/>
      <c r="D909" s="4"/>
      <c r="E909" s="4"/>
      <c r="F909" s="188"/>
      <c r="G909" s="188"/>
      <c r="H909" s="4"/>
      <c r="I909" s="4"/>
      <c r="J909" s="4"/>
      <c r="K909" s="4"/>
      <c r="L909" s="4"/>
      <c r="M909" s="4"/>
      <c r="N909" s="4"/>
      <c r="O909" s="4"/>
      <c r="P909" s="4"/>
      <c r="Q909" s="4"/>
      <c r="R909" s="4"/>
      <c r="S909" s="4"/>
      <c r="T909" s="4"/>
      <c r="U909" s="4"/>
      <c r="V909" s="4"/>
      <c r="W909" s="4"/>
      <c r="X909" s="4"/>
      <c r="Y909" s="4"/>
      <c r="Z909" s="4"/>
    </row>
    <row r="910" ht="14.25" customHeight="1">
      <c r="A910" s="4"/>
      <c r="B910" s="4"/>
      <c r="C910" s="4"/>
      <c r="D910" s="4"/>
      <c r="E910" s="4"/>
      <c r="F910" s="188"/>
      <c r="G910" s="188"/>
      <c r="H910" s="4"/>
      <c r="I910" s="4"/>
      <c r="J910" s="4"/>
      <c r="K910" s="4"/>
      <c r="L910" s="4"/>
      <c r="M910" s="4"/>
      <c r="N910" s="4"/>
      <c r="O910" s="4"/>
      <c r="P910" s="4"/>
      <c r="Q910" s="4"/>
      <c r="R910" s="4"/>
      <c r="S910" s="4"/>
      <c r="T910" s="4"/>
      <c r="U910" s="4"/>
      <c r="V910" s="4"/>
      <c r="W910" s="4"/>
      <c r="X910" s="4"/>
      <c r="Y910" s="4"/>
      <c r="Z910" s="4"/>
    </row>
    <row r="911" ht="14.25" customHeight="1">
      <c r="A911" s="4"/>
      <c r="B911" s="4"/>
      <c r="C911" s="4"/>
      <c r="D911" s="4"/>
      <c r="E911" s="4"/>
      <c r="F911" s="188"/>
      <c r="G911" s="188"/>
      <c r="H911" s="4"/>
      <c r="I911" s="4"/>
      <c r="J911" s="4"/>
      <c r="K911" s="4"/>
      <c r="L911" s="4"/>
      <c r="M911" s="4"/>
      <c r="N911" s="4"/>
      <c r="O911" s="4"/>
      <c r="P911" s="4"/>
      <c r="Q911" s="4"/>
      <c r="R911" s="4"/>
      <c r="S911" s="4"/>
      <c r="T911" s="4"/>
      <c r="U911" s="4"/>
      <c r="V911" s="4"/>
      <c r="W911" s="4"/>
      <c r="X911" s="4"/>
      <c r="Y911" s="4"/>
      <c r="Z911" s="4"/>
    </row>
    <row r="912" ht="14.25" customHeight="1">
      <c r="A912" s="4"/>
      <c r="B912" s="4"/>
      <c r="C912" s="4"/>
      <c r="D912" s="4"/>
      <c r="E912" s="4"/>
      <c r="F912" s="188"/>
      <c r="G912" s="188"/>
      <c r="H912" s="4"/>
      <c r="I912" s="4"/>
      <c r="J912" s="4"/>
      <c r="K912" s="4"/>
      <c r="L912" s="4"/>
      <c r="M912" s="4"/>
      <c r="N912" s="4"/>
      <c r="O912" s="4"/>
      <c r="P912" s="4"/>
      <c r="Q912" s="4"/>
      <c r="R912" s="4"/>
      <c r="S912" s="4"/>
      <c r="T912" s="4"/>
      <c r="U912" s="4"/>
      <c r="V912" s="4"/>
      <c r="W912" s="4"/>
      <c r="X912" s="4"/>
      <c r="Y912" s="4"/>
      <c r="Z912" s="4"/>
    </row>
    <row r="913" ht="14.25" customHeight="1">
      <c r="A913" s="4"/>
      <c r="B913" s="4"/>
      <c r="C913" s="4"/>
      <c r="D913" s="4"/>
      <c r="E913" s="4"/>
      <c r="F913" s="188"/>
      <c r="G913" s="188"/>
      <c r="H913" s="4"/>
      <c r="I913" s="4"/>
      <c r="J913" s="4"/>
      <c r="K913" s="4"/>
      <c r="L913" s="4"/>
      <c r="M913" s="4"/>
      <c r="N913" s="4"/>
      <c r="O913" s="4"/>
      <c r="P913" s="4"/>
      <c r="Q913" s="4"/>
      <c r="R913" s="4"/>
      <c r="S913" s="4"/>
      <c r="T913" s="4"/>
      <c r="U913" s="4"/>
      <c r="V913" s="4"/>
      <c r="W913" s="4"/>
      <c r="X913" s="4"/>
      <c r="Y913" s="4"/>
      <c r="Z913" s="4"/>
    </row>
    <row r="914" ht="14.25" customHeight="1">
      <c r="A914" s="4"/>
      <c r="B914" s="4"/>
      <c r="C914" s="4"/>
      <c r="D914" s="4"/>
      <c r="E914" s="4"/>
      <c r="F914" s="188"/>
      <c r="G914" s="188"/>
      <c r="H914" s="4"/>
      <c r="I914" s="4"/>
      <c r="J914" s="4"/>
      <c r="K914" s="4"/>
      <c r="L914" s="4"/>
      <c r="M914" s="4"/>
      <c r="N914" s="4"/>
      <c r="O914" s="4"/>
      <c r="P914" s="4"/>
      <c r="Q914" s="4"/>
      <c r="R914" s="4"/>
      <c r="S914" s="4"/>
      <c r="T914" s="4"/>
      <c r="U914" s="4"/>
      <c r="V914" s="4"/>
      <c r="W914" s="4"/>
      <c r="X914" s="4"/>
      <c r="Y914" s="4"/>
      <c r="Z914" s="4"/>
    </row>
    <row r="915" ht="14.25" customHeight="1">
      <c r="A915" s="4"/>
      <c r="B915" s="4"/>
      <c r="C915" s="4"/>
      <c r="D915" s="4"/>
      <c r="E915" s="4"/>
      <c r="F915" s="188"/>
      <c r="G915" s="188"/>
      <c r="H915" s="4"/>
      <c r="I915" s="4"/>
      <c r="J915" s="4"/>
      <c r="K915" s="4"/>
      <c r="L915" s="4"/>
      <c r="M915" s="4"/>
      <c r="N915" s="4"/>
      <c r="O915" s="4"/>
      <c r="P915" s="4"/>
      <c r="Q915" s="4"/>
      <c r="R915" s="4"/>
      <c r="S915" s="4"/>
      <c r="T915" s="4"/>
      <c r="U915" s="4"/>
      <c r="V915" s="4"/>
      <c r="W915" s="4"/>
      <c r="X915" s="4"/>
      <c r="Y915" s="4"/>
      <c r="Z915" s="4"/>
    </row>
    <row r="916" ht="14.25" customHeight="1">
      <c r="A916" s="4"/>
      <c r="B916" s="4"/>
      <c r="C916" s="4"/>
      <c r="D916" s="4"/>
      <c r="E916" s="4"/>
      <c r="F916" s="188"/>
      <c r="G916" s="188"/>
      <c r="H916" s="4"/>
      <c r="I916" s="4"/>
      <c r="J916" s="4"/>
      <c r="K916" s="4"/>
      <c r="L916" s="4"/>
      <c r="M916" s="4"/>
      <c r="N916" s="4"/>
      <c r="O916" s="4"/>
      <c r="P916" s="4"/>
      <c r="Q916" s="4"/>
      <c r="R916" s="4"/>
      <c r="S916" s="4"/>
      <c r="T916" s="4"/>
      <c r="U916" s="4"/>
      <c r="V916" s="4"/>
      <c r="W916" s="4"/>
      <c r="X916" s="4"/>
      <c r="Y916" s="4"/>
      <c r="Z916" s="4"/>
    </row>
    <row r="917" ht="14.25" customHeight="1">
      <c r="A917" s="4"/>
      <c r="B917" s="4"/>
      <c r="C917" s="4"/>
      <c r="D917" s="4"/>
      <c r="E917" s="4"/>
      <c r="F917" s="188"/>
      <c r="G917" s="188"/>
      <c r="H917" s="4"/>
      <c r="I917" s="4"/>
      <c r="J917" s="4"/>
      <c r="K917" s="4"/>
      <c r="L917" s="4"/>
      <c r="M917" s="4"/>
      <c r="N917" s="4"/>
      <c r="O917" s="4"/>
      <c r="P917" s="4"/>
      <c r="Q917" s="4"/>
      <c r="R917" s="4"/>
      <c r="S917" s="4"/>
      <c r="T917" s="4"/>
      <c r="U917" s="4"/>
      <c r="V917" s="4"/>
      <c r="W917" s="4"/>
      <c r="X917" s="4"/>
      <c r="Y917" s="4"/>
      <c r="Z917" s="4"/>
    </row>
    <row r="918" ht="14.25" customHeight="1">
      <c r="A918" s="4"/>
      <c r="B918" s="4"/>
      <c r="C918" s="4"/>
      <c r="D918" s="4"/>
      <c r="E918" s="4"/>
      <c r="F918" s="188"/>
      <c r="G918" s="188"/>
      <c r="H918" s="4"/>
      <c r="I918" s="4"/>
      <c r="J918" s="4"/>
      <c r="K918" s="4"/>
      <c r="L918" s="4"/>
      <c r="M918" s="4"/>
      <c r="N918" s="4"/>
      <c r="O918" s="4"/>
      <c r="P918" s="4"/>
      <c r="Q918" s="4"/>
      <c r="R918" s="4"/>
      <c r="S918" s="4"/>
      <c r="T918" s="4"/>
      <c r="U918" s="4"/>
      <c r="V918" s="4"/>
      <c r="W918" s="4"/>
      <c r="X918" s="4"/>
      <c r="Y918" s="4"/>
      <c r="Z918" s="4"/>
    </row>
    <row r="919" ht="14.25" customHeight="1">
      <c r="A919" s="4"/>
      <c r="B919" s="4"/>
      <c r="C919" s="4"/>
      <c r="D919" s="4"/>
      <c r="E919" s="4"/>
      <c r="F919" s="188"/>
      <c r="G919" s="188"/>
      <c r="H919" s="4"/>
      <c r="I919" s="4"/>
      <c r="J919" s="4"/>
      <c r="K919" s="4"/>
      <c r="L919" s="4"/>
      <c r="M919" s="4"/>
      <c r="N919" s="4"/>
      <c r="O919" s="4"/>
      <c r="P919" s="4"/>
      <c r="Q919" s="4"/>
      <c r="R919" s="4"/>
      <c r="S919" s="4"/>
      <c r="T919" s="4"/>
      <c r="U919" s="4"/>
      <c r="V919" s="4"/>
      <c r="W919" s="4"/>
      <c r="X919" s="4"/>
      <c r="Y919" s="4"/>
      <c r="Z919" s="4"/>
    </row>
    <row r="920" ht="14.25" customHeight="1">
      <c r="A920" s="4"/>
      <c r="B920" s="4"/>
      <c r="C920" s="4"/>
      <c r="D920" s="4"/>
      <c r="E920" s="4"/>
      <c r="F920" s="188"/>
      <c r="G920" s="188"/>
      <c r="H920" s="4"/>
      <c r="I920" s="4"/>
      <c r="J920" s="4"/>
      <c r="K920" s="4"/>
      <c r="L920" s="4"/>
      <c r="M920" s="4"/>
      <c r="N920" s="4"/>
      <c r="O920" s="4"/>
      <c r="P920" s="4"/>
      <c r="Q920" s="4"/>
      <c r="R920" s="4"/>
      <c r="S920" s="4"/>
      <c r="T920" s="4"/>
      <c r="U920" s="4"/>
      <c r="V920" s="4"/>
      <c r="W920" s="4"/>
      <c r="X920" s="4"/>
      <c r="Y920" s="4"/>
      <c r="Z920" s="4"/>
    </row>
    <row r="921" ht="14.25" customHeight="1">
      <c r="A921" s="4"/>
      <c r="B921" s="4"/>
      <c r="C921" s="4"/>
      <c r="D921" s="4"/>
      <c r="E921" s="4"/>
      <c r="F921" s="188"/>
      <c r="G921" s="188"/>
      <c r="H921" s="4"/>
      <c r="I921" s="4"/>
      <c r="J921" s="4"/>
      <c r="K921" s="4"/>
      <c r="L921" s="4"/>
      <c r="M921" s="4"/>
      <c r="N921" s="4"/>
      <c r="O921" s="4"/>
      <c r="P921" s="4"/>
      <c r="Q921" s="4"/>
      <c r="R921" s="4"/>
      <c r="S921" s="4"/>
      <c r="T921" s="4"/>
      <c r="U921" s="4"/>
      <c r="V921" s="4"/>
      <c r="W921" s="4"/>
      <c r="X921" s="4"/>
      <c r="Y921" s="4"/>
      <c r="Z921" s="4"/>
    </row>
    <row r="922" ht="14.25" customHeight="1">
      <c r="A922" s="4"/>
      <c r="B922" s="4"/>
      <c r="C922" s="4"/>
      <c r="D922" s="4"/>
      <c r="E922" s="4"/>
      <c r="F922" s="188"/>
      <c r="G922" s="188"/>
      <c r="H922" s="4"/>
      <c r="I922" s="4"/>
      <c r="J922" s="4"/>
      <c r="K922" s="4"/>
      <c r="L922" s="4"/>
      <c r="M922" s="4"/>
      <c r="N922" s="4"/>
      <c r="O922" s="4"/>
      <c r="P922" s="4"/>
      <c r="Q922" s="4"/>
      <c r="R922" s="4"/>
      <c r="S922" s="4"/>
      <c r="T922" s="4"/>
      <c r="U922" s="4"/>
      <c r="V922" s="4"/>
      <c r="W922" s="4"/>
      <c r="X922" s="4"/>
      <c r="Y922" s="4"/>
      <c r="Z922" s="4"/>
    </row>
    <row r="923" ht="14.25" customHeight="1">
      <c r="A923" s="4"/>
      <c r="B923" s="4"/>
      <c r="C923" s="4"/>
      <c r="D923" s="4"/>
      <c r="E923" s="4"/>
      <c r="F923" s="188"/>
      <c r="G923" s="188"/>
      <c r="H923" s="4"/>
      <c r="I923" s="4"/>
      <c r="J923" s="4"/>
      <c r="K923" s="4"/>
      <c r="L923" s="4"/>
      <c r="M923" s="4"/>
      <c r="N923" s="4"/>
      <c r="O923" s="4"/>
      <c r="P923" s="4"/>
      <c r="Q923" s="4"/>
      <c r="R923" s="4"/>
      <c r="S923" s="4"/>
      <c r="T923" s="4"/>
      <c r="U923" s="4"/>
      <c r="V923" s="4"/>
      <c r="W923" s="4"/>
      <c r="X923" s="4"/>
      <c r="Y923" s="4"/>
      <c r="Z923" s="4"/>
    </row>
    <row r="924" ht="14.25" customHeight="1">
      <c r="A924" s="4"/>
      <c r="B924" s="4"/>
      <c r="C924" s="4"/>
      <c r="D924" s="4"/>
      <c r="E924" s="4"/>
      <c r="F924" s="188"/>
      <c r="G924" s="188"/>
      <c r="H924" s="4"/>
      <c r="I924" s="4"/>
      <c r="J924" s="4"/>
      <c r="K924" s="4"/>
      <c r="L924" s="4"/>
      <c r="M924" s="4"/>
      <c r="N924" s="4"/>
      <c r="O924" s="4"/>
      <c r="P924" s="4"/>
      <c r="Q924" s="4"/>
      <c r="R924" s="4"/>
      <c r="S924" s="4"/>
      <c r="T924" s="4"/>
      <c r="U924" s="4"/>
      <c r="V924" s="4"/>
      <c r="W924" s="4"/>
      <c r="X924" s="4"/>
      <c r="Y924" s="4"/>
      <c r="Z924" s="4"/>
    </row>
    <row r="925" ht="14.25" customHeight="1">
      <c r="A925" s="4"/>
      <c r="B925" s="4"/>
      <c r="C925" s="4"/>
      <c r="D925" s="4"/>
      <c r="E925" s="4"/>
      <c r="F925" s="188"/>
      <c r="G925" s="188"/>
      <c r="H925" s="4"/>
      <c r="I925" s="4"/>
      <c r="J925" s="4"/>
      <c r="K925" s="4"/>
      <c r="L925" s="4"/>
      <c r="M925" s="4"/>
      <c r="N925" s="4"/>
      <c r="O925" s="4"/>
      <c r="P925" s="4"/>
      <c r="Q925" s="4"/>
      <c r="R925" s="4"/>
      <c r="S925" s="4"/>
      <c r="T925" s="4"/>
      <c r="U925" s="4"/>
      <c r="V925" s="4"/>
      <c r="W925" s="4"/>
      <c r="X925" s="4"/>
      <c r="Y925" s="4"/>
      <c r="Z925" s="4"/>
    </row>
    <row r="926" ht="14.25" customHeight="1">
      <c r="A926" s="4"/>
      <c r="B926" s="4"/>
      <c r="C926" s="4"/>
      <c r="D926" s="4"/>
      <c r="E926" s="4"/>
      <c r="F926" s="188"/>
      <c r="G926" s="188"/>
      <c r="H926" s="4"/>
      <c r="I926" s="4"/>
      <c r="J926" s="4"/>
      <c r="K926" s="4"/>
      <c r="L926" s="4"/>
      <c r="M926" s="4"/>
      <c r="N926" s="4"/>
      <c r="O926" s="4"/>
      <c r="P926" s="4"/>
      <c r="Q926" s="4"/>
      <c r="R926" s="4"/>
      <c r="S926" s="4"/>
      <c r="T926" s="4"/>
      <c r="U926" s="4"/>
      <c r="V926" s="4"/>
      <c r="W926" s="4"/>
      <c r="X926" s="4"/>
      <c r="Y926" s="4"/>
      <c r="Z926" s="4"/>
    </row>
    <row r="927" ht="14.25" customHeight="1">
      <c r="A927" s="4"/>
      <c r="B927" s="4"/>
      <c r="C927" s="4"/>
      <c r="D927" s="4"/>
      <c r="E927" s="4"/>
      <c r="F927" s="188"/>
      <c r="G927" s="188"/>
      <c r="H927" s="4"/>
      <c r="I927" s="4"/>
      <c r="J927" s="4"/>
      <c r="K927" s="4"/>
      <c r="L927" s="4"/>
      <c r="M927" s="4"/>
      <c r="N927" s="4"/>
      <c r="O927" s="4"/>
      <c r="P927" s="4"/>
      <c r="Q927" s="4"/>
      <c r="R927" s="4"/>
      <c r="S927" s="4"/>
      <c r="T927" s="4"/>
      <c r="U927" s="4"/>
      <c r="V927" s="4"/>
      <c r="W927" s="4"/>
      <c r="X927" s="4"/>
      <c r="Y927" s="4"/>
      <c r="Z927" s="4"/>
    </row>
    <row r="928" ht="14.25" customHeight="1">
      <c r="A928" s="4"/>
      <c r="B928" s="4"/>
      <c r="C928" s="4"/>
      <c r="D928" s="4"/>
      <c r="E928" s="4"/>
      <c r="F928" s="188"/>
      <c r="G928" s="188"/>
      <c r="H928" s="4"/>
      <c r="I928" s="4"/>
      <c r="J928" s="4"/>
      <c r="K928" s="4"/>
      <c r="L928" s="4"/>
      <c r="M928" s="4"/>
      <c r="N928" s="4"/>
      <c r="O928" s="4"/>
      <c r="P928" s="4"/>
      <c r="Q928" s="4"/>
      <c r="R928" s="4"/>
      <c r="S928" s="4"/>
      <c r="T928" s="4"/>
      <c r="U928" s="4"/>
      <c r="V928" s="4"/>
      <c r="W928" s="4"/>
      <c r="X928" s="4"/>
      <c r="Y928" s="4"/>
      <c r="Z928" s="4"/>
    </row>
    <row r="929" ht="14.25" customHeight="1">
      <c r="A929" s="4"/>
      <c r="B929" s="4"/>
      <c r="C929" s="4"/>
      <c r="D929" s="4"/>
      <c r="E929" s="4"/>
      <c r="F929" s="188"/>
      <c r="G929" s="188"/>
      <c r="H929" s="4"/>
      <c r="I929" s="4"/>
      <c r="J929" s="4"/>
      <c r="K929" s="4"/>
      <c r="L929" s="4"/>
      <c r="M929" s="4"/>
      <c r="N929" s="4"/>
      <c r="O929" s="4"/>
      <c r="P929" s="4"/>
      <c r="Q929" s="4"/>
      <c r="R929" s="4"/>
      <c r="S929" s="4"/>
      <c r="T929" s="4"/>
      <c r="U929" s="4"/>
      <c r="V929" s="4"/>
      <c r="W929" s="4"/>
      <c r="X929" s="4"/>
      <c r="Y929" s="4"/>
      <c r="Z929" s="4"/>
    </row>
    <row r="930" ht="14.25" customHeight="1">
      <c r="A930" s="4"/>
      <c r="B930" s="4"/>
      <c r="C930" s="4"/>
      <c r="D930" s="4"/>
      <c r="E930" s="4"/>
      <c r="F930" s="188"/>
      <c r="G930" s="188"/>
      <c r="H930" s="4"/>
      <c r="I930" s="4"/>
      <c r="J930" s="4"/>
      <c r="K930" s="4"/>
      <c r="L930" s="4"/>
      <c r="M930" s="4"/>
      <c r="N930" s="4"/>
      <c r="O930" s="4"/>
      <c r="P930" s="4"/>
      <c r="Q930" s="4"/>
      <c r="R930" s="4"/>
      <c r="S930" s="4"/>
      <c r="T930" s="4"/>
      <c r="U930" s="4"/>
      <c r="V930" s="4"/>
      <c r="W930" s="4"/>
      <c r="X930" s="4"/>
      <c r="Y930" s="4"/>
      <c r="Z930" s="4"/>
    </row>
    <row r="931" ht="14.25" customHeight="1">
      <c r="A931" s="4"/>
      <c r="B931" s="4"/>
      <c r="C931" s="4"/>
      <c r="D931" s="4"/>
      <c r="E931" s="4"/>
      <c r="F931" s="188"/>
      <c r="G931" s="188"/>
      <c r="H931" s="4"/>
      <c r="I931" s="4"/>
      <c r="J931" s="4"/>
      <c r="K931" s="4"/>
      <c r="L931" s="4"/>
      <c r="M931" s="4"/>
      <c r="N931" s="4"/>
      <c r="O931" s="4"/>
      <c r="P931" s="4"/>
      <c r="Q931" s="4"/>
      <c r="R931" s="4"/>
      <c r="S931" s="4"/>
      <c r="T931" s="4"/>
      <c r="U931" s="4"/>
      <c r="V931" s="4"/>
      <c r="W931" s="4"/>
      <c r="X931" s="4"/>
      <c r="Y931" s="4"/>
      <c r="Z931" s="4"/>
    </row>
    <row r="932" ht="14.25" customHeight="1">
      <c r="A932" s="4"/>
      <c r="B932" s="4"/>
      <c r="C932" s="4"/>
      <c r="D932" s="4"/>
      <c r="E932" s="4"/>
      <c r="F932" s="188"/>
      <c r="G932" s="188"/>
      <c r="H932" s="4"/>
      <c r="I932" s="4"/>
      <c r="J932" s="4"/>
      <c r="K932" s="4"/>
      <c r="L932" s="4"/>
      <c r="M932" s="4"/>
      <c r="N932" s="4"/>
      <c r="O932" s="4"/>
      <c r="P932" s="4"/>
      <c r="Q932" s="4"/>
      <c r="R932" s="4"/>
      <c r="S932" s="4"/>
      <c r="T932" s="4"/>
      <c r="U932" s="4"/>
      <c r="V932" s="4"/>
      <c r="W932" s="4"/>
      <c r="X932" s="4"/>
      <c r="Y932" s="4"/>
      <c r="Z932" s="4"/>
    </row>
    <row r="933" ht="14.25" customHeight="1">
      <c r="A933" s="4"/>
      <c r="B933" s="4"/>
      <c r="C933" s="4"/>
      <c r="D933" s="4"/>
      <c r="E933" s="4"/>
      <c r="F933" s="188"/>
      <c r="G933" s="188"/>
      <c r="H933" s="4"/>
      <c r="I933" s="4"/>
      <c r="J933" s="4"/>
      <c r="K933" s="4"/>
      <c r="L933" s="4"/>
      <c r="M933" s="4"/>
      <c r="N933" s="4"/>
      <c r="O933" s="4"/>
      <c r="P933" s="4"/>
      <c r="Q933" s="4"/>
      <c r="R933" s="4"/>
      <c r="S933" s="4"/>
      <c r="T933" s="4"/>
      <c r="U933" s="4"/>
      <c r="V933" s="4"/>
      <c r="W933" s="4"/>
      <c r="X933" s="4"/>
      <c r="Y933" s="4"/>
      <c r="Z933" s="4"/>
    </row>
    <row r="934" ht="14.25" customHeight="1">
      <c r="A934" s="4"/>
      <c r="B934" s="4"/>
      <c r="C934" s="4"/>
      <c r="D934" s="4"/>
      <c r="E934" s="4"/>
      <c r="F934" s="188"/>
      <c r="G934" s="188"/>
      <c r="H934" s="4"/>
      <c r="I934" s="4"/>
      <c r="J934" s="4"/>
      <c r="K934" s="4"/>
      <c r="L934" s="4"/>
      <c r="M934" s="4"/>
      <c r="N934" s="4"/>
      <c r="O934" s="4"/>
      <c r="P934" s="4"/>
      <c r="Q934" s="4"/>
      <c r="R934" s="4"/>
      <c r="S934" s="4"/>
      <c r="T934" s="4"/>
      <c r="U934" s="4"/>
      <c r="V934" s="4"/>
      <c r="W934" s="4"/>
      <c r="X934" s="4"/>
      <c r="Y934" s="4"/>
      <c r="Z934" s="4"/>
    </row>
    <row r="935" ht="14.25" customHeight="1">
      <c r="A935" s="4"/>
      <c r="B935" s="4"/>
      <c r="C935" s="4"/>
      <c r="D935" s="4"/>
      <c r="E935" s="4"/>
      <c r="F935" s="188"/>
      <c r="G935" s="188"/>
      <c r="H935" s="4"/>
      <c r="I935" s="4"/>
      <c r="J935" s="4"/>
      <c r="K935" s="4"/>
      <c r="L935" s="4"/>
      <c r="M935" s="4"/>
      <c r="N935" s="4"/>
      <c r="O935" s="4"/>
      <c r="P935" s="4"/>
      <c r="Q935" s="4"/>
      <c r="R935" s="4"/>
      <c r="S935" s="4"/>
      <c r="T935" s="4"/>
      <c r="U935" s="4"/>
      <c r="V935" s="4"/>
      <c r="W935" s="4"/>
      <c r="X935" s="4"/>
      <c r="Y935" s="4"/>
      <c r="Z935" s="4"/>
    </row>
    <row r="936" ht="14.25" customHeight="1">
      <c r="A936" s="4"/>
      <c r="B936" s="4"/>
      <c r="C936" s="4"/>
      <c r="D936" s="4"/>
      <c r="E936" s="4"/>
      <c r="F936" s="188"/>
      <c r="G936" s="188"/>
      <c r="H936" s="4"/>
      <c r="I936" s="4"/>
      <c r="J936" s="4"/>
      <c r="K936" s="4"/>
      <c r="L936" s="4"/>
      <c r="M936" s="4"/>
      <c r="N936" s="4"/>
      <c r="O936" s="4"/>
      <c r="P936" s="4"/>
      <c r="Q936" s="4"/>
      <c r="R936" s="4"/>
      <c r="S936" s="4"/>
      <c r="T936" s="4"/>
      <c r="U936" s="4"/>
      <c r="V936" s="4"/>
      <c r="W936" s="4"/>
      <c r="X936" s="4"/>
      <c r="Y936" s="4"/>
      <c r="Z936" s="4"/>
    </row>
    <row r="937" ht="14.25" customHeight="1">
      <c r="A937" s="4"/>
      <c r="B937" s="4"/>
      <c r="C937" s="4"/>
      <c r="D937" s="4"/>
      <c r="E937" s="4"/>
      <c r="F937" s="188"/>
      <c r="G937" s="188"/>
      <c r="H937" s="4"/>
      <c r="I937" s="4"/>
      <c r="J937" s="4"/>
      <c r="K937" s="4"/>
      <c r="L937" s="4"/>
      <c r="M937" s="4"/>
      <c r="N937" s="4"/>
      <c r="O937" s="4"/>
      <c r="P937" s="4"/>
      <c r="Q937" s="4"/>
      <c r="R937" s="4"/>
      <c r="S937" s="4"/>
      <c r="T937" s="4"/>
      <c r="U937" s="4"/>
      <c r="V937" s="4"/>
      <c r="W937" s="4"/>
      <c r="X937" s="4"/>
      <c r="Y937" s="4"/>
      <c r="Z937" s="4"/>
    </row>
    <row r="938" ht="14.25" customHeight="1">
      <c r="A938" s="4"/>
      <c r="B938" s="4"/>
      <c r="C938" s="4"/>
      <c r="D938" s="4"/>
      <c r="E938" s="4"/>
      <c r="F938" s="188"/>
      <c r="G938" s="188"/>
      <c r="H938" s="4"/>
      <c r="I938" s="4"/>
      <c r="J938" s="4"/>
      <c r="K938" s="4"/>
      <c r="L938" s="4"/>
      <c r="M938" s="4"/>
      <c r="N938" s="4"/>
      <c r="O938" s="4"/>
      <c r="P938" s="4"/>
      <c r="Q938" s="4"/>
      <c r="R938" s="4"/>
      <c r="S938" s="4"/>
      <c r="T938" s="4"/>
      <c r="U938" s="4"/>
      <c r="V938" s="4"/>
      <c r="W938" s="4"/>
      <c r="X938" s="4"/>
      <c r="Y938" s="4"/>
      <c r="Z938" s="4"/>
    </row>
    <row r="939" ht="14.25" customHeight="1">
      <c r="A939" s="4"/>
      <c r="B939" s="4"/>
      <c r="C939" s="4"/>
      <c r="D939" s="4"/>
      <c r="E939" s="4"/>
      <c r="F939" s="188"/>
      <c r="G939" s="188"/>
      <c r="H939" s="4"/>
      <c r="I939" s="4"/>
      <c r="J939" s="4"/>
      <c r="K939" s="4"/>
      <c r="L939" s="4"/>
      <c r="M939" s="4"/>
      <c r="N939" s="4"/>
      <c r="O939" s="4"/>
      <c r="P939" s="4"/>
      <c r="Q939" s="4"/>
      <c r="R939" s="4"/>
      <c r="S939" s="4"/>
      <c r="T939" s="4"/>
      <c r="U939" s="4"/>
      <c r="V939" s="4"/>
      <c r="W939" s="4"/>
      <c r="X939" s="4"/>
      <c r="Y939" s="4"/>
      <c r="Z939" s="4"/>
    </row>
    <row r="940" ht="14.25" customHeight="1">
      <c r="A940" s="4"/>
      <c r="B940" s="4"/>
      <c r="C940" s="4"/>
      <c r="D940" s="4"/>
      <c r="E940" s="4"/>
      <c r="F940" s="188"/>
      <c r="G940" s="188"/>
      <c r="H940" s="4"/>
      <c r="I940" s="4"/>
      <c r="J940" s="4"/>
      <c r="K940" s="4"/>
      <c r="L940" s="4"/>
      <c r="M940" s="4"/>
      <c r="N940" s="4"/>
      <c r="O940" s="4"/>
      <c r="P940" s="4"/>
      <c r="Q940" s="4"/>
      <c r="R940" s="4"/>
      <c r="S940" s="4"/>
      <c r="T940" s="4"/>
      <c r="U940" s="4"/>
      <c r="V940" s="4"/>
      <c r="W940" s="4"/>
      <c r="X940" s="4"/>
      <c r="Y940" s="4"/>
      <c r="Z940" s="4"/>
    </row>
    <row r="941" ht="14.25" customHeight="1">
      <c r="A941" s="4"/>
      <c r="B941" s="4"/>
      <c r="C941" s="4"/>
      <c r="D941" s="4"/>
      <c r="E941" s="4"/>
      <c r="F941" s="188"/>
      <c r="G941" s="188"/>
      <c r="H941" s="4"/>
      <c r="I941" s="4"/>
      <c r="J941" s="4"/>
      <c r="K941" s="4"/>
      <c r="L941" s="4"/>
      <c r="M941" s="4"/>
      <c r="N941" s="4"/>
      <c r="O941" s="4"/>
      <c r="P941" s="4"/>
      <c r="Q941" s="4"/>
      <c r="R941" s="4"/>
      <c r="S941" s="4"/>
      <c r="T941" s="4"/>
      <c r="U941" s="4"/>
      <c r="V941" s="4"/>
      <c r="W941" s="4"/>
      <c r="X941" s="4"/>
      <c r="Y941" s="4"/>
      <c r="Z941" s="4"/>
    </row>
    <row r="942" ht="14.25" customHeight="1">
      <c r="A942" s="4"/>
      <c r="B942" s="4"/>
      <c r="C942" s="4"/>
      <c r="D942" s="4"/>
      <c r="E942" s="4"/>
      <c r="F942" s="188"/>
      <c r="G942" s="188"/>
      <c r="H942" s="4"/>
      <c r="I942" s="4"/>
      <c r="J942" s="4"/>
      <c r="K942" s="4"/>
      <c r="L942" s="4"/>
      <c r="M942" s="4"/>
      <c r="N942" s="4"/>
      <c r="O942" s="4"/>
      <c r="P942" s="4"/>
      <c r="Q942" s="4"/>
      <c r="R942" s="4"/>
      <c r="S942" s="4"/>
      <c r="T942" s="4"/>
      <c r="U942" s="4"/>
      <c r="V942" s="4"/>
      <c r="W942" s="4"/>
      <c r="X942" s="4"/>
      <c r="Y942" s="4"/>
      <c r="Z942" s="4"/>
    </row>
    <row r="943" ht="14.25" customHeight="1">
      <c r="A943" s="4"/>
      <c r="B943" s="4"/>
      <c r="C943" s="4"/>
      <c r="D943" s="4"/>
      <c r="E943" s="4"/>
      <c r="F943" s="188"/>
      <c r="G943" s="188"/>
      <c r="H943" s="4"/>
      <c r="I943" s="4"/>
      <c r="J943" s="4"/>
      <c r="K943" s="4"/>
      <c r="L943" s="4"/>
      <c r="M943" s="4"/>
      <c r="N943" s="4"/>
      <c r="O943" s="4"/>
      <c r="P943" s="4"/>
      <c r="Q943" s="4"/>
      <c r="R943" s="4"/>
      <c r="S943" s="4"/>
      <c r="T943" s="4"/>
      <c r="U943" s="4"/>
      <c r="V943" s="4"/>
      <c r="W943" s="4"/>
      <c r="X943" s="4"/>
      <c r="Y943" s="4"/>
      <c r="Z943" s="4"/>
    </row>
    <row r="944" ht="14.25" customHeight="1">
      <c r="A944" s="4"/>
      <c r="B944" s="4"/>
      <c r="C944" s="4"/>
      <c r="D944" s="4"/>
      <c r="E944" s="4"/>
      <c r="F944" s="188"/>
      <c r="G944" s="188"/>
      <c r="H944" s="4"/>
      <c r="I944" s="4"/>
      <c r="J944" s="4"/>
      <c r="K944" s="4"/>
      <c r="L944" s="4"/>
      <c r="M944" s="4"/>
      <c r="N944" s="4"/>
      <c r="O944" s="4"/>
      <c r="P944" s="4"/>
      <c r="Q944" s="4"/>
      <c r="R944" s="4"/>
      <c r="S944" s="4"/>
      <c r="T944" s="4"/>
      <c r="U944" s="4"/>
      <c r="V944" s="4"/>
      <c r="W944" s="4"/>
      <c r="X944" s="4"/>
      <c r="Y944" s="4"/>
      <c r="Z944" s="4"/>
    </row>
    <row r="945" ht="14.25" customHeight="1">
      <c r="A945" s="4"/>
      <c r="B945" s="4"/>
      <c r="C945" s="4"/>
      <c r="D945" s="4"/>
      <c r="E945" s="4"/>
      <c r="F945" s="188"/>
      <c r="G945" s="188"/>
      <c r="H945" s="4"/>
      <c r="I945" s="4"/>
      <c r="J945" s="4"/>
      <c r="K945" s="4"/>
      <c r="L945" s="4"/>
      <c r="M945" s="4"/>
      <c r="N945" s="4"/>
      <c r="O945" s="4"/>
      <c r="P945" s="4"/>
      <c r="Q945" s="4"/>
      <c r="R945" s="4"/>
      <c r="S945" s="4"/>
      <c r="T945" s="4"/>
      <c r="U945" s="4"/>
      <c r="V945" s="4"/>
      <c r="W945" s="4"/>
      <c r="X945" s="4"/>
      <c r="Y945" s="4"/>
      <c r="Z945" s="4"/>
    </row>
    <row r="946" ht="14.25" customHeight="1">
      <c r="A946" s="4"/>
      <c r="B946" s="4"/>
      <c r="C946" s="4"/>
      <c r="D946" s="4"/>
      <c r="E946" s="4"/>
      <c r="F946" s="188"/>
      <c r="G946" s="188"/>
      <c r="H946" s="4"/>
      <c r="I946" s="4"/>
      <c r="J946" s="4"/>
      <c r="K946" s="4"/>
      <c r="L946" s="4"/>
      <c r="M946" s="4"/>
      <c r="N946" s="4"/>
      <c r="O946" s="4"/>
      <c r="P946" s="4"/>
      <c r="Q946" s="4"/>
      <c r="R946" s="4"/>
      <c r="S946" s="4"/>
      <c r="T946" s="4"/>
      <c r="U946" s="4"/>
      <c r="V946" s="4"/>
      <c r="W946" s="4"/>
      <c r="X946" s="4"/>
      <c r="Y946" s="4"/>
      <c r="Z946" s="4"/>
    </row>
    <row r="947" ht="14.25" customHeight="1">
      <c r="A947" s="4"/>
      <c r="B947" s="4"/>
      <c r="C947" s="4"/>
      <c r="D947" s="4"/>
      <c r="E947" s="4"/>
      <c r="F947" s="188"/>
      <c r="G947" s="188"/>
      <c r="H947" s="4"/>
      <c r="I947" s="4"/>
      <c r="J947" s="4"/>
      <c r="K947" s="4"/>
      <c r="L947" s="4"/>
      <c r="M947" s="4"/>
      <c r="N947" s="4"/>
      <c r="O947" s="4"/>
      <c r="P947" s="4"/>
      <c r="Q947" s="4"/>
      <c r="R947" s="4"/>
      <c r="S947" s="4"/>
      <c r="T947" s="4"/>
      <c r="U947" s="4"/>
      <c r="V947" s="4"/>
      <c r="W947" s="4"/>
      <c r="X947" s="4"/>
      <c r="Y947" s="4"/>
      <c r="Z947" s="4"/>
    </row>
    <row r="948" ht="14.25" customHeight="1">
      <c r="A948" s="4"/>
      <c r="B948" s="4"/>
      <c r="C948" s="4"/>
      <c r="D948" s="4"/>
      <c r="E948" s="4"/>
      <c r="F948" s="188"/>
      <c r="G948" s="188"/>
      <c r="H948" s="4"/>
      <c r="I948" s="4"/>
      <c r="J948" s="4"/>
      <c r="K948" s="4"/>
      <c r="L948" s="4"/>
      <c r="M948" s="4"/>
      <c r="N948" s="4"/>
      <c r="O948" s="4"/>
      <c r="P948" s="4"/>
      <c r="Q948" s="4"/>
      <c r="R948" s="4"/>
      <c r="S948" s="4"/>
      <c r="T948" s="4"/>
      <c r="U948" s="4"/>
      <c r="V948" s="4"/>
      <c r="W948" s="4"/>
      <c r="X948" s="4"/>
      <c r="Y948" s="4"/>
      <c r="Z948" s="4"/>
    </row>
    <row r="949" ht="14.25" customHeight="1">
      <c r="A949" s="4"/>
      <c r="B949" s="4"/>
      <c r="C949" s="4"/>
      <c r="D949" s="4"/>
      <c r="E949" s="4"/>
      <c r="F949" s="188"/>
      <c r="G949" s="188"/>
      <c r="H949" s="4"/>
      <c r="I949" s="4"/>
      <c r="J949" s="4"/>
      <c r="K949" s="4"/>
      <c r="L949" s="4"/>
      <c r="M949" s="4"/>
      <c r="N949" s="4"/>
      <c r="O949" s="4"/>
      <c r="P949" s="4"/>
      <c r="Q949" s="4"/>
      <c r="R949" s="4"/>
      <c r="S949" s="4"/>
      <c r="T949" s="4"/>
      <c r="U949" s="4"/>
      <c r="V949" s="4"/>
      <c r="W949" s="4"/>
      <c r="X949" s="4"/>
      <c r="Y949" s="4"/>
      <c r="Z949" s="4"/>
    </row>
    <row r="950" ht="14.25" customHeight="1">
      <c r="A950" s="4"/>
      <c r="B950" s="4"/>
      <c r="C950" s="4"/>
      <c r="D950" s="4"/>
      <c r="E950" s="4"/>
      <c r="F950" s="188"/>
      <c r="G950" s="188"/>
      <c r="H950" s="4"/>
      <c r="I950" s="4"/>
      <c r="J950" s="4"/>
      <c r="K950" s="4"/>
      <c r="L950" s="4"/>
      <c r="M950" s="4"/>
      <c r="N950" s="4"/>
      <c r="O950" s="4"/>
      <c r="P950" s="4"/>
      <c r="Q950" s="4"/>
      <c r="R950" s="4"/>
      <c r="S950" s="4"/>
      <c r="T950" s="4"/>
      <c r="U950" s="4"/>
      <c r="V950" s="4"/>
      <c r="W950" s="4"/>
      <c r="X950" s="4"/>
      <c r="Y950" s="4"/>
      <c r="Z950" s="4"/>
    </row>
    <row r="951" ht="14.25" customHeight="1">
      <c r="A951" s="4"/>
      <c r="B951" s="4"/>
      <c r="C951" s="4"/>
      <c r="D951" s="4"/>
      <c r="E951" s="4"/>
      <c r="F951" s="188"/>
      <c r="G951" s="188"/>
      <c r="H951" s="4"/>
      <c r="I951" s="4"/>
      <c r="J951" s="4"/>
      <c r="K951" s="4"/>
      <c r="L951" s="4"/>
      <c r="M951" s="4"/>
      <c r="N951" s="4"/>
      <c r="O951" s="4"/>
      <c r="P951" s="4"/>
      <c r="Q951" s="4"/>
      <c r="R951" s="4"/>
      <c r="S951" s="4"/>
      <c r="T951" s="4"/>
      <c r="U951" s="4"/>
      <c r="V951" s="4"/>
      <c r="W951" s="4"/>
      <c r="X951" s="4"/>
      <c r="Y951" s="4"/>
      <c r="Z951" s="4"/>
    </row>
    <row r="952" ht="14.25" customHeight="1">
      <c r="A952" s="4"/>
      <c r="B952" s="4"/>
      <c r="C952" s="4"/>
      <c r="D952" s="4"/>
      <c r="E952" s="4"/>
      <c r="F952" s="188"/>
      <c r="G952" s="188"/>
      <c r="H952" s="4"/>
      <c r="I952" s="4"/>
      <c r="J952" s="4"/>
      <c r="K952" s="4"/>
      <c r="L952" s="4"/>
      <c r="M952" s="4"/>
      <c r="N952" s="4"/>
      <c r="O952" s="4"/>
      <c r="P952" s="4"/>
      <c r="Q952" s="4"/>
      <c r="R952" s="4"/>
      <c r="S952" s="4"/>
      <c r="T952" s="4"/>
      <c r="U952" s="4"/>
      <c r="V952" s="4"/>
      <c r="W952" s="4"/>
      <c r="X952" s="4"/>
      <c r="Y952" s="4"/>
      <c r="Z952" s="4"/>
    </row>
    <row r="953" ht="14.25" customHeight="1">
      <c r="A953" s="4"/>
      <c r="B953" s="4"/>
      <c r="C953" s="4"/>
      <c r="D953" s="4"/>
      <c r="E953" s="4"/>
      <c r="F953" s="188"/>
      <c r="G953" s="188"/>
      <c r="H953" s="4"/>
      <c r="I953" s="4"/>
      <c r="J953" s="4"/>
      <c r="K953" s="4"/>
      <c r="L953" s="4"/>
      <c r="M953" s="4"/>
      <c r="N953" s="4"/>
      <c r="O953" s="4"/>
      <c r="P953" s="4"/>
      <c r="Q953" s="4"/>
      <c r="R953" s="4"/>
      <c r="S953" s="4"/>
      <c r="T953" s="4"/>
      <c r="U953" s="4"/>
      <c r="V953" s="4"/>
      <c r="W953" s="4"/>
      <c r="X953" s="4"/>
      <c r="Y953" s="4"/>
      <c r="Z953" s="4"/>
    </row>
    <row r="954" ht="14.25" customHeight="1">
      <c r="A954" s="4"/>
      <c r="B954" s="4"/>
      <c r="C954" s="4"/>
      <c r="D954" s="4"/>
      <c r="E954" s="4"/>
      <c r="F954" s="188"/>
      <c r="G954" s="188"/>
      <c r="H954" s="4"/>
      <c r="I954" s="4"/>
      <c r="J954" s="4"/>
      <c r="K954" s="4"/>
      <c r="L954" s="4"/>
      <c r="M954" s="4"/>
      <c r="N954" s="4"/>
      <c r="O954" s="4"/>
      <c r="P954" s="4"/>
      <c r="Q954" s="4"/>
      <c r="R954" s="4"/>
      <c r="S954" s="4"/>
      <c r="T954" s="4"/>
      <c r="U954" s="4"/>
      <c r="V954" s="4"/>
      <c r="W954" s="4"/>
      <c r="X954" s="4"/>
      <c r="Y954" s="4"/>
      <c r="Z954" s="4"/>
    </row>
    <row r="955" ht="14.25" customHeight="1">
      <c r="A955" s="4"/>
      <c r="B955" s="4"/>
      <c r="C955" s="4"/>
      <c r="D955" s="4"/>
      <c r="E955" s="4"/>
      <c r="F955" s="188"/>
      <c r="G955" s="188"/>
      <c r="H955" s="4"/>
      <c r="I955" s="4"/>
      <c r="J955" s="4"/>
      <c r="K955" s="4"/>
      <c r="L955" s="4"/>
      <c r="M955" s="4"/>
      <c r="N955" s="4"/>
      <c r="O955" s="4"/>
      <c r="P955" s="4"/>
      <c r="Q955" s="4"/>
      <c r="R955" s="4"/>
      <c r="S955" s="4"/>
      <c r="T955" s="4"/>
      <c r="U955" s="4"/>
      <c r="V955" s="4"/>
      <c r="W955" s="4"/>
      <c r="X955" s="4"/>
      <c r="Y955" s="4"/>
      <c r="Z955" s="4"/>
    </row>
    <row r="956" ht="14.25" customHeight="1">
      <c r="A956" s="4"/>
      <c r="B956" s="4"/>
      <c r="C956" s="4"/>
      <c r="D956" s="4"/>
      <c r="E956" s="4"/>
      <c r="F956" s="188"/>
      <c r="G956" s="188"/>
      <c r="H956" s="4"/>
      <c r="I956" s="4"/>
      <c r="J956" s="4"/>
      <c r="K956" s="4"/>
      <c r="L956" s="4"/>
      <c r="M956" s="4"/>
      <c r="N956" s="4"/>
      <c r="O956" s="4"/>
      <c r="P956" s="4"/>
      <c r="Q956" s="4"/>
      <c r="R956" s="4"/>
      <c r="S956" s="4"/>
      <c r="T956" s="4"/>
      <c r="U956" s="4"/>
      <c r="V956" s="4"/>
      <c r="W956" s="4"/>
      <c r="X956" s="4"/>
      <c r="Y956" s="4"/>
      <c r="Z956" s="4"/>
    </row>
    <row r="957" ht="14.25" customHeight="1">
      <c r="A957" s="4"/>
      <c r="B957" s="4"/>
      <c r="C957" s="4"/>
      <c r="D957" s="4"/>
      <c r="E957" s="4"/>
      <c r="F957" s="188"/>
      <c r="G957" s="188"/>
      <c r="H957" s="4"/>
      <c r="I957" s="4"/>
      <c r="J957" s="4"/>
      <c r="K957" s="4"/>
      <c r="L957" s="4"/>
      <c r="M957" s="4"/>
      <c r="N957" s="4"/>
      <c r="O957" s="4"/>
      <c r="P957" s="4"/>
      <c r="Q957" s="4"/>
      <c r="R957" s="4"/>
      <c r="S957" s="4"/>
      <c r="T957" s="4"/>
      <c r="U957" s="4"/>
      <c r="V957" s="4"/>
      <c r="W957" s="4"/>
      <c r="X957" s="4"/>
      <c r="Y957" s="4"/>
      <c r="Z957" s="4"/>
    </row>
    <row r="958" ht="14.25" customHeight="1">
      <c r="A958" s="4"/>
      <c r="B958" s="4"/>
      <c r="C958" s="4"/>
      <c r="D958" s="4"/>
      <c r="E958" s="4"/>
      <c r="F958" s="188"/>
      <c r="G958" s="188"/>
      <c r="H958" s="4"/>
      <c r="I958" s="4"/>
      <c r="J958" s="4"/>
      <c r="K958" s="4"/>
      <c r="L958" s="4"/>
      <c r="M958" s="4"/>
      <c r="N958" s="4"/>
      <c r="O958" s="4"/>
      <c r="P958" s="4"/>
      <c r="Q958" s="4"/>
      <c r="R958" s="4"/>
      <c r="S958" s="4"/>
      <c r="T958" s="4"/>
      <c r="U958" s="4"/>
      <c r="V958" s="4"/>
      <c r="W958" s="4"/>
      <c r="X958" s="4"/>
      <c r="Y958" s="4"/>
      <c r="Z958" s="4"/>
    </row>
    <row r="959" ht="14.25" customHeight="1">
      <c r="A959" s="4"/>
      <c r="B959" s="4"/>
      <c r="C959" s="4"/>
      <c r="D959" s="4"/>
      <c r="E959" s="4"/>
      <c r="F959" s="188"/>
      <c r="G959" s="188"/>
      <c r="H959" s="4"/>
      <c r="I959" s="4"/>
      <c r="J959" s="4"/>
      <c r="K959" s="4"/>
      <c r="L959" s="4"/>
      <c r="M959" s="4"/>
      <c r="N959" s="4"/>
      <c r="O959" s="4"/>
      <c r="P959" s="4"/>
      <c r="Q959" s="4"/>
      <c r="R959" s="4"/>
      <c r="S959" s="4"/>
      <c r="T959" s="4"/>
      <c r="U959" s="4"/>
      <c r="V959" s="4"/>
      <c r="W959" s="4"/>
      <c r="X959" s="4"/>
      <c r="Y959" s="4"/>
      <c r="Z959" s="4"/>
    </row>
    <row r="960" ht="14.25" customHeight="1">
      <c r="A960" s="4"/>
      <c r="B960" s="4"/>
      <c r="C960" s="4"/>
      <c r="D960" s="4"/>
      <c r="E960" s="4"/>
      <c r="F960" s="188"/>
      <c r="G960" s="188"/>
      <c r="H960" s="4"/>
      <c r="I960" s="4"/>
      <c r="J960" s="4"/>
      <c r="K960" s="4"/>
      <c r="L960" s="4"/>
      <c r="M960" s="4"/>
      <c r="N960" s="4"/>
      <c r="O960" s="4"/>
      <c r="P960" s="4"/>
      <c r="Q960" s="4"/>
      <c r="R960" s="4"/>
      <c r="S960" s="4"/>
      <c r="T960" s="4"/>
      <c r="U960" s="4"/>
      <c r="V960" s="4"/>
      <c r="W960" s="4"/>
      <c r="X960" s="4"/>
      <c r="Y960" s="4"/>
      <c r="Z960" s="4"/>
    </row>
    <row r="961" ht="14.25" customHeight="1">
      <c r="A961" s="4"/>
      <c r="B961" s="4"/>
      <c r="C961" s="4"/>
      <c r="D961" s="4"/>
      <c r="E961" s="4"/>
      <c r="F961" s="188"/>
      <c r="G961" s="188"/>
      <c r="H961" s="4"/>
      <c r="I961" s="4"/>
      <c r="J961" s="4"/>
      <c r="K961" s="4"/>
      <c r="L961" s="4"/>
      <c r="M961" s="4"/>
      <c r="N961" s="4"/>
      <c r="O961" s="4"/>
      <c r="P961" s="4"/>
      <c r="Q961" s="4"/>
      <c r="R961" s="4"/>
      <c r="S961" s="4"/>
      <c r="T961" s="4"/>
      <c r="U961" s="4"/>
      <c r="V961" s="4"/>
      <c r="W961" s="4"/>
      <c r="X961" s="4"/>
      <c r="Y961" s="4"/>
      <c r="Z961" s="4"/>
    </row>
    <row r="962" ht="14.25" customHeight="1">
      <c r="A962" s="4"/>
      <c r="B962" s="4"/>
      <c r="C962" s="4"/>
      <c r="D962" s="4"/>
      <c r="E962" s="4"/>
      <c r="F962" s="188"/>
      <c r="G962" s="188"/>
      <c r="H962" s="4"/>
      <c r="I962" s="4"/>
      <c r="J962" s="4"/>
      <c r="K962" s="4"/>
      <c r="L962" s="4"/>
      <c r="M962" s="4"/>
      <c r="N962" s="4"/>
      <c r="O962" s="4"/>
      <c r="P962" s="4"/>
      <c r="Q962" s="4"/>
      <c r="R962" s="4"/>
      <c r="S962" s="4"/>
      <c r="T962" s="4"/>
      <c r="U962" s="4"/>
      <c r="V962" s="4"/>
      <c r="W962" s="4"/>
      <c r="X962" s="4"/>
      <c r="Y962" s="4"/>
      <c r="Z962" s="4"/>
    </row>
    <row r="963" ht="14.25" customHeight="1">
      <c r="A963" s="4"/>
      <c r="B963" s="4"/>
      <c r="C963" s="4"/>
      <c r="D963" s="4"/>
      <c r="E963" s="4"/>
      <c r="F963" s="188"/>
      <c r="G963" s="188"/>
      <c r="H963" s="4"/>
      <c r="I963" s="4"/>
      <c r="J963" s="4"/>
      <c r="K963" s="4"/>
      <c r="L963" s="4"/>
      <c r="M963" s="4"/>
      <c r="N963" s="4"/>
      <c r="O963" s="4"/>
      <c r="P963" s="4"/>
      <c r="Q963" s="4"/>
      <c r="R963" s="4"/>
      <c r="S963" s="4"/>
      <c r="T963" s="4"/>
      <c r="U963" s="4"/>
      <c r="V963" s="4"/>
      <c r="W963" s="4"/>
      <c r="X963" s="4"/>
      <c r="Y963" s="4"/>
      <c r="Z963" s="4"/>
    </row>
    <row r="964" ht="14.25" customHeight="1">
      <c r="A964" s="4"/>
      <c r="B964" s="4"/>
      <c r="C964" s="4"/>
      <c r="D964" s="4"/>
      <c r="E964" s="4"/>
      <c r="F964" s="188"/>
      <c r="G964" s="188"/>
      <c r="H964" s="4"/>
      <c r="I964" s="4"/>
      <c r="J964" s="4"/>
      <c r="K964" s="4"/>
      <c r="L964" s="4"/>
      <c r="M964" s="4"/>
      <c r="N964" s="4"/>
      <c r="O964" s="4"/>
      <c r="P964" s="4"/>
      <c r="Q964" s="4"/>
      <c r="R964" s="4"/>
      <c r="S964" s="4"/>
      <c r="T964" s="4"/>
      <c r="U964" s="4"/>
      <c r="V964" s="4"/>
      <c r="W964" s="4"/>
      <c r="X964" s="4"/>
      <c r="Y964" s="4"/>
      <c r="Z964" s="4"/>
    </row>
    <row r="965" ht="14.25" customHeight="1">
      <c r="A965" s="4"/>
      <c r="B965" s="4"/>
      <c r="C965" s="4"/>
      <c r="D965" s="4"/>
      <c r="E965" s="4"/>
      <c r="F965" s="188"/>
      <c r="G965" s="188"/>
      <c r="H965" s="4"/>
      <c r="I965" s="4"/>
      <c r="J965" s="4"/>
      <c r="K965" s="4"/>
      <c r="L965" s="4"/>
      <c r="M965" s="4"/>
      <c r="N965" s="4"/>
      <c r="O965" s="4"/>
      <c r="P965" s="4"/>
      <c r="Q965" s="4"/>
      <c r="R965" s="4"/>
      <c r="S965" s="4"/>
      <c r="T965" s="4"/>
      <c r="U965" s="4"/>
      <c r="V965" s="4"/>
      <c r="W965" s="4"/>
      <c r="X965" s="4"/>
      <c r="Y965" s="4"/>
      <c r="Z965" s="4"/>
    </row>
    <row r="966" ht="14.25" customHeight="1">
      <c r="A966" s="4"/>
      <c r="B966" s="4"/>
      <c r="C966" s="4"/>
      <c r="D966" s="4"/>
      <c r="E966" s="4"/>
      <c r="F966" s="188"/>
      <c r="G966" s="188"/>
      <c r="H966" s="4"/>
      <c r="I966" s="4"/>
      <c r="J966" s="4"/>
      <c r="K966" s="4"/>
      <c r="L966" s="4"/>
      <c r="M966" s="4"/>
      <c r="N966" s="4"/>
      <c r="O966" s="4"/>
      <c r="P966" s="4"/>
      <c r="Q966" s="4"/>
      <c r="R966" s="4"/>
      <c r="S966" s="4"/>
      <c r="T966" s="4"/>
      <c r="U966" s="4"/>
      <c r="V966" s="4"/>
      <c r="W966" s="4"/>
      <c r="X966" s="4"/>
      <c r="Y966" s="4"/>
      <c r="Z966" s="4"/>
    </row>
    <row r="967" ht="14.25" customHeight="1">
      <c r="A967" s="4"/>
      <c r="B967" s="4"/>
      <c r="C967" s="4"/>
      <c r="D967" s="4"/>
      <c r="E967" s="4"/>
      <c r="F967" s="188"/>
      <c r="G967" s="188"/>
      <c r="H967" s="4"/>
      <c r="I967" s="4"/>
      <c r="J967" s="4"/>
      <c r="K967" s="4"/>
      <c r="L967" s="4"/>
      <c r="M967" s="4"/>
      <c r="N967" s="4"/>
      <c r="O967" s="4"/>
      <c r="P967" s="4"/>
      <c r="Q967" s="4"/>
      <c r="R967" s="4"/>
      <c r="S967" s="4"/>
      <c r="T967" s="4"/>
      <c r="U967" s="4"/>
      <c r="V967" s="4"/>
      <c r="W967" s="4"/>
      <c r="X967" s="4"/>
      <c r="Y967" s="4"/>
      <c r="Z967" s="4"/>
    </row>
    <row r="968" ht="14.25" customHeight="1">
      <c r="A968" s="4"/>
      <c r="B968" s="4"/>
      <c r="C968" s="4"/>
      <c r="D968" s="4"/>
      <c r="E968" s="4"/>
      <c r="F968" s="188"/>
      <c r="G968" s="188"/>
      <c r="H968" s="4"/>
      <c r="I968" s="4"/>
      <c r="J968" s="4"/>
      <c r="K968" s="4"/>
      <c r="L968" s="4"/>
      <c r="M968" s="4"/>
      <c r="N968" s="4"/>
      <c r="O968" s="4"/>
      <c r="P968" s="4"/>
      <c r="Q968" s="4"/>
      <c r="R968" s="4"/>
      <c r="S968" s="4"/>
      <c r="T968" s="4"/>
      <c r="U968" s="4"/>
      <c r="V968" s="4"/>
      <c r="W968" s="4"/>
      <c r="X968" s="4"/>
      <c r="Y968" s="4"/>
      <c r="Z968" s="4"/>
    </row>
    <row r="969" ht="14.25" customHeight="1">
      <c r="A969" s="4"/>
      <c r="B969" s="4"/>
      <c r="C969" s="4"/>
      <c r="D969" s="4"/>
      <c r="E969" s="4"/>
      <c r="F969" s="188"/>
      <c r="G969" s="188"/>
      <c r="H969" s="4"/>
      <c r="I969" s="4"/>
      <c r="J969" s="4"/>
      <c r="K969" s="4"/>
      <c r="L969" s="4"/>
      <c r="M969" s="4"/>
      <c r="N969" s="4"/>
      <c r="O969" s="4"/>
      <c r="P969" s="4"/>
      <c r="Q969" s="4"/>
      <c r="R969" s="4"/>
      <c r="S969" s="4"/>
      <c r="T969" s="4"/>
      <c r="U969" s="4"/>
      <c r="V969" s="4"/>
      <c r="W969" s="4"/>
      <c r="X969" s="4"/>
      <c r="Y969" s="4"/>
      <c r="Z969" s="4"/>
    </row>
    <row r="970" ht="14.25" customHeight="1">
      <c r="A970" s="4"/>
      <c r="B970" s="4"/>
      <c r="C970" s="4"/>
      <c r="D970" s="4"/>
      <c r="E970" s="4"/>
      <c r="F970" s="188"/>
      <c r="G970" s="188"/>
      <c r="H970" s="4"/>
      <c r="I970" s="4"/>
      <c r="J970" s="4"/>
      <c r="K970" s="4"/>
      <c r="L970" s="4"/>
      <c r="M970" s="4"/>
      <c r="N970" s="4"/>
      <c r="O970" s="4"/>
      <c r="P970" s="4"/>
      <c r="Q970" s="4"/>
      <c r="R970" s="4"/>
      <c r="S970" s="4"/>
      <c r="T970" s="4"/>
      <c r="U970" s="4"/>
      <c r="V970" s="4"/>
      <c r="W970" s="4"/>
      <c r="X970" s="4"/>
      <c r="Y970" s="4"/>
      <c r="Z970" s="4"/>
    </row>
    <row r="971" ht="14.25" customHeight="1">
      <c r="A971" s="4"/>
      <c r="B971" s="4"/>
      <c r="C971" s="4"/>
      <c r="D971" s="4"/>
      <c r="E971" s="4"/>
      <c r="F971" s="188"/>
      <c r="G971" s="188"/>
      <c r="H971" s="4"/>
      <c r="I971" s="4"/>
      <c r="J971" s="4"/>
      <c r="K971" s="4"/>
      <c r="L971" s="4"/>
      <c r="M971" s="4"/>
      <c r="N971" s="4"/>
      <c r="O971" s="4"/>
      <c r="P971" s="4"/>
      <c r="Q971" s="4"/>
      <c r="R971" s="4"/>
      <c r="S971" s="4"/>
      <c r="T971" s="4"/>
      <c r="U971" s="4"/>
      <c r="V971" s="4"/>
      <c r="W971" s="4"/>
      <c r="X971" s="4"/>
      <c r="Y971" s="4"/>
      <c r="Z971" s="4"/>
    </row>
    <row r="972" ht="14.25" customHeight="1">
      <c r="A972" s="4"/>
      <c r="B972" s="4"/>
      <c r="C972" s="4"/>
      <c r="D972" s="4"/>
      <c r="E972" s="4"/>
      <c r="F972" s="188"/>
      <c r="G972" s="188"/>
      <c r="H972" s="4"/>
      <c r="I972" s="4"/>
      <c r="J972" s="4"/>
      <c r="K972" s="4"/>
      <c r="L972" s="4"/>
      <c r="M972" s="4"/>
      <c r="N972" s="4"/>
      <c r="O972" s="4"/>
      <c r="P972" s="4"/>
      <c r="Q972" s="4"/>
      <c r="R972" s="4"/>
      <c r="S972" s="4"/>
      <c r="T972" s="4"/>
      <c r="U972" s="4"/>
      <c r="V972" s="4"/>
      <c r="W972" s="4"/>
      <c r="X972" s="4"/>
      <c r="Y972" s="4"/>
      <c r="Z972" s="4"/>
    </row>
    <row r="973" ht="14.25" customHeight="1">
      <c r="A973" s="4"/>
      <c r="B973" s="4"/>
      <c r="C973" s="4"/>
      <c r="D973" s="4"/>
      <c r="E973" s="4"/>
      <c r="F973" s="188"/>
      <c r="G973" s="188"/>
      <c r="H973" s="4"/>
      <c r="I973" s="4"/>
      <c r="J973" s="4"/>
      <c r="K973" s="4"/>
      <c r="L973" s="4"/>
      <c r="M973" s="4"/>
      <c r="N973" s="4"/>
      <c r="O973" s="4"/>
      <c r="P973" s="4"/>
      <c r="Q973" s="4"/>
      <c r="R973" s="4"/>
      <c r="S973" s="4"/>
      <c r="T973" s="4"/>
      <c r="U973" s="4"/>
      <c r="V973" s="4"/>
      <c r="W973" s="4"/>
      <c r="X973" s="4"/>
      <c r="Y973" s="4"/>
      <c r="Z973" s="4"/>
    </row>
    <row r="974" ht="14.25" customHeight="1">
      <c r="A974" s="4"/>
      <c r="B974" s="4"/>
      <c r="C974" s="4"/>
      <c r="D974" s="4"/>
      <c r="E974" s="4"/>
      <c r="F974" s="188"/>
      <c r="G974" s="188"/>
      <c r="H974" s="4"/>
      <c r="I974" s="4"/>
      <c r="J974" s="4"/>
      <c r="K974" s="4"/>
      <c r="L974" s="4"/>
      <c r="M974" s="4"/>
      <c r="N974" s="4"/>
      <c r="O974" s="4"/>
      <c r="P974" s="4"/>
      <c r="Q974" s="4"/>
      <c r="R974" s="4"/>
      <c r="S974" s="4"/>
      <c r="T974" s="4"/>
      <c r="U974" s="4"/>
      <c r="V974" s="4"/>
      <c r="W974" s="4"/>
      <c r="X974" s="4"/>
      <c r="Y974" s="4"/>
      <c r="Z974" s="4"/>
    </row>
    <row r="975" ht="14.25" customHeight="1">
      <c r="A975" s="4"/>
      <c r="B975" s="4"/>
      <c r="C975" s="4"/>
      <c r="D975" s="4"/>
      <c r="E975" s="4"/>
      <c r="F975" s="188"/>
      <c r="G975" s="188"/>
      <c r="H975" s="4"/>
      <c r="I975" s="4"/>
      <c r="J975" s="4"/>
      <c r="K975" s="4"/>
      <c r="L975" s="4"/>
      <c r="M975" s="4"/>
      <c r="N975" s="4"/>
      <c r="O975" s="4"/>
      <c r="P975" s="4"/>
      <c r="Q975" s="4"/>
      <c r="R975" s="4"/>
      <c r="S975" s="4"/>
      <c r="T975" s="4"/>
      <c r="U975" s="4"/>
      <c r="V975" s="4"/>
      <c r="W975" s="4"/>
      <c r="X975" s="4"/>
      <c r="Y975" s="4"/>
      <c r="Z975" s="4"/>
    </row>
    <row r="976" ht="14.25" customHeight="1">
      <c r="A976" s="4"/>
      <c r="B976" s="4"/>
      <c r="C976" s="4"/>
      <c r="D976" s="4"/>
      <c r="E976" s="4"/>
      <c r="F976" s="188"/>
      <c r="G976" s="188"/>
      <c r="H976" s="4"/>
      <c r="I976" s="4"/>
      <c r="J976" s="4"/>
      <c r="K976" s="4"/>
      <c r="L976" s="4"/>
      <c r="M976" s="4"/>
      <c r="N976" s="4"/>
      <c r="O976" s="4"/>
      <c r="P976" s="4"/>
      <c r="Q976" s="4"/>
      <c r="R976" s="4"/>
      <c r="S976" s="4"/>
      <c r="T976" s="4"/>
      <c r="U976" s="4"/>
      <c r="V976" s="4"/>
      <c r="W976" s="4"/>
      <c r="X976" s="4"/>
      <c r="Y976" s="4"/>
      <c r="Z976" s="4"/>
    </row>
    <row r="977" ht="14.25" customHeight="1">
      <c r="A977" s="4"/>
      <c r="B977" s="4"/>
      <c r="C977" s="4"/>
      <c r="D977" s="4"/>
      <c r="E977" s="4"/>
      <c r="F977" s="188"/>
      <c r="G977" s="188"/>
      <c r="H977" s="4"/>
      <c r="I977" s="4"/>
      <c r="J977" s="4"/>
      <c r="K977" s="4"/>
      <c r="L977" s="4"/>
      <c r="M977" s="4"/>
      <c r="N977" s="4"/>
      <c r="O977" s="4"/>
      <c r="P977" s="4"/>
      <c r="Q977" s="4"/>
      <c r="R977" s="4"/>
      <c r="S977" s="4"/>
      <c r="T977" s="4"/>
      <c r="U977" s="4"/>
      <c r="V977" s="4"/>
      <c r="W977" s="4"/>
      <c r="X977" s="4"/>
      <c r="Y977" s="4"/>
      <c r="Z977" s="4"/>
    </row>
    <row r="978" ht="14.25" customHeight="1">
      <c r="A978" s="4"/>
      <c r="B978" s="4"/>
      <c r="C978" s="4"/>
      <c r="D978" s="4"/>
      <c r="E978" s="4"/>
      <c r="F978" s="188"/>
      <c r="G978" s="188"/>
      <c r="H978" s="4"/>
      <c r="I978" s="4"/>
      <c r="J978" s="4"/>
      <c r="K978" s="4"/>
      <c r="L978" s="4"/>
      <c r="M978" s="4"/>
      <c r="N978" s="4"/>
      <c r="O978" s="4"/>
      <c r="P978" s="4"/>
      <c r="Q978" s="4"/>
      <c r="R978" s="4"/>
      <c r="S978" s="4"/>
      <c r="T978" s="4"/>
      <c r="U978" s="4"/>
      <c r="V978" s="4"/>
      <c r="W978" s="4"/>
      <c r="X978" s="4"/>
      <c r="Y978" s="4"/>
      <c r="Z978" s="4"/>
    </row>
    <row r="979" ht="14.25" customHeight="1">
      <c r="A979" s="4"/>
      <c r="B979" s="4"/>
      <c r="C979" s="4"/>
      <c r="D979" s="4"/>
      <c r="E979" s="4"/>
      <c r="F979" s="188"/>
      <c r="G979" s="188"/>
      <c r="H979" s="4"/>
      <c r="I979" s="4"/>
      <c r="J979" s="4"/>
      <c r="K979" s="4"/>
      <c r="L979" s="4"/>
      <c r="M979" s="4"/>
      <c r="N979" s="4"/>
      <c r="O979" s="4"/>
      <c r="P979" s="4"/>
      <c r="Q979" s="4"/>
      <c r="R979" s="4"/>
      <c r="S979" s="4"/>
      <c r="T979" s="4"/>
      <c r="U979" s="4"/>
      <c r="V979" s="4"/>
      <c r="W979" s="4"/>
      <c r="X979" s="4"/>
      <c r="Y979" s="4"/>
      <c r="Z979" s="4"/>
    </row>
    <row r="980" ht="14.25" customHeight="1">
      <c r="A980" s="4"/>
      <c r="B980" s="4"/>
      <c r="C980" s="4"/>
      <c r="D980" s="4"/>
      <c r="E980" s="4"/>
      <c r="F980" s="188"/>
      <c r="G980" s="188"/>
      <c r="H980" s="4"/>
      <c r="I980" s="4"/>
      <c r="J980" s="4"/>
      <c r="K980" s="4"/>
      <c r="L980" s="4"/>
      <c r="M980" s="4"/>
      <c r="N980" s="4"/>
      <c r="O980" s="4"/>
      <c r="P980" s="4"/>
      <c r="Q980" s="4"/>
      <c r="R980" s="4"/>
      <c r="S980" s="4"/>
      <c r="T980" s="4"/>
      <c r="U980" s="4"/>
      <c r="V980" s="4"/>
      <c r="W980" s="4"/>
      <c r="X980" s="4"/>
      <c r="Y980" s="4"/>
      <c r="Z980" s="4"/>
    </row>
    <row r="981" ht="14.25" customHeight="1">
      <c r="A981" s="4"/>
      <c r="B981" s="4"/>
      <c r="C981" s="4"/>
      <c r="D981" s="4"/>
      <c r="E981" s="4"/>
      <c r="F981" s="188"/>
      <c r="G981" s="188"/>
      <c r="H981" s="4"/>
      <c r="I981" s="4"/>
      <c r="J981" s="4"/>
      <c r="K981" s="4"/>
      <c r="L981" s="4"/>
      <c r="M981" s="4"/>
      <c r="N981" s="4"/>
      <c r="O981" s="4"/>
      <c r="P981" s="4"/>
      <c r="Q981" s="4"/>
      <c r="R981" s="4"/>
      <c r="S981" s="4"/>
      <c r="T981" s="4"/>
      <c r="U981" s="4"/>
      <c r="V981" s="4"/>
      <c r="W981" s="4"/>
      <c r="X981" s="4"/>
      <c r="Y981" s="4"/>
      <c r="Z981" s="4"/>
    </row>
    <row r="982" ht="14.25" customHeight="1">
      <c r="A982" s="4"/>
      <c r="B982" s="4"/>
      <c r="C982" s="4"/>
      <c r="D982" s="4"/>
      <c r="E982" s="4"/>
      <c r="F982" s="188"/>
      <c r="G982" s="188"/>
      <c r="H982" s="4"/>
      <c r="I982" s="4"/>
      <c r="J982" s="4"/>
      <c r="K982" s="4"/>
      <c r="L982" s="4"/>
      <c r="M982" s="4"/>
      <c r="N982" s="4"/>
      <c r="O982" s="4"/>
      <c r="P982" s="4"/>
      <c r="Q982" s="4"/>
      <c r="R982" s="4"/>
      <c r="S982" s="4"/>
      <c r="T982" s="4"/>
      <c r="U982" s="4"/>
      <c r="V982" s="4"/>
      <c r="W982" s="4"/>
      <c r="X982" s="4"/>
      <c r="Y982" s="4"/>
      <c r="Z982" s="4"/>
    </row>
    <row r="983" ht="14.25" customHeight="1">
      <c r="A983" s="4"/>
      <c r="B983" s="4"/>
      <c r="C983" s="4"/>
      <c r="D983" s="4"/>
      <c r="E983" s="4"/>
      <c r="F983" s="188"/>
      <c r="G983" s="188"/>
      <c r="H983" s="4"/>
      <c r="I983" s="4"/>
      <c r="J983" s="4"/>
      <c r="K983" s="4"/>
      <c r="L983" s="4"/>
      <c r="M983" s="4"/>
      <c r="N983" s="4"/>
      <c r="O983" s="4"/>
      <c r="P983" s="4"/>
      <c r="Q983" s="4"/>
      <c r="R983" s="4"/>
      <c r="S983" s="4"/>
      <c r="T983" s="4"/>
      <c r="U983" s="4"/>
      <c r="V983" s="4"/>
      <c r="W983" s="4"/>
      <c r="X983" s="4"/>
      <c r="Y983" s="4"/>
      <c r="Z983" s="4"/>
    </row>
    <row r="984" ht="14.25" customHeight="1">
      <c r="A984" s="4"/>
      <c r="B984" s="4"/>
      <c r="C984" s="4"/>
      <c r="D984" s="4"/>
      <c r="E984" s="4"/>
      <c r="F984" s="188"/>
      <c r="G984" s="188"/>
      <c r="H984" s="4"/>
      <c r="I984" s="4"/>
      <c r="J984" s="4"/>
      <c r="K984" s="4"/>
      <c r="L984" s="4"/>
      <c r="M984" s="4"/>
      <c r="N984" s="4"/>
      <c r="O984" s="4"/>
      <c r="P984" s="4"/>
      <c r="Q984" s="4"/>
      <c r="R984" s="4"/>
      <c r="S984" s="4"/>
      <c r="T984" s="4"/>
      <c r="U984" s="4"/>
      <c r="V984" s="4"/>
      <c r="W984" s="4"/>
      <c r="X984" s="4"/>
      <c r="Y984" s="4"/>
      <c r="Z984" s="4"/>
    </row>
    <row r="985" ht="14.25" customHeight="1">
      <c r="A985" s="4"/>
      <c r="B985" s="4"/>
      <c r="C985" s="4"/>
      <c r="D985" s="4"/>
      <c r="E985" s="4"/>
      <c r="F985" s="188"/>
      <c r="G985" s="188"/>
      <c r="H985" s="4"/>
      <c r="I985" s="4"/>
      <c r="J985" s="4"/>
      <c r="K985" s="4"/>
      <c r="L985" s="4"/>
      <c r="M985" s="4"/>
      <c r="N985" s="4"/>
      <c r="O985" s="4"/>
      <c r="P985" s="4"/>
      <c r="Q985" s="4"/>
      <c r="R985" s="4"/>
      <c r="S985" s="4"/>
      <c r="T985" s="4"/>
      <c r="U985" s="4"/>
      <c r="V985" s="4"/>
      <c r="W985" s="4"/>
      <c r="X985" s="4"/>
      <c r="Y985" s="4"/>
      <c r="Z985" s="4"/>
    </row>
    <row r="986" ht="14.25" customHeight="1">
      <c r="A986" s="4"/>
      <c r="B986" s="4"/>
      <c r="C986" s="4"/>
      <c r="D986" s="4"/>
      <c r="E986" s="4"/>
      <c r="F986" s="188"/>
      <c r="G986" s="188"/>
      <c r="H986" s="4"/>
      <c r="I986" s="4"/>
      <c r="J986" s="4"/>
      <c r="K986" s="4"/>
      <c r="L986" s="4"/>
      <c r="M986" s="4"/>
      <c r="N986" s="4"/>
      <c r="O986" s="4"/>
      <c r="P986" s="4"/>
      <c r="Q986" s="4"/>
      <c r="R986" s="4"/>
      <c r="S986" s="4"/>
      <c r="T986" s="4"/>
      <c r="U986" s="4"/>
      <c r="V986" s="4"/>
      <c r="W986" s="4"/>
      <c r="X986" s="4"/>
      <c r="Y986" s="4"/>
      <c r="Z986" s="4"/>
    </row>
    <row r="987" ht="14.25" customHeight="1">
      <c r="A987" s="4"/>
      <c r="B987" s="4"/>
      <c r="C987" s="4"/>
      <c r="D987" s="4"/>
      <c r="E987" s="4"/>
      <c r="F987" s="188"/>
      <c r="G987" s="188"/>
      <c r="H987" s="4"/>
      <c r="I987" s="4"/>
      <c r="J987" s="4"/>
      <c r="K987" s="4"/>
      <c r="L987" s="4"/>
      <c r="M987" s="4"/>
      <c r="N987" s="4"/>
      <c r="O987" s="4"/>
      <c r="P987" s="4"/>
      <c r="Q987" s="4"/>
      <c r="R987" s="4"/>
      <c r="S987" s="4"/>
      <c r="T987" s="4"/>
      <c r="U987" s="4"/>
      <c r="V987" s="4"/>
      <c r="W987" s="4"/>
      <c r="X987" s="4"/>
      <c r="Y987" s="4"/>
      <c r="Z987" s="4"/>
    </row>
    <row r="988" ht="14.25" customHeight="1">
      <c r="A988" s="4"/>
      <c r="B988" s="4"/>
      <c r="C988" s="4"/>
      <c r="D988" s="4"/>
      <c r="E988" s="4"/>
      <c r="F988" s="188"/>
      <c r="G988" s="188"/>
      <c r="H988" s="4"/>
      <c r="I988" s="4"/>
      <c r="J988" s="4"/>
      <c r="K988" s="4"/>
      <c r="L988" s="4"/>
      <c r="M988" s="4"/>
      <c r="N988" s="4"/>
      <c r="O988" s="4"/>
      <c r="P988" s="4"/>
      <c r="Q988" s="4"/>
      <c r="R988" s="4"/>
      <c r="S988" s="4"/>
      <c r="T988" s="4"/>
      <c r="U988" s="4"/>
      <c r="V988" s="4"/>
      <c r="W988" s="4"/>
      <c r="X988" s="4"/>
      <c r="Y988" s="4"/>
      <c r="Z988" s="4"/>
    </row>
    <row r="989" ht="14.25" customHeight="1">
      <c r="A989" s="4"/>
      <c r="B989" s="4"/>
      <c r="C989" s="4"/>
      <c r="D989" s="4"/>
      <c r="E989" s="4"/>
      <c r="F989" s="188"/>
      <c r="G989" s="188"/>
      <c r="H989" s="4"/>
      <c r="I989" s="4"/>
      <c r="J989" s="4"/>
      <c r="K989" s="4"/>
      <c r="L989" s="4"/>
      <c r="M989" s="4"/>
      <c r="N989" s="4"/>
      <c r="O989" s="4"/>
      <c r="P989" s="4"/>
      <c r="Q989" s="4"/>
      <c r="R989" s="4"/>
      <c r="S989" s="4"/>
      <c r="T989" s="4"/>
      <c r="U989" s="4"/>
      <c r="V989" s="4"/>
      <c r="W989" s="4"/>
      <c r="X989" s="4"/>
      <c r="Y989" s="4"/>
      <c r="Z989" s="4"/>
    </row>
    <row r="990" ht="14.25" customHeight="1">
      <c r="A990" s="4"/>
      <c r="B990" s="4"/>
      <c r="C990" s="4"/>
      <c r="D990" s="4"/>
      <c r="E990" s="4"/>
      <c r="F990" s="188"/>
      <c r="G990" s="188"/>
      <c r="H990" s="4"/>
      <c r="I990" s="4"/>
      <c r="J990" s="4"/>
      <c r="K990" s="4"/>
      <c r="L990" s="4"/>
      <c r="M990" s="4"/>
      <c r="N990" s="4"/>
      <c r="O990" s="4"/>
      <c r="P990" s="4"/>
      <c r="Q990" s="4"/>
      <c r="R990" s="4"/>
      <c r="S990" s="4"/>
      <c r="T990" s="4"/>
      <c r="U990" s="4"/>
      <c r="V990" s="4"/>
      <c r="W990" s="4"/>
      <c r="X990" s="4"/>
      <c r="Y990" s="4"/>
      <c r="Z990" s="4"/>
    </row>
    <row r="991" ht="14.25" customHeight="1">
      <c r="A991" s="4"/>
      <c r="B991" s="4"/>
      <c r="C991" s="4"/>
      <c r="D991" s="4"/>
      <c r="E991" s="4"/>
      <c r="F991" s="188"/>
      <c r="G991" s="188"/>
      <c r="H991" s="4"/>
      <c r="I991" s="4"/>
      <c r="J991" s="4"/>
      <c r="K991" s="4"/>
      <c r="L991" s="4"/>
      <c r="M991" s="4"/>
      <c r="N991" s="4"/>
      <c r="O991" s="4"/>
      <c r="P991" s="4"/>
      <c r="Q991" s="4"/>
      <c r="R991" s="4"/>
      <c r="S991" s="4"/>
      <c r="T991" s="4"/>
      <c r="U991" s="4"/>
      <c r="V991" s="4"/>
      <c r="W991" s="4"/>
      <c r="X991" s="4"/>
      <c r="Y991" s="4"/>
      <c r="Z991" s="4"/>
    </row>
    <row r="992" ht="14.25" customHeight="1">
      <c r="A992" s="4"/>
      <c r="B992" s="4"/>
      <c r="C992" s="4"/>
      <c r="D992" s="4"/>
      <c r="E992" s="4"/>
      <c r="F992" s="188"/>
      <c r="G992" s="188"/>
      <c r="H992" s="4"/>
      <c r="I992" s="4"/>
      <c r="J992" s="4"/>
      <c r="K992" s="4"/>
      <c r="L992" s="4"/>
      <c r="M992" s="4"/>
      <c r="N992" s="4"/>
      <c r="O992" s="4"/>
      <c r="P992" s="4"/>
      <c r="Q992" s="4"/>
      <c r="R992" s="4"/>
      <c r="S992" s="4"/>
      <c r="T992" s="4"/>
      <c r="U992" s="4"/>
      <c r="V992" s="4"/>
      <c r="W992" s="4"/>
      <c r="X992" s="4"/>
      <c r="Y992" s="4"/>
      <c r="Z992" s="4"/>
    </row>
    <row r="993" ht="14.25" customHeight="1">
      <c r="A993" s="4"/>
      <c r="B993" s="4"/>
      <c r="C993" s="4"/>
      <c r="D993" s="4"/>
      <c r="E993" s="4"/>
      <c r="F993" s="188"/>
      <c r="G993" s="188"/>
      <c r="H993" s="4"/>
      <c r="I993" s="4"/>
      <c r="J993" s="4"/>
      <c r="K993" s="4"/>
      <c r="L993" s="4"/>
      <c r="M993" s="4"/>
      <c r="N993" s="4"/>
      <c r="O993" s="4"/>
      <c r="P993" s="4"/>
      <c r="Q993" s="4"/>
      <c r="R993" s="4"/>
      <c r="S993" s="4"/>
      <c r="T993" s="4"/>
      <c r="U993" s="4"/>
      <c r="V993" s="4"/>
      <c r="W993" s="4"/>
      <c r="X993" s="4"/>
      <c r="Y993" s="4"/>
      <c r="Z993" s="4"/>
    </row>
    <row r="994" ht="14.25" customHeight="1">
      <c r="A994" s="4"/>
      <c r="B994" s="4"/>
      <c r="C994" s="4"/>
      <c r="D994" s="4"/>
      <c r="E994" s="4"/>
      <c r="F994" s="188"/>
      <c r="G994" s="188"/>
      <c r="H994" s="4"/>
      <c r="I994" s="4"/>
      <c r="J994" s="4"/>
      <c r="K994" s="4"/>
      <c r="L994" s="4"/>
      <c r="M994" s="4"/>
      <c r="N994" s="4"/>
      <c r="O994" s="4"/>
      <c r="P994" s="4"/>
      <c r="Q994" s="4"/>
      <c r="R994" s="4"/>
      <c r="S994" s="4"/>
      <c r="T994" s="4"/>
      <c r="U994" s="4"/>
      <c r="V994" s="4"/>
      <c r="W994" s="4"/>
      <c r="X994" s="4"/>
      <c r="Y994" s="4"/>
      <c r="Z994" s="4"/>
    </row>
    <row r="995" ht="14.25" customHeight="1">
      <c r="A995" s="4"/>
      <c r="B995" s="4"/>
      <c r="C995" s="4"/>
      <c r="D995" s="4"/>
      <c r="E995" s="4"/>
      <c r="F995" s="188"/>
      <c r="G995" s="188"/>
      <c r="H995" s="4"/>
      <c r="I995" s="4"/>
      <c r="J995" s="4"/>
      <c r="K995" s="4"/>
      <c r="L995" s="4"/>
      <c r="M995" s="4"/>
      <c r="N995" s="4"/>
      <c r="O995" s="4"/>
      <c r="P995" s="4"/>
      <c r="Q995" s="4"/>
      <c r="R995" s="4"/>
      <c r="S995" s="4"/>
      <c r="T995" s="4"/>
      <c r="U995" s="4"/>
      <c r="V995" s="4"/>
      <c r="W995" s="4"/>
      <c r="X995" s="4"/>
      <c r="Y995" s="4"/>
      <c r="Z995" s="4"/>
    </row>
    <row r="996" ht="14.25" customHeight="1">
      <c r="A996" s="4"/>
      <c r="B996" s="4"/>
      <c r="C996" s="4"/>
      <c r="D996" s="4"/>
      <c r="E996" s="4"/>
      <c r="F996" s="188"/>
      <c r="G996" s="188"/>
      <c r="H996" s="4"/>
      <c r="I996" s="4"/>
      <c r="J996" s="4"/>
      <c r="K996" s="4"/>
      <c r="L996" s="4"/>
      <c r="M996" s="4"/>
      <c r="N996" s="4"/>
      <c r="O996" s="4"/>
      <c r="P996" s="4"/>
      <c r="Q996" s="4"/>
      <c r="R996" s="4"/>
      <c r="S996" s="4"/>
      <c r="T996" s="4"/>
      <c r="U996" s="4"/>
      <c r="V996" s="4"/>
      <c r="W996" s="4"/>
      <c r="X996" s="4"/>
      <c r="Y996" s="4"/>
      <c r="Z996" s="4"/>
    </row>
    <row r="997" ht="14.25" customHeight="1">
      <c r="A997" s="4"/>
      <c r="B997" s="4"/>
      <c r="C997" s="4"/>
      <c r="D997" s="4"/>
      <c r="E997" s="4"/>
      <c r="F997" s="188"/>
      <c r="G997" s="188"/>
      <c r="H997" s="4"/>
      <c r="I997" s="4"/>
      <c r="J997" s="4"/>
      <c r="K997" s="4"/>
      <c r="L997" s="4"/>
      <c r="M997" s="4"/>
      <c r="N997" s="4"/>
      <c r="O997" s="4"/>
      <c r="P997" s="4"/>
      <c r="Q997" s="4"/>
      <c r="R997" s="4"/>
      <c r="S997" s="4"/>
      <c r="T997" s="4"/>
      <c r="U997" s="4"/>
      <c r="V997" s="4"/>
      <c r="W997" s="4"/>
      <c r="X997" s="4"/>
      <c r="Y997" s="4"/>
      <c r="Z997" s="4"/>
    </row>
    <row r="998" ht="14.25" customHeight="1">
      <c r="A998" s="4"/>
      <c r="B998" s="4"/>
      <c r="C998" s="4"/>
      <c r="D998" s="4"/>
      <c r="E998" s="4"/>
      <c r="F998" s="188"/>
      <c r="G998" s="188"/>
      <c r="H998" s="4"/>
      <c r="I998" s="4"/>
      <c r="J998" s="4"/>
      <c r="K998" s="4"/>
      <c r="L998" s="4"/>
      <c r="M998" s="4"/>
      <c r="N998" s="4"/>
      <c r="O998" s="4"/>
      <c r="P998" s="4"/>
      <c r="Q998" s="4"/>
      <c r="R998" s="4"/>
      <c r="S998" s="4"/>
      <c r="T998" s="4"/>
      <c r="U998" s="4"/>
      <c r="V998" s="4"/>
      <c r="W998" s="4"/>
      <c r="X998" s="4"/>
      <c r="Y998" s="4"/>
      <c r="Z998" s="4"/>
    </row>
    <row r="999" ht="14.25" customHeight="1">
      <c r="A999" s="4"/>
      <c r="B999" s="4"/>
      <c r="C999" s="4"/>
      <c r="D999" s="4"/>
      <c r="E999" s="4"/>
      <c r="F999" s="188"/>
      <c r="G999" s="188"/>
      <c r="H999" s="4"/>
      <c r="I999" s="4"/>
      <c r="J999" s="4"/>
      <c r="K999" s="4"/>
      <c r="L999" s="4"/>
      <c r="M999" s="4"/>
      <c r="N999" s="4"/>
      <c r="O999" s="4"/>
      <c r="P999" s="4"/>
      <c r="Q999" s="4"/>
      <c r="R999" s="4"/>
      <c r="S999" s="4"/>
      <c r="T999" s="4"/>
      <c r="U999" s="4"/>
      <c r="V999" s="4"/>
      <c r="W999" s="4"/>
      <c r="X999" s="4"/>
      <c r="Y999" s="4"/>
      <c r="Z999" s="4"/>
    </row>
    <row r="1000" ht="14.25" customHeight="1">
      <c r="A1000" s="4"/>
      <c r="B1000" s="4"/>
      <c r="C1000" s="4"/>
      <c r="D1000" s="4"/>
      <c r="E1000" s="4"/>
      <c r="F1000" s="188"/>
      <c r="G1000" s="188"/>
      <c r="H1000" s="4"/>
      <c r="I1000" s="4"/>
      <c r="J1000" s="4"/>
      <c r="K1000" s="4"/>
      <c r="L1000" s="4"/>
      <c r="M1000" s="4"/>
      <c r="N1000" s="4"/>
      <c r="O1000" s="4"/>
      <c r="P1000" s="4"/>
      <c r="Q1000" s="4"/>
      <c r="R1000" s="4"/>
      <c r="S1000" s="4"/>
      <c r="T1000" s="4"/>
      <c r="U1000" s="4"/>
      <c r="V1000" s="4"/>
      <c r="W1000" s="4"/>
      <c r="X1000" s="4"/>
      <c r="Y1000" s="4"/>
      <c r="Z1000" s="4"/>
    </row>
  </sheetData>
  <mergeCells count="15">
    <mergeCell ref="F3:N3"/>
    <mergeCell ref="F4:H4"/>
    <mergeCell ref="I4:K4"/>
    <mergeCell ref="L4:N4"/>
    <mergeCell ref="A75:M75"/>
    <mergeCell ref="A76:M76"/>
    <mergeCell ref="A77:M77"/>
    <mergeCell ref="A78:N79"/>
    <mergeCell ref="A1:N1"/>
    <mergeCell ref="F2:L2"/>
    <mergeCell ref="A3:A5"/>
    <mergeCell ref="B3:B5"/>
    <mergeCell ref="C3:C5"/>
    <mergeCell ref="D3:D5"/>
    <mergeCell ref="E3:E5"/>
  </mergeCells>
  <printOptions/>
  <pageMargins bottom="0.75" footer="0.0" header="0.0" left="0.25" right="0.25" top="0.75"/>
  <pageSetup orientation="portrait"/>
  <headerFooter>
    <oddHeader>&amp;RSP-IL IDR</oddHeader>
  </headerFooter>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tabColor rgb="FFFF0000"/>
    <pageSetUpPr/>
  </sheetPr>
  <sheetViews>
    <sheetView workbookViewId="0">
      <pane xSplit="3.0" topLeftCell="D1" activePane="topRight" state="frozen"/>
      <selection activeCell="E2" sqref="E2" pane="topRight"/>
    </sheetView>
  </sheetViews>
  <sheetFormatPr customHeight="1" defaultColWidth="14.43" defaultRowHeight="15.0"/>
  <cols>
    <col customWidth="1" min="1" max="1" width="3.86"/>
    <col customWidth="1" min="2" max="2" width="5.86"/>
    <col customWidth="1" min="3" max="3" width="6.86"/>
    <col customWidth="1" min="4" max="4" width="16.57"/>
    <col customWidth="1" min="5" max="5" width="14.86"/>
    <col customWidth="1" min="6" max="6" width="14.0"/>
    <col customWidth="1" min="7" max="7" width="12.86"/>
    <col customWidth="1" min="8" max="11" width="15.86"/>
    <col customWidth="1" min="12" max="12" width="17.14"/>
    <col customWidth="1" min="13" max="13" width="11.57"/>
    <col customWidth="1" min="14" max="14" width="11.86"/>
    <col customWidth="1" min="15" max="16" width="16.57"/>
    <col customWidth="1" min="17" max="18" width="18.14"/>
    <col customWidth="1" min="19" max="20" width="19.0"/>
    <col customWidth="1" min="21" max="22" width="13.71"/>
    <col customWidth="1" min="23" max="23" width="14.57"/>
    <col customWidth="1" min="24" max="24" width="15.14"/>
    <col customWidth="1" min="25" max="25" width="15.57"/>
    <col customWidth="1" min="26" max="26" width="15.14"/>
    <col customWidth="1" min="27" max="27" width="8.71"/>
    <col customWidth="1" min="28" max="28" width="19.29"/>
    <col customWidth="1" min="29" max="29" width="11.43"/>
  </cols>
  <sheetData>
    <row r="1" ht="14.25" customHeight="1">
      <c r="A1" s="6" t="s">
        <v>1</v>
      </c>
      <c r="B1" s="7"/>
      <c r="C1" s="7"/>
      <c r="D1" s="6"/>
      <c r="E1" s="6"/>
      <c r="F1" s="6"/>
      <c r="G1" s="6"/>
      <c r="H1" s="6"/>
      <c r="I1" s="10"/>
      <c r="J1" s="11"/>
      <c r="K1" s="11"/>
      <c r="L1" s="6"/>
      <c r="M1" s="11"/>
      <c r="N1" s="6"/>
      <c r="O1" s="6"/>
      <c r="P1" s="6"/>
      <c r="Q1" s="6"/>
      <c r="R1" s="6"/>
      <c r="S1" s="6"/>
      <c r="T1" s="6"/>
    </row>
    <row r="2" ht="14.25" customHeight="1">
      <c r="A2" s="6"/>
      <c r="B2" s="20">
        <v>1.0</v>
      </c>
      <c r="C2" s="20">
        <f t="shared" ref="C2:J2" si="1">+B2+1</f>
        <v>2</v>
      </c>
      <c r="D2" s="20">
        <f t="shared" si="1"/>
        <v>3</v>
      </c>
      <c r="E2" s="20">
        <f t="shared" si="1"/>
        <v>4</v>
      </c>
      <c r="F2" s="20">
        <f t="shared" si="1"/>
        <v>5</v>
      </c>
      <c r="G2" s="20">
        <f t="shared" si="1"/>
        <v>6</v>
      </c>
      <c r="H2" s="20">
        <f t="shared" si="1"/>
        <v>7</v>
      </c>
      <c r="I2" s="20">
        <f t="shared" si="1"/>
        <v>8</v>
      </c>
      <c r="J2" s="20">
        <f t="shared" si="1"/>
        <v>9</v>
      </c>
      <c r="K2" s="20"/>
      <c r="L2" s="20">
        <f>+J2+1</f>
        <v>10</v>
      </c>
      <c r="M2" s="20">
        <f t="shared" ref="M2:Z2" si="2">+L2+1</f>
        <v>11</v>
      </c>
      <c r="N2" s="20">
        <f t="shared" si="2"/>
        <v>12</v>
      </c>
      <c r="O2" s="20">
        <f t="shared" si="2"/>
        <v>13</v>
      </c>
      <c r="P2" s="20">
        <f t="shared" si="2"/>
        <v>14</v>
      </c>
      <c r="Q2" s="20">
        <f t="shared" si="2"/>
        <v>15</v>
      </c>
      <c r="R2" s="20">
        <f t="shared" si="2"/>
        <v>16</v>
      </c>
      <c r="S2" s="20">
        <f t="shared" si="2"/>
        <v>17</v>
      </c>
      <c r="T2" s="20">
        <f t="shared" si="2"/>
        <v>18</v>
      </c>
      <c r="U2" s="20">
        <f t="shared" si="2"/>
        <v>19</v>
      </c>
      <c r="V2" s="20">
        <f t="shared" si="2"/>
        <v>20</v>
      </c>
      <c r="W2" s="20">
        <f t="shared" si="2"/>
        <v>21</v>
      </c>
      <c r="X2" s="20">
        <f t="shared" si="2"/>
        <v>22</v>
      </c>
      <c r="Y2" s="20">
        <f t="shared" si="2"/>
        <v>23</v>
      </c>
      <c r="Z2" s="20">
        <f t="shared" si="2"/>
        <v>24</v>
      </c>
    </row>
    <row r="3" ht="14.25" customHeight="1">
      <c r="A3" s="7"/>
      <c r="B3" s="7"/>
      <c r="C3" s="7"/>
      <c r="D3" s="50"/>
      <c r="E3" s="7"/>
      <c r="F3" s="7"/>
      <c r="G3" s="50"/>
      <c r="H3" s="7"/>
      <c r="I3" s="7"/>
      <c r="J3" s="7"/>
      <c r="K3" s="7"/>
      <c r="L3" s="50"/>
      <c r="M3" s="7"/>
      <c r="N3" s="7"/>
      <c r="O3" s="56" t="s">
        <v>22</v>
      </c>
      <c r="P3" s="57"/>
      <c r="Q3" s="57"/>
      <c r="R3" s="57"/>
      <c r="S3" s="57"/>
      <c r="T3" s="59"/>
      <c r="U3" s="56" t="s">
        <v>25</v>
      </c>
      <c r="V3" s="57"/>
      <c r="W3" s="59"/>
      <c r="X3" s="56" t="s">
        <v>26</v>
      </c>
      <c r="Y3" s="57"/>
      <c r="Z3" s="59"/>
    </row>
    <row r="4" ht="14.25" customHeight="1">
      <c r="A4" s="7"/>
      <c r="B4" s="7"/>
      <c r="C4" s="7"/>
      <c r="D4" s="50"/>
      <c r="E4" s="64"/>
      <c r="F4" s="64"/>
      <c r="G4" s="64"/>
      <c r="H4" s="65"/>
      <c r="I4" s="7"/>
      <c r="J4" s="7"/>
      <c r="K4" s="7"/>
      <c r="L4" s="7"/>
      <c r="M4" s="66"/>
      <c r="N4" s="50"/>
      <c r="O4" s="69" t="s">
        <v>32</v>
      </c>
      <c r="P4" s="70"/>
      <c r="Q4" s="72" t="s">
        <v>33</v>
      </c>
      <c r="R4" s="70"/>
      <c r="S4" s="74" t="s">
        <v>36</v>
      </c>
      <c r="T4" s="75"/>
      <c r="U4" s="76" t="s">
        <v>32</v>
      </c>
      <c r="V4" s="79" t="s">
        <v>33</v>
      </c>
      <c r="W4" s="81" t="s">
        <v>36</v>
      </c>
      <c r="X4" s="76" t="s">
        <v>32</v>
      </c>
      <c r="Y4" s="79" t="s">
        <v>33</v>
      </c>
      <c r="Z4" s="81" t="s">
        <v>36</v>
      </c>
    </row>
    <row r="5" ht="14.25" customHeight="1">
      <c r="A5" s="6"/>
      <c r="B5" s="83" t="s">
        <v>37</v>
      </c>
      <c r="C5" s="84" t="s">
        <v>38</v>
      </c>
      <c r="D5" s="85" t="s">
        <v>39</v>
      </c>
      <c r="E5" s="57"/>
      <c r="F5" s="86"/>
      <c r="G5" s="87"/>
      <c r="H5" s="87"/>
      <c r="I5" s="84" t="s">
        <v>43</v>
      </c>
      <c r="J5" s="87" t="s">
        <v>44</v>
      </c>
      <c r="K5" s="84" t="s">
        <v>44</v>
      </c>
      <c r="L5" s="84" t="s">
        <v>45</v>
      </c>
      <c r="M5" s="84" t="s">
        <v>46</v>
      </c>
      <c r="N5" s="90" t="s">
        <v>47</v>
      </c>
      <c r="O5" s="91" t="s">
        <v>49</v>
      </c>
      <c r="P5" s="93" t="s">
        <v>49</v>
      </c>
      <c r="Q5" s="95" t="s">
        <v>49</v>
      </c>
      <c r="R5" s="93" t="s">
        <v>49</v>
      </c>
      <c r="S5" s="96" t="s">
        <v>49</v>
      </c>
      <c r="T5" s="97" t="s">
        <v>49</v>
      </c>
      <c r="U5" s="98"/>
      <c r="V5" s="39"/>
      <c r="W5" s="99"/>
      <c r="X5" s="98"/>
      <c r="Y5" s="39"/>
      <c r="Z5" s="99"/>
    </row>
    <row r="6" ht="14.25" customHeight="1">
      <c r="A6" s="6"/>
      <c r="B6" s="91" t="s">
        <v>52</v>
      </c>
      <c r="C6" s="96" t="s">
        <v>54</v>
      </c>
      <c r="D6" s="96" t="s">
        <v>56</v>
      </c>
      <c r="E6" s="100" t="s">
        <v>57</v>
      </c>
      <c r="F6" s="102"/>
      <c r="G6" s="22"/>
      <c r="H6" s="96" t="s">
        <v>59</v>
      </c>
      <c r="I6" s="96" t="s">
        <v>60</v>
      </c>
      <c r="J6" s="96" t="s">
        <v>61</v>
      </c>
      <c r="K6" s="104" t="s">
        <v>62</v>
      </c>
      <c r="L6" s="96" t="s">
        <v>63</v>
      </c>
      <c r="M6" s="96" t="s">
        <v>64</v>
      </c>
      <c r="N6" s="97" t="s">
        <v>65</v>
      </c>
      <c r="O6" s="91" t="s">
        <v>66</v>
      </c>
      <c r="P6" s="93" t="s">
        <v>67</v>
      </c>
      <c r="Q6" s="95" t="s">
        <v>66</v>
      </c>
      <c r="R6" s="93" t="s">
        <v>67</v>
      </c>
      <c r="S6" s="96" t="s">
        <v>66</v>
      </c>
      <c r="T6" s="97" t="s">
        <v>67</v>
      </c>
      <c r="U6" s="98"/>
      <c r="V6" s="39"/>
      <c r="W6" s="99"/>
      <c r="X6" s="98"/>
      <c r="Y6" s="39"/>
      <c r="Z6" s="99"/>
    </row>
    <row r="7" ht="14.25" customHeight="1">
      <c r="A7" s="7"/>
      <c r="B7" s="107"/>
      <c r="C7" s="108"/>
      <c r="D7" s="110" t="s">
        <v>72</v>
      </c>
      <c r="E7" s="111"/>
      <c r="F7" s="110" t="s">
        <v>13</v>
      </c>
      <c r="G7" s="110" t="s">
        <v>73</v>
      </c>
      <c r="H7" s="108"/>
      <c r="I7" s="113"/>
      <c r="J7" s="113"/>
      <c r="K7" s="113"/>
      <c r="L7" s="113"/>
      <c r="M7" s="108"/>
      <c r="N7" s="114"/>
      <c r="O7" s="117"/>
      <c r="P7" s="119"/>
      <c r="Q7" s="120"/>
      <c r="R7" s="119"/>
      <c r="S7" s="108"/>
      <c r="T7" s="119"/>
      <c r="U7" s="121"/>
      <c r="V7" s="122"/>
      <c r="W7" s="123"/>
      <c r="X7" s="121"/>
      <c r="Y7" s="122"/>
      <c r="Z7" s="123"/>
      <c r="AB7" s="125" t="s">
        <v>83</v>
      </c>
      <c r="AC7" s="125" t="str">
        <f>IF(VLOOKUP(79,C8:T107,T2-1,0)&lt;=0,"ERROR","TRUE")</f>
        <v>TRUE</v>
      </c>
    </row>
    <row r="8" ht="14.25" customHeight="1">
      <c r="A8" s="126">
        <v>1.0</v>
      </c>
      <c r="B8" s="129">
        <f>+IF(A8&gt;Coverage,"",A8)</f>
        <v>1</v>
      </c>
      <c r="C8" s="134">
        <f>+IF(B8&gt;Coverage,"",IF(B8=1,Insured_Age,C7+1))</f>
        <v>60</v>
      </c>
      <c r="D8" s="134">
        <f>+Calc_Annual!E8</f>
        <v>220000778</v>
      </c>
      <c r="E8" s="134">
        <f>+Calc_Annual!F8</f>
        <v>220000778</v>
      </c>
      <c r="F8" s="134">
        <f>+Calc_Annual!G8</f>
        <v>100000000</v>
      </c>
      <c r="G8" s="134">
        <f>+Calc_Annual!H8</f>
        <v>0</v>
      </c>
      <c r="H8" s="134">
        <f>+IF(B8&gt;Coverage,"",SUM(E$8:E8)+SUM(F$8:F8)-SUM(G$8:G8))</f>
        <v>320000778</v>
      </c>
      <c r="I8" s="66">
        <f>+IF($B8&gt;Coverage,"",Calc_Annual!I8)</f>
        <v>330001167</v>
      </c>
      <c r="J8" s="134">
        <f>+Calc_Annual!K8</f>
        <v>5742020.306</v>
      </c>
      <c r="K8" s="134">
        <f>Calc_Annual!L8</f>
        <v>316801.1203</v>
      </c>
      <c r="L8" s="134">
        <f>+Calc_Annual!Q8</f>
        <v>14000038.9</v>
      </c>
      <c r="M8" s="134">
        <f>+Calc_Annual!R8</f>
        <v>300000</v>
      </c>
      <c r="N8" s="134">
        <f>+Calc_Annual!S8</f>
        <v>0</v>
      </c>
      <c r="O8" s="134">
        <f>IF(B8&gt;Coverage,"",SUM(Calc_Annual!T8,Calc_Annual!W8,Calc_Annual!Z8,Calc_Annual!AC8))</f>
        <v>298108071</v>
      </c>
      <c r="P8" s="134">
        <f>IF(B8&gt;Coverage,"",SUM(Calc_Annual!U8,Calc_Annual!X8,Calc_Annual!AA8,Calc_Annual!AD8))</f>
        <v>296613786</v>
      </c>
      <c r="Q8" s="134">
        <f>IF(B8&gt;Coverage,"",SUM(Calc_Annual!AF8,Calc_Annual!AI8,Calc_Annual!AL8,Calc_Annual!AO8))</f>
        <v>299641919</v>
      </c>
      <c r="R8" s="134">
        <f>IF(B8&gt;Coverage,"",SUM(Calc_Annual!AG8,Calc_Annual!AJ8,Calc_Annual!AM8,Calc_Annual!AP8))</f>
        <v>299641919</v>
      </c>
      <c r="S8" s="134">
        <f>IF(B8&gt;Coverage,"",SUM(Calc_Annual!AR8,Calc_Annual!AU8,Calc_Annual!AX8,Calc_Annual!BA8))</f>
        <v>309496306</v>
      </c>
      <c r="T8" s="134">
        <f>IF(B8&gt;Coverage,"",SUM(Calc_Annual!AS8,Calc_Annual!AV8,Calc_Annual!AY8,Calc_Annual!BB8))</f>
        <v>319480189</v>
      </c>
      <c r="U8" s="134">
        <f>IF(B8&gt;Coverage,"",VLOOKUP(MIN($C8,10),Assumption!$M$18:$N$28,2,0)*$I8+P8)</f>
        <v>626614953</v>
      </c>
      <c r="V8" s="134">
        <f>IF(B8&gt;Coverage,"",VLOOKUP(MIN($C8,10),Assumption!$M$18:$N$28,2,0)*$I8+R8)</f>
        <v>629643086</v>
      </c>
      <c r="W8" s="134">
        <f>IF(B8&gt;Coverage,"",VLOOKUP(MIN($C8,10),Assumption!$M$18:$N$28,2,0)*$I8+T8)</f>
        <v>649481356</v>
      </c>
      <c r="X8" s="134">
        <f>IF(B8&gt;Coverage,"",SUM(Calc_Annual!V8,Calc_Annual!Y8,Calc_Annual!AB8,Calc_Annual!AE8))</f>
        <v>281783096.7</v>
      </c>
      <c r="Y8" s="134">
        <f>IF(B8&gt;Coverage,"",SUM(Calc_Annual!AH8,Calc_Annual!AK8,Calc_Annual!AN8,Calc_Annual!AQ8))</f>
        <v>284659823.1</v>
      </c>
      <c r="Z8" s="134">
        <f>IF(B8&gt;Coverage,"",SUM(Calc_Annual!AT8,Calc_Annual!AW8,Calc_Annual!AZ8,Calc_Annual!BC8))</f>
        <v>303506179.6</v>
      </c>
    </row>
    <row r="9" ht="14.25" customHeight="1">
      <c r="A9" s="126">
        <v>2.0</v>
      </c>
      <c r="B9" s="129">
        <f>+IF(A9&gt;Coverage,"",A9)</f>
        <v>2</v>
      </c>
      <c r="C9" s="134">
        <f>+IF(B9&gt;Coverage,"",IF(B9=1,Insured_Age,C8+1))</f>
        <v>61</v>
      </c>
      <c r="D9" s="134">
        <f>+Calc_Annual!E9</f>
        <v>0</v>
      </c>
      <c r="E9" s="134">
        <f>+Calc_Annual!F9</f>
        <v>0</v>
      </c>
      <c r="F9" s="134">
        <f>+Calc_Annual!G9</f>
        <v>0</v>
      </c>
      <c r="G9" s="134">
        <f>+Calc_Annual!H9</f>
        <v>0</v>
      </c>
      <c r="H9" s="134">
        <f>+IF(B9&gt;Coverage,"",SUM(E$8:E9)+SUM(F$8:F9)-SUM(G$8:G9))</f>
        <v>320000778</v>
      </c>
      <c r="I9" s="66">
        <f>+IF($B9&gt;Coverage,"",Calc_Annual!I9)</f>
        <v>330001167</v>
      </c>
      <c r="J9" s="134">
        <f>+Calc_Annual!K9</f>
        <v>5761820.376</v>
      </c>
      <c r="K9" s="134">
        <f>Calc_Annual!L9</f>
        <v>316801.1203</v>
      </c>
      <c r="L9" s="134">
        <f>+Calc_Annual!Q9</f>
        <v>0</v>
      </c>
      <c r="M9" s="134">
        <f>+Calc_Annual!R9</f>
        <v>300000</v>
      </c>
      <c r="N9" s="134">
        <f>+Calc_Annual!S9</f>
        <v>0</v>
      </c>
      <c r="O9" s="134">
        <f>IF(B9&gt;Coverage,"",SUM(Calc_Annual!T9,Calc_Annual!W9,Calc_Annual!Z9,Calc_Annual!AC9))</f>
        <v>288748370</v>
      </c>
      <c r="P9" s="134">
        <f>IF(B9&gt;Coverage,"",SUM(Calc_Annual!U9,Calc_Annual!X9,Calc_Annual!AA9,Calc_Annual!AD9))</f>
        <v>287301001</v>
      </c>
      <c r="Q9" s="134">
        <f>IF(B9&gt;Coverage,"",SUM(Calc_Annual!AF9,Calc_Annual!AI9,Calc_Annual!AL9,Calc_Annual!AO9))</f>
        <v>293263299</v>
      </c>
      <c r="R9" s="134">
        <f>IF(B9&gt;Coverage,"",SUM(Calc_Annual!AG9,Calc_Annual!AJ9,Calc_Annual!AM9,Calc_Annual!AP9))</f>
        <v>293263299</v>
      </c>
      <c r="S9" s="134">
        <f>IF(B9&gt;Coverage,"",SUM(Calc_Annual!AR9,Calc_Annual!AU9,Calc_Annual!AX9,Calc_Annual!BA9))</f>
        <v>323424560</v>
      </c>
      <c r="T9" s="134">
        <f>IF(B9&gt;Coverage,"",SUM(Calc_Annual!AS9,Calc_Annual!AV9,Calc_Annual!AY9,Calc_Annual!BB9))</f>
        <v>333893214</v>
      </c>
      <c r="U9" s="134">
        <f>IF(B9&gt;Coverage,"",VLOOKUP(MIN($C9,10),Assumption!$M$18:$N$28,2,0)*$I9+P9)</f>
        <v>617302168</v>
      </c>
      <c r="V9" s="134">
        <f>IF(B9&gt;Coverage,"",VLOOKUP(MIN($C9,10),Assumption!$M$18:$N$28,2,0)*$I9+R9)</f>
        <v>623264466</v>
      </c>
      <c r="W9" s="134">
        <f>IF(B9&gt;Coverage,"",VLOOKUP(MIN($C9,10),Assumption!$M$18:$N$28,2,0)*$I9+T9)</f>
        <v>663894381</v>
      </c>
      <c r="X9" s="134">
        <f>IF(B9&gt;Coverage,"",SUM(Calc_Annual!V9,Calc_Annual!Y9,Calc_Annual!AB9,Calc_Annual!AE9))</f>
        <v>275808961</v>
      </c>
      <c r="Y9" s="134">
        <f>IF(B9&gt;Coverage,"",SUM(Calc_Annual!AH9,Calc_Annual!AK9,Calc_Annual!AN9,Calc_Annual!AQ9))</f>
        <v>281532767</v>
      </c>
      <c r="Z9" s="134">
        <f>IF(B9&gt;Coverage,"",SUM(Calc_Annual!AT9,Calc_Annual!AW9,Calc_Annual!AZ9,Calc_Annual!BC9))</f>
        <v>320537485.4</v>
      </c>
    </row>
    <row r="10" ht="14.25" customHeight="1">
      <c r="A10" s="126">
        <v>3.0</v>
      </c>
      <c r="B10" s="129">
        <f>+IF(A10&gt;Coverage,"",A10)</f>
        <v>3</v>
      </c>
      <c r="C10" s="134">
        <f>+IF(B10&gt;Coverage,"",IF(B10=1,Insured_Age,C9+1))</f>
        <v>62</v>
      </c>
      <c r="D10" s="134">
        <f>+Calc_Annual!E10</f>
        <v>0</v>
      </c>
      <c r="E10" s="134">
        <f>+Calc_Annual!F10</f>
        <v>0</v>
      </c>
      <c r="F10" s="134">
        <f>+Calc_Annual!G10</f>
        <v>0</v>
      </c>
      <c r="G10" s="134">
        <f>+Calc_Annual!H10</f>
        <v>0</v>
      </c>
      <c r="H10" s="134">
        <f>+IF(B10&gt;Coverage,"",SUM(E$8:E10)+SUM(F$8:F10)-SUM(G$8:G10))</f>
        <v>320000778</v>
      </c>
      <c r="I10" s="66">
        <f>+IF($B10&gt;Coverage,"",Calc_Annual!I10)</f>
        <v>330001167</v>
      </c>
      <c r="J10" s="134">
        <f>+Calc_Annual!K10</f>
        <v>5781620.446</v>
      </c>
      <c r="K10" s="134">
        <f>Calc_Annual!L10</f>
        <v>316801.1203</v>
      </c>
      <c r="L10" s="134">
        <f>+Calc_Annual!Q10</f>
        <v>0</v>
      </c>
      <c r="M10" s="134">
        <f>+Calc_Annual!R10</f>
        <v>300000</v>
      </c>
      <c r="N10" s="134">
        <f>+Calc_Annual!S10</f>
        <v>0</v>
      </c>
      <c r="O10" s="134">
        <f>IF(B10&gt;Coverage,"",SUM(Calc_Annual!T10,Calc_Annual!W10,Calc_Annual!Z10,Calc_Annual!AC10))</f>
        <v>279462465</v>
      </c>
      <c r="P10" s="134">
        <f>IF(B10&gt;Coverage,"",SUM(Calc_Annual!U10,Calc_Annual!X10,Calc_Annual!AA10,Calc_Annual!AD10))</f>
        <v>278061642</v>
      </c>
      <c r="Q10" s="134">
        <f>IF(B10&gt;Coverage,"",SUM(Calc_Annual!AF10,Calc_Annual!AI10,Calc_Annual!AL10,Calc_Annual!AO10))</f>
        <v>286864878</v>
      </c>
      <c r="R10" s="134">
        <f>IF(B10&gt;Coverage,"",SUM(Calc_Annual!AG10,Calc_Annual!AJ10,Calc_Annual!AM10,Calc_Annual!AP10))</f>
        <v>286864878</v>
      </c>
      <c r="S10" s="134">
        <f>IF(B10&gt;Coverage,"",SUM(Calc_Annual!AR10,Calc_Annual!AU10,Calc_Annual!AX10,Calc_Annual!BA10))</f>
        <v>338319955</v>
      </c>
      <c r="T10" s="134">
        <f>IF(B10&gt;Coverage,"",SUM(Calc_Annual!AS10,Calc_Annual!AV10,Calc_Annual!AY10,Calc_Annual!BB10))</f>
        <v>349308180</v>
      </c>
      <c r="U10" s="134">
        <f>IF(B10&gt;Coverage,"",VLOOKUP(MIN($C10,10),Assumption!$M$18:$N$28,2,0)*$I10+P10)</f>
        <v>608062809</v>
      </c>
      <c r="V10" s="134">
        <f>IF(B10&gt;Coverage,"",VLOOKUP(MIN($C10,10),Assumption!$M$18:$N$28,2,0)*$I10+R10)</f>
        <v>616866045</v>
      </c>
      <c r="W10" s="134">
        <f>IF(B10&gt;Coverage,"",VLOOKUP(MIN($C10,10),Assumption!$M$18:$N$28,2,0)*$I10+T10)</f>
        <v>679309347</v>
      </c>
      <c r="X10" s="134">
        <f>IF(B10&gt;Coverage,"",SUM(Calc_Annual!V10,Calc_Annual!Y10,Calc_Annual!AB10,Calc_Annual!AE10))</f>
        <v>269719792.7</v>
      </c>
      <c r="Y10" s="134">
        <f>IF(B10&gt;Coverage,"",SUM(Calc_Annual!AH10,Calc_Annual!AK10,Calc_Annual!AN10,Calc_Annual!AQ10))</f>
        <v>278258931.7</v>
      </c>
      <c r="Z10" s="134">
        <f>IF(B10&gt;Coverage,"",SUM(Calc_Annual!AT10,Calc_Annual!AW10,Calc_Annual!AZ10,Calc_Annual!BC10))</f>
        <v>338828934.6</v>
      </c>
    </row>
    <row r="11" ht="14.25" customHeight="1">
      <c r="A11" s="126">
        <v>4.0</v>
      </c>
      <c r="B11" s="129">
        <f>+IF(A11&gt;Coverage,"",A11)</f>
        <v>4</v>
      </c>
      <c r="C11" s="134">
        <f>+IF(B11&gt;Coverage,"",IF(B11=1,Insured_Age,C10+1))</f>
        <v>63</v>
      </c>
      <c r="D11" s="134">
        <f>+Calc_Annual!E11</f>
        <v>0</v>
      </c>
      <c r="E11" s="134">
        <f>+Calc_Annual!F11</f>
        <v>0</v>
      </c>
      <c r="F11" s="134">
        <f>+Calc_Annual!G11</f>
        <v>0</v>
      </c>
      <c r="G11" s="134">
        <f>+Calc_Annual!H11</f>
        <v>0</v>
      </c>
      <c r="H11" s="134">
        <f>+IF(B11&gt;Coverage,"",SUM(E$8:E11)+SUM(F$8:F11)-SUM(G$8:G11))</f>
        <v>320000778</v>
      </c>
      <c r="I11" s="66">
        <f>+IF($B11&gt;Coverage,"",Calc_Annual!I11)</f>
        <v>330001167</v>
      </c>
      <c r="J11" s="134">
        <f>+Calc_Annual!K11</f>
        <v>5801420.516</v>
      </c>
      <c r="K11" s="134">
        <f>Calc_Annual!L11</f>
        <v>316801.1203</v>
      </c>
      <c r="L11" s="134">
        <f>+Calc_Annual!Q11</f>
        <v>0</v>
      </c>
      <c r="M11" s="134">
        <f>+Calc_Annual!R11</f>
        <v>300000</v>
      </c>
      <c r="N11" s="134">
        <f>+Calc_Annual!S11</f>
        <v>0</v>
      </c>
      <c r="O11" s="134">
        <f>IF(B11&gt;Coverage,"",SUM(Calc_Annual!T11,Calc_Annual!W11,Calc_Annual!Z11,Calc_Annual!AC11))</f>
        <v>270249618</v>
      </c>
      <c r="P11" s="134">
        <f>IF(B11&gt;Coverage,"",SUM(Calc_Annual!U11,Calc_Annual!X11,Calc_Annual!AA11,Calc_Annual!AD11))</f>
        <v>268894975</v>
      </c>
      <c r="Q11" s="134">
        <f>IF(B11&gt;Coverage,"",SUM(Calc_Annual!AF11,Calc_Annual!AI11,Calc_Annual!AL11,Calc_Annual!AO11))</f>
        <v>280446657</v>
      </c>
      <c r="R11" s="134">
        <f>IF(B11&gt;Coverage,"",SUM(Calc_Annual!AG11,Calc_Annual!AJ11,Calc_Annual!AM11,Calc_Annual!AP11))</f>
        <v>280446657</v>
      </c>
      <c r="S11" s="134">
        <f>IF(B11&gt;Coverage,"",SUM(Calc_Annual!AR11,Calc_Annual!AU11,Calc_Annual!AX11,Calc_Annual!BA11))</f>
        <v>354253369</v>
      </c>
      <c r="T11" s="134">
        <f>IF(B11&gt;Coverage,"",SUM(Calc_Annual!AS11,Calc_Annual!AV11,Calc_Annual!AY11,Calc_Annual!BB11))</f>
        <v>365798568</v>
      </c>
      <c r="U11" s="134">
        <f>IF(B11&gt;Coverage,"",VLOOKUP(MIN($C11,10),Assumption!$M$18:$N$28,2,0)*$I11+P11)</f>
        <v>598896142</v>
      </c>
      <c r="V11" s="134">
        <f>IF(B11&gt;Coverage,"",VLOOKUP(MIN($C11,10),Assumption!$M$18:$N$28,2,0)*$I11+R11)</f>
        <v>610447824</v>
      </c>
      <c r="W11" s="134">
        <f>IF(B11&gt;Coverage,"",VLOOKUP(MIN($C11,10),Assumption!$M$18:$N$28,2,0)*$I11+T11)</f>
        <v>695799735</v>
      </c>
      <c r="X11" s="134">
        <f>IF(B11&gt;Coverage,"",SUM(Calc_Annual!V11,Calc_Annual!Y11,Calc_Annual!AB11,Calc_Annual!AE11))</f>
        <v>263517075.5</v>
      </c>
      <c r="Y11" s="134">
        <f>IF(B11&gt;Coverage,"",SUM(Calc_Annual!AH11,Calc_Annual!AK11,Calc_Annual!AN11,Calc_Annual!AQ11))</f>
        <v>274837723.9</v>
      </c>
      <c r="Z11" s="134">
        <f>IF(B11&gt;Coverage,"",SUM(Calc_Annual!AT11,Calc_Annual!AW11,Calc_Annual!AZ11,Calc_Annual!BC11))</f>
        <v>358482596.6</v>
      </c>
    </row>
    <row r="12" ht="14.25" customHeight="1">
      <c r="A12" s="126">
        <v>5.0</v>
      </c>
      <c r="B12" s="129">
        <f>+IF(A12&gt;Coverage,"",A12)</f>
        <v>5</v>
      </c>
      <c r="C12" s="134">
        <f>+IF(B12&gt;Coverage,"",IF(B12=1,Insured_Age,C11+1))</f>
        <v>64</v>
      </c>
      <c r="D12" s="134">
        <f>+Calc_Annual!E12</f>
        <v>0</v>
      </c>
      <c r="E12" s="134">
        <f>+Calc_Annual!F12</f>
        <v>0</v>
      </c>
      <c r="F12" s="134">
        <f>+Calc_Annual!G12</f>
        <v>0</v>
      </c>
      <c r="G12" s="134">
        <f>+Calc_Annual!H12</f>
        <v>0</v>
      </c>
      <c r="H12" s="134">
        <f>+IF(B12&gt;Coverage,"",SUM(E$8:E12)+SUM(F$8:F12)-SUM(G$8:G12))</f>
        <v>320000778</v>
      </c>
      <c r="I12" s="66">
        <f>+IF($B12&gt;Coverage,"",Calc_Annual!I12)</f>
        <v>330001167</v>
      </c>
      <c r="J12" s="134">
        <f>+Calc_Annual!K12</f>
        <v>5821220.586</v>
      </c>
      <c r="K12" s="134">
        <f>Calc_Annual!L12</f>
        <v>316801.1203</v>
      </c>
      <c r="L12" s="134">
        <f>+Calc_Annual!Q12</f>
        <v>0</v>
      </c>
      <c r="M12" s="134">
        <f>+Calc_Annual!R12</f>
        <v>300000</v>
      </c>
      <c r="N12" s="134">
        <f>+Calc_Annual!S12</f>
        <v>0</v>
      </c>
      <c r="O12" s="134">
        <f>IF(B12&gt;Coverage,"",SUM(Calc_Annual!T12,Calc_Annual!W12,Calc_Annual!Z12,Calc_Annual!AC12))</f>
        <v>261109100</v>
      </c>
      <c r="P12" s="134">
        <f>IF(B12&gt;Coverage,"",SUM(Calc_Annual!U12,Calc_Annual!X12,Calc_Annual!AA12,Calc_Annual!AD12))</f>
        <v>259800275</v>
      </c>
      <c r="Q12" s="134">
        <f>IF(B12&gt;Coverage,"",SUM(Calc_Annual!AF12,Calc_Annual!AI12,Calc_Annual!AL12,Calc_Annual!AO12))</f>
        <v>274008636</v>
      </c>
      <c r="R12" s="134">
        <f>IF(B12&gt;Coverage,"",SUM(Calc_Annual!AG12,Calc_Annual!AJ12,Calc_Annual!AM12,Calc_Annual!AP12))</f>
        <v>274008636</v>
      </c>
      <c r="S12" s="134">
        <f>IF(B12&gt;Coverage,"",SUM(Calc_Annual!AR12,Calc_Annual!AU12,Calc_Annual!AX12,Calc_Annual!BA12))</f>
        <v>371300985</v>
      </c>
      <c r="T12" s="134">
        <f>IF(B12&gt;Coverage,"",SUM(Calc_Annual!AS12,Calc_Annual!AV12,Calc_Annual!AY12,Calc_Annual!BB12))</f>
        <v>383443363</v>
      </c>
      <c r="U12" s="134">
        <f>IF(B12&gt;Coverage,"",VLOOKUP(MIN($C12,10),Assumption!$M$18:$N$28,2,0)*$I12+P12)</f>
        <v>589801442</v>
      </c>
      <c r="V12" s="134">
        <f>IF(B12&gt;Coverage,"",VLOOKUP(MIN($C12,10),Assumption!$M$18:$N$28,2,0)*$I12+R12)</f>
        <v>604009803</v>
      </c>
      <c r="W12" s="134">
        <f>IF(B12&gt;Coverage,"",VLOOKUP(MIN($C12,10),Assumption!$M$18:$N$28,2,0)*$I12+T12)</f>
        <v>713444530</v>
      </c>
      <c r="X12" s="134">
        <f>IF(B12&gt;Coverage,"",SUM(Calc_Annual!V12,Calc_Annual!Y12,Calc_Annual!AB12,Calc_Annual!AE12))</f>
        <v>257202272.3</v>
      </c>
      <c r="Y12" s="134">
        <f>IF(B12&gt;Coverage,"",SUM(Calc_Annual!AH12,Calc_Annual!AK12,Calc_Annual!AN12,Calc_Annual!AQ12))</f>
        <v>271268549.6</v>
      </c>
      <c r="Z12" s="134">
        <f>IF(B12&gt;Coverage,"",SUM(Calc_Annual!AT12,Calc_Annual!AW12,Calc_Annual!AZ12,Calc_Annual!BC12))</f>
        <v>379608929.4</v>
      </c>
    </row>
    <row r="13" ht="14.25" customHeight="1">
      <c r="A13" s="126">
        <v>6.0</v>
      </c>
      <c r="B13" s="129">
        <f>+IF(A13&gt;Coverage,"",A13)</f>
        <v>6</v>
      </c>
      <c r="C13" s="134">
        <f>+IF(B13&gt;Coverage,"",IF(B13=1,Insured_Age,C12+1))</f>
        <v>65</v>
      </c>
      <c r="D13" s="134">
        <f>+Calc_Annual!E13</f>
        <v>0</v>
      </c>
      <c r="E13" s="134">
        <f>+Calc_Annual!F13</f>
        <v>0</v>
      </c>
      <c r="F13" s="134">
        <f>+Calc_Annual!G13</f>
        <v>0</v>
      </c>
      <c r="G13" s="134">
        <f>+Calc_Annual!H13</f>
        <v>0</v>
      </c>
      <c r="H13" s="134">
        <f>+IF(B13&gt;Coverage,"",SUM(E$8:E13)+SUM(F$8:F13)-SUM(G$8:G13))</f>
        <v>320000778</v>
      </c>
      <c r="I13" s="66">
        <f>+IF($B13&gt;Coverage,"",Calc_Annual!I13)</f>
        <v>330001167</v>
      </c>
      <c r="J13" s="134">
        <f>+Calc_Annual!K13</f>
        <v>5880620.796</v>
      </c>
      <c r="K13" s="134">
        <f>Calc_Annual!L13</f>
        <v>0</v>
      </c>
      <c r="L13" s="134">
        <f>+Calc_Annual!Q13</f>
        <v>0</v>
      </c>
      <c r="M13" s="134">
        <f>+Calc_Annual!R13</f>
        <v>300000</v>
      </c>
      <c r="N13" s="134">
        <f>+Calc_Annual!S13</f>
        <v>0</v>
      </c>
      <c r="O13" s="134">
        <f>IF(B13&gt;Coverage,"",SUM(Calc_Annual!T13,Calc_Annual!W13,Calc_Annual!Z13,Calc_Annual!AC13))</f>
        <v>252317389</v>
      </c>
      <c r="P13" s="134">
        <f>IF(B13&gt;Coverage,"",SUM(Calc_Annual!U13,Calc_Annual!X13,Calc_Annual!AA13,Calc_Annual!AD13))</f>
        <v>251052632</v>
      </c>
      <c r="Q13" s="134">
        <f>IF(B13&gt;Coverage,"",SUM(Calc_Annual!AF13,Calc_Annual!AI13,Calc_Annual!AL13,Calc_Annual!AO13))</f>
        <v>267828016</v>
      </c>
      <c r="R13" s="134">
        <f>IF(B13&gt;Coverage,"",SUM(Calc_Annual!AG13,Calc_Annual!AJ13,Calc_Annual!AM13,Calc_Annual!AP13))</f>
        <v>267828016</v>
      </c>
      <c r="S13" s="134">
        <f>IF(B13&gt;Coverage,"",SUM(Calc_Annual!AR13,Calc_Annual!AU13,Calc_Annual!AX13,Calc_Annual!BA13))</f>
        <v>389821893</v>
      </c>
      <c r="T13" s="134">
        <f>IF(B13&gt;Coverage,"",SUM(Calc_Annual!AS13,Calc_Annual!AV13,Calc_Annual!AY13,Calc_Annual!BB13))</f>
        <v>402613599</v>
      </c>
      <c r="U13" s="134">
        <f>IF(B13&gt;Coverage,"",VLOOKUP(MIN($C13,10),Assumption!$M$18:$N$28,2,0)*$I13+P13)</f>
        <v>581053799</v>
      </c>
      <c r="V13" s="134">
        <f>IF(B13&gt;Coverage,"",VLOOKUP(MIN($C13,10),Assumption!$M$18:$N$28,2,0)*$I13+R13)</f>
        <v>597829183</v>
      </c>
      <c r="W13" s="134">
        <f>IF(B13&gt;Coverage,"",VLOOKUP(MIN($C13,10),Assumption!$M$18:$N$28,2,0)*$I13+T13)</f>
        <v>732614766</v>
      </c>
      <c r="X13" s="134">
        <f>IF(B13&gt;Coverage,"",SUM(Calc_Annual!V13,Calc_Annual!Y13,Calc_Annual!AB13,Calc_Annual!AE13))</f>
        <v>251052632</v>
      </c>
      <c r="Y13" s="134">
        <f>IF(B13&gt;Coverage,"",SUM(Calc_Annual!AH13,Calc_Annual!AK13,Calc_Annual!AN13,Calc_Annual!AQ13))</f>
        <v>267828016</v>
      </c>
      <c r="Z13" s="134">
        <f>IF(B13&gt;Coverage,"",SUM(Calc_Annual!AT13,Calc_Annual!AW13,Calc_Annual!AZ13,Calc_Annual!BC13))</f>
        <v>402613599</v>
      </c>
    </row>
    <row r="14" ht="14.25" customHeight="1">
      <c r="A14" s="126">
        <v>7.0</v>
      </c>
      <c r="B14" s="129">
        <f>+IF(A14&gt;Coverage,"",A14)</f>
        <v>7</v>
      </c>
      <c r="C14" s="134">
        <f>+IF(B14&gt;Coverage,"",IF(B14=1,Insured_Age,C13+1))</f>
        <v>66</v>
      </c>
      <c r="D14" s="134">
        <f>+Calc_Annual!E14</f>
        <v>0</v>
      </c>
      <c r="E14" s="134">
        <f>+Calc_Annual!F14</f>
        <v>0</v>
      </c>
      <c r="F14" s="134">
        <f>+Calc_Annual!G14</f>
        <v>0</v>
      </c>
      <c r="G14" s="134">
        <f>+Calc_Annual!H14</f>
        <v>0</v>
      </c>
      <c r="H14" s="134">
        <f>+IF(B14&gt;Coverage,"",SUM(E$8:E14)+SUM(F$8:F14)-SUM(G$8:G14))</f>
        <v>320000778</v>
      </c>
      <c r="I14" s="66">
        <f>+IF($B14&gt;Coverage,"",Calc_Annual!I14)</f>
        <v>330001167</v>
      </c>
      <c r="J14" s="134">
        <f>+Calc_Annual!K14</f>
        <v>6153861.762</v>
      </c>
      <c r="K14" s="134">
        <f>Calc_Annual!L14</f>
        <v>0</v>
      </c>
      <c r="L14" s="134">
        <f>+Calc_Annual!Q14</f>
        <v>0</v>
      </c>
      <c r="M14" s="134">
        <f>+Calc_Annual!R14</f>
        <v>300000</v>
      </c>
      <c r="N14" s="134">
        <f>+Calc_Annual!S14</f>
        <v>0</v>
      </c>
      <c r="O14" s="134">
        <f>IF(B14&gt;Coverage,"",SUM(Calc_Annual!T14,Calc_Annual!W14,Calc_Annual!Z14,Calc_Annual!AC14))</f>
        <v>243340352</v>
      </c>
      <c r="P14" s="134">
        <f>IF(B14&gt;Coverage,"",SUM(Calc_Annual!U14,Calc_Annual!X14,Calc_Annual!AA14,Calc_Annual!AD14))</f>
        <v>242120592</v>
      </c>
      <c r="Q14" s="134">
        <f>IF(B14&gt;Coverage,"",SUM(Calc_Annual!AF14,Calc_Annual!AI14,Calc_Annual!AL14,Calc_Annual!AO14))</f>
        <v>261374155</v>
      </c>
      <c r="R14" s="134">
        <f>IF(B14&gt;Coverage,"",SUM(Calc_Annual!AG14,Calc_Annual!AJ14,Calc_Annual!AM14,Calc_Annual!AP14))</f>
        <v>261374155</v>
      </c>
      <c r="S14" s="134">
        <f>IF(B14&gt;Coverage,"",SUM(Calc_Annual!AR14,Calc_Annual!AU14,Calc_Annual!AX14,Calc_Annual!BA14))</f>
        <v>409391645</v>
      </c>
      <c r="T14" s="134">
        <f>IF(B14&gt;Coverage,"",SUM(Calc_Annual!AS14,Calc_Annual!AV14,Calc_Annual!AY14,Calc_Annual!BB14))</f>
        <v>422871599</v>
      </c>
      <c r="U14" s="134">
        <f>IF(B14&gt;Coverage,"",VLOOKUP(MIN($C14,10),Assumption!$M$18:$N$28,2,0)*$I14+P14)</f>
        <v>572121759</v>
      </c>
      <c r="V14" s="134">
        <f>IF(B14&gt;Coverage,"",VLOOKUP(MIN($C14,10),Assumption!$M$18:$N$28,2,0)*$I14+R14)</f>
        <v>591375322</v>
      </c>
      <c r="W14" s="134">
        <f>IF(B14&gt;Coverage,"",VLOOKUP(MIN($C14,10),Assumption!$M$18:$N$28,2,0)*$I14+T14)</f>
        <v>752872766</v>
      </c>
      <c r="X14" s="134">
        <f>IF(B14&gt;Coverage,"",SUM(Calc_Annual!V14,Calc_Annual!Y14,Calc_Annual!AB14,Calc_Annual!AE14))</f>
        <v>242120592</v>
      </c>
      <c r="Y14" s="134">
        <f>IF(B14&gt;Coverage,"",SUM(Calc_Annual!AH14,Calc_Annual!AK14,Calc_Annual!AN14,Calc_Annual!AQ14))</f>
        <v>261374155</v>
      </c>
      <c r="Z14" s="134">
        <f>IF(B14&gt;Coverage,"",SUM(Calc_Annual!AT14,Calc_Annual!AW14,Calc_Annual!AZ14,Calc_Annual!BC14))</f>
        <v>422871599</v>
      </c>
    </row>
    <row r="15" ht="14.25" customHeight="1">
      <c r="A15" s="126">
        <v>8.0</v>
      </c>
      <c r="B15" s="129">
        <f>+IF(A15&gt;Coverage,"",A15)</f>
        <v>8</v>
      </c>
      <c r="C15" s="134">
        <f>+IF(B15&gt;Coverage,"",IF(B15=1,Insured_Age,C14+1))</f>
        <v>67</v>
      </c>
      <c r="D15" s="134">
        <f>+Calc_Annual!E15</f>
        <v>0</v>
      </c>
      <c r="E15" s="134">
        <f>+Calc_Annual!F15</f>
        <v>0</v>
      </c>
      <c r="F15" s="134">
        <f>+Calc_Annual!G15</f>
        <v>0</v>
      </c>
      <c r="G15" s="134">
        <f>+Calc_Annual!H15</f>
        <v>0</v>
      </c>
      <c r="H15" s="134">
        <f>+IF(B15&gt;Coverage,"",SUM(E$8:E15)+SUM(F$8:F15)-SUM(G$8:G15))</f>
        <v>320000778</v>
      </c>
      <c r="I15" s="66">
        <f>+IF($B15&gt;Coverage,"",Calc_Annual!I15)</f>
        <v>330001167</v>
      </c>
      <c r="J15" s="134">
        <f>+Calc_Annual!K15</f>
        <v>6466702.869</v>
      </c>
      <c r="K15" s="134">
        <f>Calc_Annual!L15</f>
        <v>0</v>
      </c>
      <c r="L15" s="134">
        <f>+Calc_Annual!Q15</f>
        <v>0</v>
      </c>
      <c r="M15" s="134">
        <f>+Calc_Annual!R15</f>
        <v>300000</v>
      </c>
      <c r="N15" s="134">
        <f>+Calc_Annual!S15</f>
        <v>0</v>
      </c>
      <c r="O15" s="134">
        <f>IF(B15&gt;Coverage,"",SUM(Calc_Annual!T15,Calc_Annual!W15,Calc_Annual!Z15,Calc_Annual!AC15))</f>
        <v>234140244</v>
      </c>
      <c r="P15" s="134">
        <f>IF(B15&gt;Coverage,"",SUM(Calc_Annual!U15,Calc_Annual!X15,Calc_Annual!AA15,Calc_Annual!AD15))</f>
        <v>232966601</v>
      </c>
      <c r="Q15" s="134">
        <f>IF(B15&gt;Coverage,"",SUM(Calc_Annual!AF15,Calc_Annual!AI15,Calc_Annual!AL15,Calc_Annual!AO15))</f>
        <v>254607452</v>
      </c>
      <c r="R15" s="134">
        <f>IF(B15&gt;Coverage,"",SUM(Calc_Annual!AG15,Calc_Annual!AJ15,Calc_Annual!AM15,Calc_Annual!AP15))</f>
        <v>254607452</v>
      </c>
      <c r="S15" s="134">
        <f>IF(B15&gt;Coverage,"",SUM(Calc_Annual!AR15,Calc_Annual!AU15,Calc_Annual!AX15,Calc_Annual!BA15))</f>
        <v>430049938</v>
      </c>
      <c r="T15" s="134">
        <f>IF(B15&gt;Coverage,"",SUM(Calc_Annual!AS15,Calc_Annual!AV15,Calc_Annual!AY15,Calc_Annual!BB15))</f>
        <v>444258754</v>
      </c>
      <c r="U15" s="134">
        <f>IF(B15&gt;Coverage,"",VLOOKUP(MIN($C15,10),Assumption!$M$18:$N$28,2,0)*$I15+P15)</f>
        <v>562967768</v>
      </c>
      <c r="V15" s="134">
        <f>IF(B15&gt;Coverage,"",VLOOKUP(MIN($C15,10),Assumption!$M$18:$N$28,2,0)*$I15+R15)</f>
        <v>584608619</v>
      </c>
      <c r="W15" s="134">
        <f>IF(B15&gt;Coverage,"",VLOOKUP(MIN($C15,10),Assumption!$M$18:$N$28,2,0)*$I15+T15)</f>
        <v>774259921</v>
      </c>
      <c r="X15" s="134">
        <f>IF(B15&gt;Coverage,"",SUM(Calc_Annual!V15,Calc_Annual!Y15,Calc_Annual!AB15,Calc_Annual!AE15))</f>
        <v>232966601</v>
      </c>
      <c r="Y15" s="134">
        <f>IF(B15&gt;Coverage,"",SUM(Calc_Annual!AH15,Calc_Annual!AK15,Calc_Annual!AN15,Calc_Annual!AQ15))</f>
        <v>254607452</v>
      </c>
      <c r="Z15" s="134">
        <f>IF(B15&gt;Coverage,"",SUM(Calc_Annual!AT15,Calc_Annual!AW15,Calc_Annual!AZ15,Calc_Annual!BC15))</f>
        <v>444258754</v>
      </c>
    </row>
    <row r="16" ht="14.25" customHeight="1">
      <c r="A16" s="126">
        <v>9.0</v>
      </c>
      <c r="B16" s="129">
        <f>+IF(A16&gt;Coverage,"",A16)</f>
        <v>9</v>
      </c>
      <c r="C16" s="134">
        <f>+IF(B16&gt;Coverage,"",IF(B16=1,Insured_Age,C15+1))</f>
        <v>68</v>
      </c>
      <c r="D16" s="134">
        <f>+Calc_Annual!E16</f>
        <v>0</v>
      </c>
      <c r="E16" s="134">
        <f>+Calc_Annual!F16</f>
        <v>0</v>
      </c>
      <c r="F16" s="134">
        <f>+Calc_Annual!G16</f>
        <v>0</v>
      </c>
      <c r="G16" s="134">
        <f>+Calc_Annual!H16</f>
        <v>0</v>
      </c>
      <c r="H16" s="134">
        <f>+IF(B16&gt;Coverage,"",SUM(E$8:E16)+SUM(F$8:F16)-SUM(G$8:G16))</f>
        <v>320000778</v>
      </c>
      <c r="I16" s="66">
        <f>+IF($B16&gt;Coverage,"",Calc_Annual!I16)</f>
        <v>330001167</v>
      </c>
      <c r="J16" s="134">
        <f>+Calc_Annual!K16</f>
        <v>6819144.115</v>
      </c>
      <c r="K16" s="134">
        <f>Calc_Annual!L16</f>
        <v>0</v>
      </c>
      <c r="L16" s="134">
        <f>+Calc_Annual!Q16</f>
        <v>0</v>
      </c>
      <c r="M16" s="134">
        <f>+Calc_Annual!R16</f>
        <v>300000</v>
      </c>
      <c r="N16" s="134">
        <f>+Calc_Annual!S16</f>
        <v>0</v>
      </c>
      <c r="O16" s="134">
        <f>IF(B16&gt;Coverage,"",SUM(Calc_Annual!T16,Calc_Annual!W16,Calc_Annual!Z16,Calc_Annual!AC16))</f>
        <v>224679697</v>
      </c>
      <c r="P16" s="134">
        <f>IF(B16&gt;Coverage,"",SUM(Calc_Annual!U16,Calc_Annual!X16,Calc_Annual!AA16,Calc_Annual!AD16))</f>
        <v>223553477</v>
      </c>
      <c r="Q16" s="134">
        <f>IF(B16&gt;Coverage,"",SUM(Calc_Annual!AF16,Calc_Annual!AI16,Calc_Annual!AL16,Calc_Annual!AO16))</f>
        <v>247488307</v>
      </c>
      <c r="R16" s="134">
        <f>IF(B16&gt;Coverage,"",SUM(Calc_Annual!AG16,Calc_Annual!AJ16,Calc_Annual!AM16,Calc_Annual!AP16))</f>
        <v>247488307</v>
      </c>
      <c r="S16" s="134">
        <f>IF(B16&gt;Coverage,"",SUM(Calc_Annual!AR16,Calc_Annual!AU16,Calc_Annual!AX16,Calc_Annual!BA16))</f>
        <v>451839929</v>
      </c>
      <c r="T16" s="134">
        <f>IF(B16&gt;Coverage,"",SUM(Calc_Annual!AS16,Calc_Annual!AV16,Calc_Annual!AY16,Calc_Annual!BB16))</f>
        <v>466820062</v>
      </c>
      <c r="U16" s="134">
        <f>IF(B16&gt;Coverage,"",VLOOKUP(MIN($C16,10),Assumption!$M$18:$N$28,2,0)*$I16+P16)</f>
        <v>553554644</v>
      </c>
      <c r="V16" s="134">
        <f>IF(B16&gt;Coverage,"",VLOOKUP(MIN($C16,10),Assumption!$M$18:$N$28,2,0)*$I16+R16)</f>
        <v>577489474</v>
      </c>
      <c r="W16" s="134">
        <f>IF(B16&gt;Coverage,"",VLOOKUP(MIN($C16,10),Assumption!$M$18:$N$28,2,0)*$I16+T16)</f>
        <v>796821229</v>
      </c>
      <c r="X16" s="134">
        <f>IF(B16&gt;Coverage,"",SUM(Calc_Annual!V16,Calc_Annual!Y16,Calc_Annual!AB16,Calc_Annual!AE16))</f>
        <v>223553477</v>
      </c>
      <c r="Y16" s="134">
        <f>IF(B16&gt;Coverage,"",SUM(Calc_Annual!AH16,Calc_Annual!AK16,Calc_Annual!AN16,Calc_Annual!AQ16))</f>
        <v>247488307</v>
      </c>
      <c r="Z16" s="134">
        <f>IF(B16&gt;Coverage,"",SUM(Calc_Annual!AT16,Calc_Annual!AW16,Calc_Annual!AZ16,Calc_Annual!BC16))</f>
        <v>466820062</v>
      </c>
    </row>
    <row r="17" ht="14.25" customHeight="1">
      <c r="A17" s="126">
        <v>10.0</v>
      </c>
      <c r="B17" s="129">
        <f>+IF(A17&gt;Coverage,"",A17)</f>
        <v>10</v>
      </c>
      <c r="C17" s="134">
        <f>+IF(B17&gt;Coverage,"",IF(B17=1,Insured_Age,C16+1))</f>
        <v>69</v>
      </c>
      <c r="D17" s="134">
        <f>+Calc_Annual!E17</f>
        <v>0</v>
      </c>
      <c r="E17" s="134">
        <f>+Calc_Annual!F17</f>
        <v>0</v>
      </c>
      <c r="F17" s="134">
        <f>+Calc_Annual!G17</f>
        <v>0</v>
      </c>
      <c r="G17" s="134">
        <f>+Calc_Annual!H17</f>
        <v>0</v>
      </c>
      <c r="H17" s="134">
        <f>+IF(B17&gt;Coverage,"",SUM(E$8:E17)+SUM(F$8:F17)-SUM(G$8:G17))</f>
        <v>320000778</v>
      </c>
      <c r="I17" s="66">
        <f>+IF($B17&gt;Coverage,"",Calc_Annual!I17)</f>
        <v>330001167</v>
      </c>
      <c r="J17" s="134">
        <f>+Calc_Annual!K17</f>
        <v>7211185.501</v>
      </c>
      <c r="K17" s="134">
        <f>Calc_Annual!L17</f>
        <v>0</v>
      </c>
      <c r="L17" s="134">
        <f>+Calc_Annual!Q17</f>
        <v>0</v>
      </c>
      <c r="M17" s="134">
        <f>+Calc_Annual!R17</f>
        <v>300000</v>
      </c>
      <c r="N17" s="134">
        <f>+Calc_Annual!S17</f>
        <v>0</v>
      </c>
      <c r="O17" s="134">
        <f>IF(B17&gt;Coverage,"",SUM(Calc_Annual!T17,Calc_Annual!W17,Calc_Annual!Z17,Calc_Annual!AC17))</f>
        <v>214921716</v>
      </c>
      <c r="P17" s="134">
        <f>IF(B17&gt;Coverage,"",SUM(Calc_Annual!U17,Calc_Annual!X17,Calc_Annual!AA17,Calc_Annual!AD17))</f>
        <v>213844408</v>
      </c>
      <c r="Q17" s="134">
        <f>IF(B17&gt;Coverage,"",SUM(Calc_Annual!AF17,Calc_Annual!AI17,Calc_Annual!AL17,Calc_Annual!AO17))</f>
        <v>239977122</v>
      </c>
      <c r="R17" s="134">
        <f>IF(B17&gt;Coverage,"",SUM(Calc_Annual!AG17,Calc_Annual!AJ17,Calc_Annual!AM17,Calc_Annual!AP17))</f>
        <v>239977122</v>
      </c>
      <c r="S17" s="134">
        <f>IF(B17&gt;Coverage,"",SUM(Calc_Annual!AR17,Calc_Annual!AU17,Calc_Annual!AX17,Calc_Annual!BA17))</f>
        <v>474808529</v>
      </c>
      <c r="T17" s="134">
        <f>IF(B17&gt;Coverage,"",SUM(Calc_Annual!AS17,Calc_Annual!AV17,Calc_Annual!AY17,Calc_Annual!BB17))</f>
        <v>490604423</v>
      </c>
      <c r="U17" s="134">
        <f>IF(B17&gt;Coverage,"",VLOOKUP(MIN($C17,10),Assumption!$M$18:$N$28,2,0)*$I17+P17)</f>
        <v>543845575</v>
      </c>
      <c r="V17" s="134">
        <f>IF(B17&gt;Coverage,"",VLOOKUP(MIN($C17,10),Assumption!$M$18:$N$28,2,0)*$I17+R17)</f>
        <v>569978289</v>
      </c>
      <c r="W17" s="134">
        <f>IF(B17&gt;Coverage,"",VLOOKUP(MIN($C17,10),Assumption!$M$18:$N$28,2,0)*$I17+T17)</f>
        <v>820605590</v>
      </c>
      <c r="X17" s="134">
        <f>IF(B17&gt;Coverage,"",SUM(Calc_Annual!V17,Calc_Annual!Y17,Calc_Annual!AB17,Calc_Annual!AE17))</f>
        <v>213844408</v>
      </c>
      <c r="Y17" s="134">
        <f>IF(B17&gt;Coverage,"",SUM(Calc_Annual!AH17,Calc_Annual!AK17,Calc_Annual!AN17,Calc_Annual!AQ17))</f>
        <v>239977122</v>
      </c>
      <c r="Z17" s="134">
        <f>IF(B17&gt;Coverage,"",SUM(Calc_Annual!AT17,Calc_Annual!AW17,Calc_Annual!AZ17,Calc_Annual!BC17))</f>
        <v>490604423</v>
      </c>
    </row>
    <row r="18" ht="14.25" customHeight="1">
      <c r="A18" s="126">
        <v>11.0</v>
      </c>
      <c r="B18" s="129">
        <f>+IF(A18&gt;Coverage,"",A18)</f>
        <v>11</v>
      </c>
      <c r="C18" s="134">
        <f>+IF(B18&gt;Coverage,"",IF(B18=1,Insured_Age,C17+1))</f>
        <v>70</v>
      </c>
      <c r="D18" s="134">
        <f>+Calc_Annual!E18</f>
        <v>0</v>
      </c>
      <c r="E18" s="134">
        <f>+Calc_Annual!F18</f>
        <v>0</v>
      </c>
      <c r="F18" s="134">
        <f>+Calc_Annual!G18</f>
        <v>0</v>
      </c>
      <c r="G18" s="134">
        <f>+Calc_Annual!H18</f>
        <v>0</v>
      </c>
      <c r="H18" s="134">
        <f>+IF(B18&gt;Coverage,"",SUM(E$8:E18)+SUM(F$8:F18)-SUM(G$8:G18))</f>
        <v>320000778</v>
      </c>
      <c r="I18" s="66">
        <f>+IF($B18&gt;Coverage,"",Calc_Annual!I18)</f>
        <v>330001167</v>
      </c>
      <c r="J18" s="134">
        <f>+Calc_Annual!K18</f>
        <v>7623026.958</v>
      </c>
      <c r="K18" s="134">
        <f>Calc_Annual!L18</f>
        <v>0</v>
      </c>
      <c r="L18" s="134">
        <f>+Calc_Annual!Q18</f>
        <v>0</v>
      </c>
      <c r="M18" s="134">
        <f>+Calc_Annual!R18</f>
        <v>300000</v>
      </c>
      <c r="N18" s="134">
        <f>+Calc_Annual!S18</f>
        <v>0</v>
      </c>
      <c r="O18" s="134">
        <f>IF(B18&gt;Coverage,"",SUM(Calc_Annual!T18,Calc_Annual!W18,Calc_Annual!Z18,Calc_Annual!AC18))</f>
        <v>204849473</v>
      </c>
      <c r="P18" s="134">
        <f>IF(B18&gt;Coverage,"",SUM(Calc_Annual!U18,Calc_Annual!X18,Calc_Annual!AA18,Calc_Annual!AD18))</f>
        <v>203822653</v>
      </c>
      <c r="Q18" s="134">
        <f>IF(B18&gt;Coverage,"",SUM(Calc_Annual!AF18,Calc_Annual!AI18,Calc_Annual!AL18,Calc_Annual!AO18))</f>
        <v>232054095</v>
      </c>
      <c r="R18" s="134">
        <f>IF(B18&gt;Coverage,"",SUM(Calc_Annual!AG18,Calc_Annual!AJ18,Calc_Annual!AM18,Calc_Annual!AP18))</f>
        <v>232054095</v>
      </c>
      <c r="S18" s="134">
        <f>IF(B18&gt;Coverage,"",SUM(Calc_Annual!AR18,Calc_Annual!AU18,Calc_Annual!AX18,Calc_Annual!BA18))</f>
        <v>499026509</v>
      </c>
      <c r="T18" s="134">
        <f>IF(B18&gt;Coverage,"",SUM(Calc_Annual!AS18,Calc_Annual!AV18,Calc_Annual!AY18,Calc_Annual!BB18))</f>
        <v>515685399</v>
      </c>
      <c r="U18" s="134">
        <f>IF(B18&gt;Coverage,"",VLOOKUP(MIN($C18,10),Assumption!$M$18:$N$28,2,0)*$I18+P18)</f>
        <v>533823820</v>
      </c>
      <c r="V18" s="134">
        <f>IF(B18&gt;Coverage,"",VLOOKUP(MIN($C18,10),Assumption!$M$18:$N$28,2,0)*$I18+R18)</f>
        <v>562055262</v>
      </c>
      <c r="W18" s="134">
        <f>IF(B18&gt;Coverage,"",VLOOKUP(MIN($C18,10),Assumption!$M$18:$N$28,2,0)*$I18+T18)</f>
        <v>845686566</v>
      </c>
      <c r="X18" s="134">
        <f>IF(B18&gt;Coverage,"",SUM(Calc_Annual!V18,Calc_Annual!Y18,Calc_Annual!AB18,Calc_Annual!AE18))</f>
        <v>203822653</v>
      </c>
      <c r="Y18" s="134">
        <f>IF(B18&gt;Coverage,"",SUM(Calc_Annual!AH18,Calc_Annual!AK18,Calc_Annual!AN18,Calc_Annual!AQ18))</f>
        <v>232054095</v>
      </c>
      <c r="Z18" s="134">
        <f>IF(B18&gt;Coverage,"",SUM(Calc_Annual!AT18,Calc_Annual!AW18,Calc_Annual!AZ18,Calc_Annual!BC18))</f>
        <v>515685399</v>
      </c>
    </row>
    <row r="19" ht="14.25" customHeight="1">
      <c r="A19" s="126">
        <v>12.0</v>
      </c>
      <c r="B19" s="129">
        <f>+IF(A19&gt;Coverage,"",A19)</f>
        <v>12</v>
      </c>
      <c r="C19" s="134">
        <f>+IF(B19&gt;Coverage,"",IF(B19=1,Insured_Age,C18+1))</f>
        <v>71</v>
      </c>
      <c r="D19" s="134">
        <f>+Calc_Annual!E19</f>
        <v>0</v>
      </c>
      <c r="E19" s="134">
        <f>+Calc_Annual!F19</f>
        <v>0</v>
      </c>
      <c r="F19" s="134">
        <f>+Calc_Annual!G19</f>
        <v>0</v>
      </c>
      <c r="G19" s="134">
        <f>+Calc_Annual!H19</f>
        <v>0</v>
      </c>
      <c r="H19" s="134">
        <f>+IF(B19&gt;Coverage,"",SUM(E$8:E19)+SUM(F$8:F19)-SUM(G$8:G19))</f>
        <v>320000778</v>
      </c>
      <c r="I19" s="66">
        <f>+IF($B19&gt;Coverage,"",Calc_Annual!I19)</f>
        <v>330001167</v>
      </c>
      <c r="J19" s="134">
        <f>+Calc_Annual!K19</f>
        <v>8078428.568</v>
      </c>
      <c r="K19" s="134">
        <f>Calc_Annual!L19</f>
        <v>0</v>
      </c>
      <c r="L19" s="134">
        <f>+Calc_Annual!Q19</f>
        <v>0</v>
      </c>
      <c r="M19" s="134">
        <f>+Calc_Annual!R19</f>
        <v>300000</v>
      </c>
      <c r="N19" s="134">
        <f>+Calc_Annual!S19</f>
        <v>0</v>
      </c>
      <c r="O19" s="134">
        <f>IF(B19&gt;Coverage,"",SUM(Calc_Annual!T19,Calc_Annual!W19,Calc_Annual!Z19,Calc_Annual!AC19))</f>
        <v>194422550</v>
      </c>
      <c r="P19" s="134">
        <f>IF(B19&gt;Coverage,"",SUM(Calc_Annual!U19,Calc_Annual!X19,Calc_Annual!AA19,Calc_Annual!AD19))</f>
        <v>193447995</v>
      </c>
      <c r="Q19" s="134">
        <f>IF(B19&gt;Coverage,"",SUM(Calc_Annual!AF19,Calc_Annual!AI19,Calc_Annual!AL19,Calc_Annual!AO19))</f>
        <v>223675666</v>
      </c>
      <c r="R19" s="134">
        <f>IF(B19&gt;Coverage,"",SUM(Calc_Annual!AG19,Calc_Annual!AJ19,Calc_Annual!AM19,Calc_Annual!AP19))</f>
        <v>223675666</v>
      </c>
      <c r="S19" s="134">
        <f>IF(B19&gt;Coverage,"",SUM(Calc_Annual!AR19,Calc_Annual!AU19,Calc_Annual!AX19,Calc_Annual!BA19))</f>
        <v>524546571</v>
      </c>
      <c r="T19" s="134">
        <f>IF(B19&gt;Coverage,"",SUM(Calc_Annual!AS19,Calc_Annual!AV19,Calc_Annual!AY19,Calc_Annual!BB19))</f>
        <v>542117941</v>
      </c>
      <c r="U19" s="134">
        <f>IF(B19&gt;Coverage,"",VLOOKUP(MIN($C19,10),Assumption!$M$18:$N$28,2,0)*$I19+P19)</f>
        <v>523449162</v>
      </c>
      <c r="V19" s="134">
        <f>IF(B19&gt;Coverage,"",VLOOKUP(MIN($C19,10),Assumption!$M$18:$N$28,2,0)*$I19+R19)</f>
        <v>553676833</v>
      </c>
      <c r="W19" s="134">
        <f>IF(B19&gt;Coverage,"",VLOOKUP(MIN($C19,10),Assumption!$M$18:$N$28,2,0)*$I19+T19)</f>
        <v>872119108</v>
      </c>
      <c r="X19" s="134">
        <f>IF(B19&gt;Coverage,"",SUM(Calc_Annual!V19,Calc_Annual!Y19,Calc_Annual!AB19,Calc_Annual!AE19))</f>
        <v>193447995</v>
      </c>
      <c r="Y19" s="134">
        <f>IF(B19&gt;Coverage,"",SUM(Calc_Annual!AH19,Calc_Annual!AK19,Calc_Annual!AN19,Calc_Annual!AQ19))</f>
        <v>223675666</v>
      </c>
      <c r="Z19" s="134">
        <f>IF(B19&gt;Coverage,"",SUM(Calc_Annual!AT19,Calc_Annual!AW19,Calc_Annual!AZ19,Calc_Annual!BC19))</f>
        <v>542117941</v>
      </c>
    </row>
    <row r="20" ht="14.25" customHeight="1">
      <c r="A20" s="126">
        <v>13.0</v>
      </c>
      <c r="B20" s="129">
        <f>+IF(A20&gt;Coverage,"",A20)</f>
        <v>13</v>
      </c>
      <c r="C20" s="134">
        <f>+IF(B20&gt;Coverage,"",IF(B20=1,Insured_Age,C19+1))</f>
        <v>72</v>
      </c>
      <c r="D20" s="134">
        <f>+Calc_Annual!E20</f>
        <v>0</v>
      </c>
      <c r="E20" s="134">
        <f>+Calc_Annual!F20</f>
        <v>0</v>
      </c>
      <c r="F20" s="134">
        <f>+Calc_Annual!G20</f>
        <v>0</v>
      </c>
      <c r="G20" s="134">
        <f>+Calc_Annual!H20</f>
        <v>0</v>
      </c>
      <c r="H20" s="134">
        <f>+IF(B20&gt;Coverage,"",SUM(E$8:E20)+SUM(F$8:F20)-SUM(G$8:G20))</f>
        <v>320000778</v>
      </c>
      <c r="I20" s="66">
        <f>+IF($B20&gt;Coverage,"",Calc_Annual!I20)</f>
        <v>330001167</v>
      </c>
      <c r="J20" s="134">
        <f>+Calc_Annual!K20</f>
        <v>8569470.305</v>
      </c>
      <c r="K20" s="134">
        <f>Calc_Annual!L20</f>
        <v>0</v>
      </c>
      <c r="L20" s="134">
        <f>+Calc_Annual!Q20</f>
        <v>0</v>
      </c>
      <c r="M20" s="134">
        <f>+Calc_Annual!R20</f>
        <v>300000</v>
      </c>
      <c r="N20" s="134">
        <f>+Calc_Annual!S20</f>
        <v>0</v>
      </c>
      <c r="O20" s="134">
        <f>IF(B20&gt;Coverage,"",SUM(Calc_Annual!T20,Calc_Annual!W20,Calc_Annual!Z20,Calc_Annual!AC20))</f>
        <v>183608855</v>
      </c>
      <c r="P20" s="134">
        <f>IF(B20&gt;Coverage,"",SUM(Calc_Annual!U20,Calc_Annual!X20,Calc_Annual!AA20,Calc_Annual!AD20))</f>
        <v>182688504</v>
      </c>
      <c r="Q20" s="134">
        <f>IF(B20&gt;Coverage,"",SUM(Calc_Annual!AF20,Calc_Annual!AI20,Calc_Annual!AL20,Calc_Annual!AO20))</f>
        <v>214806197</v>
      </c>
      <c r="R20" s="134">
        <f>IF(B20&gt;Coverage,"",SUM(Calc_Annual!AG20,Calc_Annual!AJ20,Calc_Annual!AM20,Calc_Annual!AP20))</f>
        <v>214806197</v>
      </c>
      <c r="S20" s="134">
        <f>IF(B20&gt;Coverage,"",SUM(Calc_Annual!AR20,Calc_Annual!AU20,Calc_Annual!AX20,Calc_Annual!BA20))</f>
        <v>551433923</v>
      </c>
      <c r="T20" s="134">
        <f>IF(B20&gt;Coverage,"",SUM(Calc_Annual!AS20,Calc_Annual!AV20,Calc_Annual!AY20,Calc_Annual!BB20))</f>
        <v>569969945</v>
      </c>
      <c r="U20" s="134">
        <f>IF(B20&gt;Coverage,"",VLOOKUP(MIN($C20,10),Assumption!$M$18:$N$28,2,0)*$I20+P20)</f>
        <v>512689671</v>
      </c>
      <c r="V20" s="134">
        <f>IF(B20&gt;Coverage,"",VLOOKUP(MIN($C20,10),Assumption!$M$18:$N$28,2,0)*$I20+R20)</f>
        <v>544807364</v>
      </c>
      <c r="W20" s="134">
        <f>IF(B20&gt;Coverage,"",VLOOKUP(MIN($C20,10),Assumption!$M$18:$N$28,2,0)*$I20+T20)</f>
        <v>899971112</v>
      </c>
      <c r="X20" s="134">
        <f>IF(B20&gt;Coverage,"",SUM(Calc_Annual!V20,Calc_Annual!Y20,Calc_Annual!AB20,Calc_Annual!AE20))</f>
        <v>182688504</v>
      </c>
      <c r="Y20" s="134">
        <f>IF(B20&gt;Coverage,"",SUM(Calc_Annual!AH20,Calc_Annual!AK20,Calc_Annual!AN20,Calc_Annual!AQ20))</f>
        <v>214806197</v>
      </c>
      <c r="Z20" s="134">
        <f>IF(B20&gt;Coverage,"",SUM(Calc_Annual!AT20,Calc_Annual!AW20,Calc_Annual!AZ20,Calc_Annual!BC20))</f>
        <v>569969945</v>
      </c>
    </row>
    <row r="21" ht="14.25" customHeight="1">
      <c r="A21" s="126">
        <v>14.0</v>
      </c>
      <c r="B21" s="129">
        <f>+IF(A21&gt;Coverage,"",A21)</f>
        <v>14</v>
      </c>
      <c r="C21" s="134">
        <f>+IF(B21&gt;Coverage,"",IF(B21=1,Insured_Age,C20+1))</f>
        <v>73</v>
      </c>
      <c r="D21" s="134">
        <f>+Calc_Annual!E21</f>
        <v>0</v>
      </c>
      <c r="E21" s="134">
        <f>+Calc_Annual!F21</f>
        <v>0</v>
      </c>
      <c r="F21" s="134">
        <f>+Calc_Annual!G21</f>
        <v>0</v>
      </c>
      <c r="G21" s="134">
        <f>+Calc_Annual!H21</f>
        <v>0</v>
      </c>
      <c r="H21" s="134">
        <f>+IF(B21&gt;Coverage,"",SUM(E$8:E21)+SUM(F$8:F21)-SUM(G$8:G21))</f>
        <v>320000778</v>
      </c>
      <c r="I21" s="66">
        <f>+IF($B21&gt;Coverage,"",Calc_Annual!I21)</f>
        <v>330001167</v>
      </c>
      <c r="J21" s="134">
        <f>+Calc_Annual!K21</f>
        <v>9119912.251</v>
      </c>
      <c r="K21" s="134">
        <f>Calc_Annual!L21</f>
        <v>0</v>
      </c>
      <c r="L21" s="134">
        <f>+Calc_Annual!Q21</f>
        <v>0</v>
      </c>
      <c r="M21" s="134">
        <f>+Calc_Annual!R21</f>
        <v>300000</v>
      </c>
      <c r="N21" s="134">
        <f>+Calc_Annual!S21</f>
        <v>0</v>
      </c>
      <c r="O21" s="134">
        <f>IF(B21&gt;Coverage,"",SUM(Calc_Annual!T21,Calc_Annual!W21,Calc_Annual!Z21,Calc_Annual!AC21))</f>
        <v>172352855</v>
      </c>
      <c r="P21" s="134">
        <f>IF(B21&gt;Coverage,"",SUM(Calc_Annual!U21,Calc_Annual!X21,Calc_Annual!AA21,Calc_Annual!AD21))</f>
        <v>171488926</v>
      </c>
      <c r="Q21" s="134">
        <f>IF(B21&gt;Coverage,"",SUM(Calc_Annual!AF21,Calc_Annual!AI21,Calc_Annual!AL21,Calc_Annual!AO21))</f>
        <v>205386285</v>
      </c>
      <c r="R21" s="134">
        <f>IF(B21&gt;Coverage,"",SUM(Calc_Annual!AG21,Calc_Annual!AJ21,Calc_Annual!AM21,Calc_Annual!AP21))</f>
        <v>205386285</v>
      </c>
      <c r="S21" s="134">
        <f>IF(B21&gt;Coverage,"",SUM(Calc_Annual!AR21,Calc_Annual!AU21,Calc_Annual!AX21,Calc_Annual!BA21))</f>
        <v>579735501</v>
      </c>
      <c r="T21" s="134">
        <f>IF(B21&gt;Coverage,"",SUM(Calc_Annual!AS21,Calc_Annual!AV21,Calc_Annual!AY21,Calc_Annual!BB21))</f>
        <v>599290492</v>
      </c>
      <c r="U21" s="134">
        <f>IF(B21&gt;Coverage,"",VLOOKUP(MIN($C21,10),Assumption!$M$18:$N$28,2,0)*$I21+P21)</f>
        <v>501490093</v>
      </c>
      <c r="V21" s="134">
        <f>IF(B21&gt;Coverage,"",VLOOKUP(MIN($C21,10),Assumption!$M$18:$N$28,2,0)*$I21+R21)</f>
        <v>535387452</v>
      </c>
      <c r="W21" s="134">
        <f>IF(B21&gt;Coverage,"",VLOOKUP(MIN($C21,10),Assumption!$M$18:$N$28,2,0)*$I21+T21)</f>
        <v>929291659</v>
      </c>
      <c r="X21" s="134">
        <f>IF(B21&gt;Coverage,"",SUM(Calc_Annual!V21,Calc_Annual!Y21,Calc_Annual!AB21,Calc_Annual!AE21))</f>
        <v>171488926</v>
      </c>
      <c r="Y21" s="134">
        <f>IF(B21&gt;Coverage,"",SUM(Calc_Annual!AH21,Calc_Annual!AK21,Calc_Annual!AN21,Calc_Annual!AQ21))</f>
        <v>205386285</v>
      </c>
      <c r="Z21" s="134">
        <f>IF(B21&gt;Coverage,"",SUM(Calc_Annual!AT21,Calc_Annual!AW21,Calc_Annual!AZ21,Calc_Annual!BC21))</f>
        <v>599290492</v>
      </c>
    </row>
    <row r="22" ht="14.25" customHeight="1">
      <c r="A22" s="126">
        <v>15.0</v>
      </c>
      <c r="B22" s="129">
        <f>+IF(A22&gt;Coverage,"",A22)</f>
        <v>15</v>
      </c>
      <c r="C22" s="134">
        <f>+IF(B22&gt;Coverage,"",IF(B22=1,Insured_Age,C21+1))</f>
        <v>74</v>
      </c>
      <c r="D22" s="134">
        <f>+Calc_Annual!E22</f>
        <v>0</v>
      </c>
      <c r="E22" s="134">
        <f>+Calc_Annual!F22</f>
        <v>0</v>
      </c>
      <c r="F22" s="134">
        <f>+Calc_Annual!G22</f>
        <v>0</v>
      </c>
      <c r="G22" s="134">
        <f>+Calc_Annual!H22</f>
        <v>0</v>
      </c>
      <c r="H22" s="134">
        <f>+IF(B22&gt;Coverage,"",SUM(E$8:E22)+SUM(F$8:F22)-SUM(G$8:G22))</f>
        <v>320000778</v>
      </c>
      <c r="I22" s="66">
        <f>+IF($B22&gt;Coverage,"",Calc_Annual!I22)</f>
        <v>330001167</v>
      </c>
      <c r="J22" s="134">
        <f>+Calc_Annual!K22</f>
        <v>9725794.394</v>
      </c>
      <c r="K22" s="134">
        <f>Calc_Annual!L22</f>
        <v>0</v>
      </c>
      <c r="L22" s="134">
        <f>+Calc_Annual!Q22</f>
        <v>0</v>
      </c>
      <c r="M22" s="134">
        <f>+Calc_Annual!R22</f>
        <v>300000</v>
      </c>
      <c r="N22" s="134">
        <f>+Calc_Annual!S22</f>
        <v>0</v>
      </c>
      <c r="O22" s="134">
        <f>IF(B22&gt;Coverage,"",SUM(Calc_Annual!T22,Calc_Annual!W22,Calc_Annual!Z22,Calc_Annual!AC22))</f>
        <v>160603533</v>
      </c>
      <c r="P22" s="134">
        <f>IF(B22&gt;Coverage,"",SUM(Calc_Annual!U22,Calc_Annual!X22,Calc_Annual!AA22,Calc_Annual!AD22))</f>
        <v>159798498</v>
      </c>
      <c r="Q22" s="134">
        <f>IF(B22&gt;Coverage,"",SUM(Calc_Annual!AF22,Calc_Annual!AI22,Calc_Annual!AL22,Calc_Annual!AO22))</f>
        <v>195360491</v>
      </c>
      <c r="R22" s="134">
        <f>IF(B22&gt;Coverage,"",SUM(Calc_Annual!AG22,Calc_Annual!AJ22,Calc_Annual!AM22,Calc_Annual!AP22))</f>
        <v>195360491</v>
      </c>
      <c r="S22" s="134">
        <f>IF(B22&gt;Coverage,"",SUM(Calc_Annual!AR22,Calc_Annual!AU22,Calc_Annual!AX22,Calc_Annual!BA22))</f>
        <v>609506578</v>
      </c>
      <c r="T22" s="134">
        <f>IF(B22&gt;Coverage,"",SUM(Calc_Annual!AS22,Calc_Annual!AV22,Calc_Annual!AY22,Calc_Annual!BB22))</f>
        <v>630137308</v>
      </c>
      <c r="U22" s="134">
        <f>IF(B22&gt;Coverage,"",VLOOKUP(MIN($C22,10),Assumption!$M$18:$N$28,2,0)*$I22+P22)</f>
        <v>489799665</v>
      </c>
      <c r="V22" s="134">
        <f>IF(B22&gt;Coverage,"",VLOOKUP(MIN($C22,10),Assumption!$M$18:$N$28,2,0)*$I22+R22)</f>
        <v>525361658</v>
      </c>
      <c r="W22" s="134">
        <f>IF(B22&gt;Coverage,"",VLOOKUP(MIN($C22,10),Assumption!$M$18:$N$28,2,0)*$I22+T22)</f>
        <v>960138475</v>
      </c>
      <c r="X22" s="134">
        <f>IF(B22&gt;Coverage,"",SUM(Calc_Annual!V22,Calc_Annual!Y22,Calc_Annual!AB22,Calc_Annual!AE22))</f>
        <v>159798498</v>
      </c>
      <c r="Y22" s="134">
        <f>IF(B22&gt;Coverage,"",SUM(Calc_Annual!AH22,Calc_Annual!AK22,Calc_Annual!AN22,Calc_Annual!AQ22))</f>
        <v>195360491</v>
      </c>
      <c r="Z22" s="134">
        <f>IF(B22&gt;Coverage,"",SUM(Calc_Annual!AT22,Calc_Annual!AW22,Calc_Annual!AZ22,Calc_Annual!BC22))</f>
        <v>630137308</v>
      </c>
    </row>
    <row r="23" ht="14.25" customHeight="1">
      <c r="A23" s="126">
        <v>16.0</v>
      </c>
      <c r="B23" s="129">
        <f>+IF(A23&gt;Coverage,"",A23)</f>
        <v>16</v>
      </c>
      <c r="C23" s="134">
        <f>+IF(B23&gt;Coverage,"",IF(B23=1,Insured_Age,C22+1))</f>
        <v>75</v>
      </c>
      <c r="D23" s="134">
        <f>+Calc_Annual!E23</f>
        <v>0</v>
      </c>
      <c r="E23" s="134">
        <f>+Calc_Annual!F23</f>
        <v>0</v>
      </c>
      <c r="F23" s="134">
        <f>+Calc_Annual!G23</f>
        <v>0</v>
      </c>
      <c r="G23" s="134">
        <f>+Calc_Annual!H23</f>
        <v>0</v>
      </c>
      <c r="H23" s="134">
        <f>+IF(B23&gt;Coverage,"",SUM(E$8:E23)+SUM(F$8:F23)-SUM(G$8:G23))</f>
        <v>320000778</v>
      </c>
      <c r="I23" s="66">
        <f>+IF($B23&gt;Coverage,"",Calc_Annual!I23)</f>
        <v>330001167</v>
      </c>
      <c r="J23" s="134">
        <f>+Calc_Annual!K23</f>
        <v>10398996.77</v>
      </c>
      <c r="K23" s="134">
        <f>Calc_Annual!L23</f>
        <v>0</v>
      </c>
      <c r="L23" s="134">
        <f>+Calc_Annual!Q23</f>
        <v>0</v>
      </c>
      <c r="M23" s="134">
        <f>+Calc_Annual!R23</f>
        <v>300000</v>
      </c>
      <c r="N23" s="134">
        <f>+Calc_Annual!S23</f>
        <v>0</v>
      </c>
      <c r="O23" s="134">
        <f>IF(B23&gt;Coverage,"",SUM(Calc_Annual!T23,Calc_Annual!W23,Calc_Annual!Z23,Calc_Annual!AC23))</f>
        <v>148298501</v>
      </c>
      <c r="P23" s="134">
        <f>IF(B23&gt;Coverage,"",SUM(Calc_Annual!U23,Calc_Annual!X23,Calc_Annual!AA23,Calc_Annual!AD23))</f>
        <v>147555146</v>
      </c>
      <c r="Q23" s="134">
        <f>IF(B23&gt;Coverage,"",SUM(Calc_Annual!AF23,Calc_Annual!AI23,Calc_Annual!AL23,Calc_Annual!AO23))</f>
        <v>184661494</v>
      </c>
      <c r="R23" s="134">
        <f>IF(B23&gt;Coverage,"",SUM(Calc_Annual!AG23,Calc_Annual!AJ23,Calc_Annual!AM23,Calc_Annual!AP23))</f>
        <v>184661494</v>
      </c>
      <c r="S23" s="134">
        <f>IF(B23&gt;Coverage,"",SUM(Calc_Annual!AR23,Calc_Annual!AU23,Calc_Annual!AX23,Calc_Annual!BA23))</f>
        <v>640795556</v>
      </c>
      <c r="T23" s="134">
        <f>IF(B23&gt;Coverage,"",SUM(Calc_Annual!AS23,Calc_Annual!AV23,Calc_Annual!AY23,Calc_Annual!BB23))</f>
        <v>662561078</v>
      </c>
      <c r="U23" s="134">
        <f>IF(B23&gt;Coverage,"",VLOOKUP(MIN($C23,10),Assumption!$M$18:$N$28,2,0)*$I23+P23)</f>
        <v>477556313</v>
      </c>
      <c r="V23" s="134">
        <f>IF(B23&gt;Coverage,"",VLOOKUP(MIN($C23,10),Assumption!$M$18:$N$28,2,0)*$I23+R23)</f>
        <v>514662661</v>
      </c>
      <c r="W23" s="134">
        <f>IF(B23&gt;Coverage,"",VLOOKUP(MIN($C23,10),Assumption!$M$18:$N$28,2,0)*$I23+T23)</f>
        <v>992562245</v>
      </c>
      <c r="X23" s="134">
        <f>IF(B23&gt;Coverage,"",SUM(Calc_Annual!V23,Calc_Annual!Y23,Calc_Annual!AB23,Calc_Annual!AE23))</f>
        <v>147555146</v>
      </c>
      <c r="Y23" s="134">
        <f>IF(B23&gt;Coverage,"",SUM(Calc_Annual!AH23,Calc_Annual!AK23,Calc_Annual!AN23,Calc_Annual!AQ23))</f>
        <v>184661494</v>
      </c>
      <c r="Z23" s="134">
        <f>IF(B23&gt;Coverage,"",SUM(Calc_Annual!AT23,Calc_Annual!AW23,Calc_Annual!AZ23,Calc_Annual!BC23))</f>
        <v>662561078</v>
      </c>
    </row>
    <row r="24" ht="14.25" customHeight="1">
      <c r="A24" s="126">
        <v>17.0</v>
      </c>
      <c r="B24" s="129">
        <f>+IF(A24&gt;Coverage,"",A24)</f>
        <v>17</v>
      </c>
      <c r="C24" s="134">
        <f>+IF(B24&gt;Coverage,"",IF(B24=1,Insured_Age,C23+1))</f>
        <v>76</v>
      </c>
      <c r="D24" s="134">
        <f>+Calc_Annual!E24</f>
        <v>0</v>
      </c>
      <c r="E24" s="134">
        <f>+Calc_Annual!F24</f>
        <v>0</v>
      </c>
      <c r="F24" s="134">
        <f>+Calc_Annual!G24</f>
        <v>0</v>
      </c>
      <c r="G24" s="134">
        <f>+Calc_Annual!H24</f>
        <v>0</v>
      </c>
      <c r="H24" s="134">
        <f>+IF(B24&gt;Coverage,"",SUM(E$8:E24)+SUM(F$8:F24)-SUM(G$8:G24))</f>
        <v>320000778</v>
      </c>
      <c r="I24" s="66">
        <f>+IF($B24&gt;Coverage,"",Calc_Annual!I24)</f>
        <v>330001167</v>
      </c>
      <c r="J24" s="134">
        <f>+Calc_Annual!K24</f>
        <v>12157242.99</v>
      </c>
      <c r="K24" s="134">
        <f>Calc_Annual!L24</f>
        <v>0</v>
      </c>
      <c r="L24" s="134">
        <f>+Calc_Annual!Q24</f>
        <v>0</v>
      </c>
      <c r="M24" s="134">
        <f>+Calc_Annual!R24</f>
        <v>300000</v>
      </c>
      <c r="N24" s="134">
        <f>+Calc_Annual!S24</f>
        <v>0</v>
      </c>
      <c r="O24" s="134">
        <f>IF(B24&gt;Coverage,"",SUM(Calc_Annual!T24,Calc_Annual!W24,Calc_Annual!Z24,Calc_Annual!AC24))</f>
        <v>134358274</v>
      </c>
      <c r="P24" s="134">
        <f>IF(B24&gt;Coverage,"",SUM(Calc_Annual!U24,Calc_Annual!X24,Calc_Annual!AA24,Calc_Annual!AD24))</f>
        <v>133684794</v>
      </c>
      <c r="Q24" s="134">
        <f>IF(B24&gt;Coverage,"",SUM(Calc_Annual!AF24,Calc_Annual!AI24,Calc_Annual!AL24,Calc_Annual!AO24))</f>
        <v>172204251</v>
      </c>
      <c r="R24" s="134">
        <f>IF(B24&gt;Coverage,"",SUM(Calc_Annual!AG24,Calc_Annual!AJ24,Calc_Annual!AM24,Calc_Annual!AP24))</f>
        <v>172204251</v>
      </c>
      <c r="S24" s="134">
        <f>IF(B24&gt;Coverage,"",SUM(Calc_Annual!AR24,Calc_Annual!AU24,Calc_Annual!AX24,Calc_Annual!BA24))</f>
        <v>672637775</v>
      </c>
      <c r="T24" s="134">
        <f>IF(B24&gt;Coverage,"",SUM(Calc_Annual!AS24,Calc_Annual!AV24,Calc_Annual!AY24,Calc_Annual!BB24))</f>
        <v>695566840</v>
      </c>
      <c r="U24" s="134">
        <f>IF(B24&gt;Coverage,"",VLOOKUP(MIN($C24,10),Assumption!$M$18:$N$28,2,0)*$I24+P24)</f>
        <v>463685961</v>
      </c>
      <c r="V24" s="134">
        <f>IF(B24&gt;Coverage,"",VLOOKUP(MIN($C24,10),Assumption!$M$18:$N$28,2,0)*$I24+R24)</f>
        <v>502205418</v>
      </c>
      <c r="W24" s="134">
        <f>IF(B24&gt;Coverage,"",VLOOKUP(MIN($C24,10),Assumption!$M$18:$N$28,2,0)*$I24+T24)</f>
        <v>1025568007</v>
      </c>
      <c r="X24" s="134">
        <f>IF(B24&gt;Coverage,"",SUM(Calc_Annual!V24,Calc_Annual!Y24,Calc_Annual!AB24,Calc_Annual!AE24))</f>
        <v>133684794</v>
      </c>
      <c r="Y24" s="134">
        <f>IF(B24&gt;Coverage,"",SUM(Calc_Annual!AH24,Calc_Annual!AK24,Calc_Annual!AN24,Calc_Annual!AQ24))</f>
        <v>172204251</v>
      </c>
      <c r="Z24" s="134">
        <f>IF(B24&gt;Coverage,"",SUM(Calc_Annual!AT24,Calc_Annual!AW24,Calc_Annual!AZ24,Calc_Annual!BC24))</f>
        <v>695566840</v>
      </c>
    </row>
    <row r="25" ht="14.25" customHeight="1">
      <c r="A25" s="126">
        <v>18.0</v>
      </c>
      <c r="B25" s="129">
        <f>+IF(A25&gt;Coverage,"",A25)</f>
        <v>18</v>
      </c>
      <c r="C25" s="134">
        <f>+IF(B25&gt;Coverage,"",IF(B25=1,Insured_Age,C24+1))</f>
        <v>77</v>
      </c>
      <c r="D25" s="134">
        <f>+Calc_Annual!E25</f>
        <v>0</v>
      </c>
      <c r="E25" s="134">
        <f>+Calc_Annual!F25</f>
        <v>0</v>
      </c>
      <c r="F25" s="134">
        <f>+Calc_Annual!G25</f>
        <v>0</v>
      </c>
      <c r="G25" s="134">
        <f>+Calc_Annual!H25</f>
        <v>0</v>
      </c>
      <c r="H25" s="134">
        <f>+IF(B25&gt;Coverage,"",SUM(E$8:E25)+SUM(F$8:F25)-SUM(G$8:G25))</f>
        <v>320000778</v>
      </c>
      <c r="I25" s="66">
        <f>+IF($B25&gt;Coverage,"",Calc_Annual!I25)</f>
        <v>330001167</v>
      </c>
      <c r="J25" s="134">
        <f>+Calc_Annual!K25</f>
        <v>14050129.69</v>
      </c>
      <c r="K25" s="134">
        <f>Calc_Annual!L25</f>
        <v>0</v>
      </c>
      <c r="L25" s="134">
        <f>+Calc_Annual!Q25</f>
        <v>0</v>
      </c>
      <c r="M25" s="134">
        <f>+Calc_Annual!R25</f>
        <v>300000</v>
      </c>
      <c r="N25" s="134">
        <f>+Calc_Annual!S25</f>
        <v>0</v>
      </c>
      <c r="O25" s="134">
        <f>IF(B25&gt;Coverage,"",SUM(Calc_Annual!T25,Calc_Annual!W25,Calc_Annual!Z25,Calc_Annual!AC25))</f>
        <v>118664561</v>
      </c>
      <c r="P25" s="134">
        <f>IF(B25&gt;Coverage,"",SUM(Calc_Annual!U25,Calc_Annual!X25,Calc_Annual!AA25,Calc_Annual!AD25))</f>
        <v>118069748</v>
      </c>
      <c r="Q25" s="134">
        <f>IF(B25&gt;Coverage,"",SUM(Calc_Annual!AF25,Calc_Annual!AI25,Calc_Annual!AL25,Calc_Annual!AO25))</f>
        <v>157854122</v>
      </c>
      <c r="R25" s="134">
        <f>IF(B25&gt;Coverage,"",SUM(Calc_Annual!AG25,Calc_Annual!AJ25,Calc_Annual!AM25,Calc_Annual!AP25))</f>
        <v>157854122</v>
      </c>
      <c r="S25" s="134">
        <f>IF(B25&gt;Coverage,"",SUM(Calc_Annual!AR25,Calc_Annual!AU25,Calc_Annual!AX25,Calc_Annual!BA25))</f>
        <v>704957372</v>
      </c>
      <c r="T25" s="134">
        <f>IF(B25&gt;Coverage,"",SUM(Calc_Annual!AS25,Calc_Annual!AV25,Calc_Annual!AY25,Calc_Annual!BB25))</f>
        <v>729076999</v>
      </c>
      <c r="U25" s="134">
        <f>IF(B25&gt;Coverage,"",VLOOKUP(MIN($C25,10),Assumption!$M$18:$N$28,2,0)*$I25+P25)</f>
        <v>448070915</v>
      </c>
      <c r="V25" s="134">
        <f>IF(B25&gt;Coverage,"",VLOOKUP(MIN($C25,10),Assumption!$M$18:$N$28,2,0)*$I25+R25)</f>
        <v>487855289</v>
      </c>
      <c r="W25" s="134">
        <f>IF(B25&gt;Coverage,"",VLOOKUP(MIN($C25,10),Assumption!$M$18:$N$28,2,0)*$I25+T25)</f>
        <v>1059078166</v>
      </c>
      <c r="X25" s="134">
        <f>IF(B25&gt;Coverage,"",SUM(Calc_Annual!V25,Calc_Annual!Y25,Calc_Annual!AB25,Calc_Annual!AE25))</f>
        <v>118069748</v>
      </c>
      <c r="Y25" s="134">
        <f>IF(B25&gt;Coverage,"",SUM(Calc_Annual!AH25,Calc_Annual!AK25,Calc_Annual!AN25,Calc_Annual!AQ25))</f>
        <v>157854122</v>
      </c>
      <c r="Z25" s="134">
        <f>IF(B25&gt;Coverage,"",SUM(Calc_Annual!AT25,Calc_Annual!AW25,Calc_Annual!AZ25,Calc_Annual!BC25))</f>
        <v>729076999</v>
      </c>
    </row>
    <row r="26" ht="14.25" customHeight="1">
      <c r="A26" s="126">
        <v>19.0</v>
      </c>
      <c r="B26" s="129">
        <f>+IF(A26&gt;Coverage,"",A26)</f>
        <v>19</v>
      </c>
      <c r="C26" s="134">
        <f>+IF(B26&gt;Coverage,"",IF(B26=1,Insured_Age,C25+1))</f>
        <v>78</v>
      </c>
      <c r="D26" s="134">
        <f>+Calc_Annual!E26</f>
        <v>0</v>
      </c>
      <c r="E26" s="134">
        <f>+Calc_Annual!F26</f>
        <v>0</v>
      </c>
      <c r="F26" s="134">
        <f>+Calc_Annual!G26</f>
        <v>0</v>
      </c>
      <c r="G26" s="134">
        <f>+Calc_Annual!H26</f>
        <v>0</v>
      </c>
      <c r="H26" s="134">
        <f>+IF(B26&gt;Coverage,"",SUM(E$8:E26)+SUM(F$8:F26)-SUM(G$8:G26))</f>
        <v>320000778</v>
      </c>
      <c r="I26" s="66">
        <f>+IF($B26&gt;Coverage,"",Calc_Annual!I26)</f>
        <v>330001167</v>
      </c>
      <c r="J26" s="134">
        <f>+Calc_Annual!K26</f>
        <v>16061816.8</v>
      </c>
      <c r="K26" s="134">
        <f>Calc_Annual!L26</f>
        <v>0</v>
      </c>
      <c r="L26" s="134">
        <f>+Calc_Annual!Q26</f>
        <v>0</v>
      </c>
      <c r="M26" s="134">
        <f>+Calc_Annual!R26</f>
        <v>300000</v>
      </c>
      <c r="N26" s="134">
        <f>+Calc_Annual!S26</f>
        <v>0</v>
      </c>
      <c r="O26" s="134">
        <f>IF(B26&gt;Coverage,"",SUM(Calc_Annual!T26,Calc_Annual!W26,Calc_Annual!Z26,Calc_Annual!AC26))</f>
        <v>101116099</v>
      </c>
      <c r="P26" s="134">
        <f>IF(B26&gt;Coverage,"",SUM(Calc_Annual!U26,Calc_Annual!X26,Calc_Annual!AA26,Calc_Annual!AD26))</f>
        <v>100609248</v>
      </c>
      <c r="Q26" s="134">
        <f>IF(B26&gt;Coverage,"",SUM(Calc_Annual!AF26,Calc_Annual!AI26,Calc_Annual!AL26,Calc_Annual!AO26))</f>
        <v>141492305</v>
      </c>
      <c r="R26" s="134">
        <f>IF(B26&gt;Coverage,"",SUM(Calc_Annual!AG26,Calc_Annual!AJ26,Calc_Annual!AM26,Calc_Annual!AP26))</f>
        <v>141492305</v>
      </c>
      <c r="S26" s="134">
        <f>IF(B26&gt;Coverage,"",SUM(Calc_Annual!AR26,Calc_Annual!AU26,Calc_Annual!AX26,Calc_Annual!BA26))</f>
        <v>737690817</v>
      </c>
      <c r="T26" s="134">
        <f>IF(B26&gt;Coverage,"",SUM(Calc_Annual!AS26,Calc_Annual!AV26,Calc_Annual!AY26,Calc_Annual!BB26))</f>
        <v>763026718</v>
      </c>
      <c r="U26" s="134">
        <f>IF(B26&gt;Coverage,"",VLOOKUP(MIN($C26,10),Assumption!$M$18:$N$28,2,0)*$I26+P26)</f>
        <v>430610415</v>
      </c>
      <c r="V26" s="134">
        <f>IF(B26&gt;Coverage,"",VLOOKUP(MIN($C26,10),Assumption!$M$18:$N$28,2,0)*$I26+R26)</f>
        <v>471493472</v>
      </c>
      <c r="W26" s="134">
        <f>IF(B26&gt;Coverage,"",VLOOKUP(MIN($C26,10),Assumption!$M$18:$N$28,2,0)*$I26+T26)</f>
        <v>1093027885</v>
      </c>
      <c r="X26" s="134">
        <f>IF(B26&gt;Coverage,"",SUM(Calc_Annual!V26,Calc_Annual!Y26,Calc_Annual!AB26,Calc_Annual!AE26))</f>
        <v>100609248</v>
      </c>
      <c r="Y26" s="134">
        <f>IF(B26&gt;Coverage,"",SUM(Calc_Annual!AH26,Calc_Annual!AK26,Calc_Annual!AN26,Calc_Annual!AQ26))</f>
        <v>141492305</v>
      </c>
      <c r="Z26" s="134">
        <f>IF(B26&gt;Coverage,"",SUM(Calc_Annual!AT26,Calc_Annual!AW26,Calc_Annual!AZ26,Calc_Annual!BC26))</f>
        <v>763026718</v>
      </c>
    </row>
    <row r="27" ht="14.25" customHeight="1">
      <c r="A27" s="126">
        <v>20.0</v>
      </c>
      <c r="B27" s="129">
        <f>+IF(A27&gt;Coverage,"",A27)</f>
        <v>20</v>
      </c>
      <c r="C27" s="134">
        <f>+IF(B27&gt;Coverage,"",IF(B27=1,Insured_Age,C26+1))</f>
        <v>79</v>
      </c>
      <c r="D27" s="134">
        <f>+Calc_Annual!E27</f>
        <v>0</v>
      </c>
      <c r="E27" s="134">
        <f>+Calc_Annual!F27</f>
        <v>0</v>
      </c>
      <c r="F27" s="134">
        <f>+Calc_Annual!G27</f>
        <v>0</v>
      </c>
      <c r="G27" s="134">
        <f>+Calc_Annual!H27</f>
        <v>0</v>
      </c>
      <c r="H27" s="134">
        <f>+IF(B27&gt;Coverage,"",SUM(E$8:E27)+SUM(F$8:F27)-SUM(G$8:G27))</f>
        <v>320000778</v>
      </c>
      <c r="I27" s="66">
        <f>+IF($B27&gt;Coverage,"",Calc_Annual!I27)</f>
        <v>330001167</v>
      </c>
      <c r="J27" s="134">
        <f>+Calc_Annual!K27</f>
        <v>18952627.02</v>
      </c>
      <c r="K27" s="134">
        <f>Calc_Annual!L27</f>
        <v>0</v>
      </c>
      <c r="L27" s="134">
        <f>+Calc_Annual!Q27</f>
        <v>0</v>
      </c>
      <c r="M27" s="134">
        <f>+Calc_Annual!R27</f>
        <v>300000</v>
      </c>
      <c r="N27" s="134">
        <f>+Calc_Annual!S27</f>
        <v>0</v>
      </c>
      <c r="O27" s="134">
        <f>IF(B27&gt;Coverage,"",SUM(Calc_Annual!T27,Calc_Annual!W27,Calc_Annual!Z27,Calc_Annual!AC27))</f>
        <v>80852311</v>
      </c>
      <c r="P27" s="134">
        <f>IF(B27&gt;Coverage,"",SUM(Calc_Annual!U27,Calc_Annual!X27,Calc_Annual!AA27,Calc_Annual!AD27))</f>
        <v>80447034</v>
      </c>
      <c r="Q27" s="134">
        <f>IF(B27&gt;Coverage,"",SUM(Calc_Annual!AF27,Calc_Annual!AI27,Calc_Annual!AL27,Calc_Annual!AO27))</f>
        <v>122239678</v>
      </c>
      <c r="R27" s="134">
        <f>IF(B27&gt;Coverage,"",SUM(Calc_Annual!AG27,Calc_Annual!AJ27,Calc_Annual!AM27,Calc_Annual!AP27))</f>
        <v>122239678</v>
      </c>
      <c r="S27" s="134">
        <f>IF(B27&gt;Coverage,"",SUM(Calc_Annual!AR27,Calc_Annual!AU27,Calc_Annual!AX27,Calc_Annual!BA27))</f>
        <v>770011619</v>
      </c>
      <c r="T27" s="134">
        <f>IF(B27&gt;Coverage,"",SUM(Calc_Annual!AS27,Calc_Annual!AV27,Calc_Annual!AY27,Calc_Annual!BB27))</f>
        <v>796563661</v>
      </c>
      <c r="U27" s="134">
        <f>IF(B27&gt;Coverage,"",VLOOKUP(MIN($C27,10),Assumption!$M$18:$N$28,2,0)*$I27+P27)</f>
        <v>410448201</v>
      </c>
      <c r="V27" s="134">
        <f>IF(B27&gt;Coverage,"",VLOOKUP(MIN($C27,10),Assumption!$M$18:$N$28,2,0)*$I27+R27)</f>
        <v>452240845</v>
      </c>
      <c r="W27" s="134">
        <f>IF(B27&gt;Coverage,"",VLOOKUP(MIN($C27,10),Assumption!$M$18:$N$28,2,0)*$I27+T27)</f>
        <v>1126564828</v>
      </c>
      <c r="X27" s="134">
        <f>IF(B27&gt;Coverage,"",SUM(Calc_Annual!V27,Calc_Annual!Y27,Calc_Annual!AB27,Calc_Annual!AE27))</f>
        <v>80447034</v>
      </c>
      <c r="Y27" s="134">
        <f>IF(B27&gt;Coverage,"",SUM(Calc_Annual!AH27,Calc_Annual!AK27,Calc_Annual!AN27,Calc_Annual!AQ27))</f>
        <v>122239678</v>
      </c>
      <c r="Z27" s="134">
        <f>IF(B27&gt;Coverage,"",SUM(Calc_Annual!AT27,Calc_Annual!AW27,Calc_Annual!AZ27,Calc_Annual!BC27))</f>
        <v>796563661</v>
      </c>
    </row>
    <row r="28" ht="14.25" customHeight="1">
      <c r="A28" s="126">
        <v>21.0</v>
      </c>
      <c r="B28" s="129" t="str">
        <f>+IF(A28&gt;Coverage,"",A28)</f>
        <v/>
      </c>
      <c r="C28" s="134" t="str">
        <f>+IF(B28&gt;Coverage,"",IF(B28=1,Insured_Age,C27+1))</f>
        <v/>
      </c>
      <c r="D28" s="134" t="str">
        <f>+Calc_Annual!E28</f>
        <v/>
      </c>
      <c r="E28" s="134" t="str">
        <f>+Calc_Annual!F28</f>
        <v/>
      </c>
      <c r="F28" s="134" t="str">
        <f>+Calc_Annual!G28</f>
        <v/>
      </c>
      <c r="G28" s="134" t="str">
        <f>+Calc_Annual!H28</f>
        <v/>
      </c>
      <c r="H28" s="134" t="str">
        <f>+IF(B28&gt;Coverage,"",SUM(E$8:E28)+SUM(F$8:F28)-SUM(G$8:G28))</f>
        <v/>
      </c>
      <c r="I28" s="66" t="str">
        <f>+IF($B28&gt;Coverage,"",Calc_Annual!I28)</f>
        <v/>
      </c>
      <c r="J28" s="134" t="str">
        <f>+Calc_Annual!K28</f>
        <v/>
      </c>
      <c r="K28" s="134" t="str">
        <f>Calc_Annual!L28</f>
        <v/>
      </c>
      <c r="L28" s="134" t="str">
        <f>+Calc_Annual!Q28</f>
        <v/>
      </c>
      <c r="M28" s="134" t="str">
        <f>+Calc_Annual!R28</f>
        <v/>
      </c>
      <c r="N28" s="134" t="str">
        <f>+Calc_Annual!S28</f>
        <v/>
      </c>
      <c r="O28" s="134" t="str">
        <f>IF(B28&gt;Coverage,"",SUM(Calc_Annual!T28,Calc_Annual!W28,Calc_Annual!Z28,Calc_Annual!AC28))</f>
        <v/>
      </c>
      <c r="P28" s="134" t="str">
        <f>IF(B28&gt;Coverage,"",SUM(Calc_Annual!U28,Calc_Annual!X28,Calc_Annual!AA28,Calc_Annual!AD28))</f>
        <v/>
      </c>
      <c r="Q28" s="134" t="str">
        <f>IF(B28&gt;Coverage,"",SUM(Calc_Annual!AF28,Calc_Annual!AI28,Calc_Annual!AL28,Calc_Annual!AO28))</f>
        <v/>
      </c>
      <c r="R28" s="134" t="str">
        <f>IF(B28&gt;Coverage,"",SUM(Calc_Annual!AG28,Calc_Annual!AJ28,Calc_Annual!AM28,Calc_Annual!AP28))</f>
        <v/>
      </c>
      <c r="S28" s="134" t="str">
        <f>IF(B28&gt;Coverage,"",SUM(Calc_Annual!AR28,Calc_Annual!AU28,Calc_Annual!AX28,Calc_Annual!BA28))</f>
        <v/>
      </c>
      <c r="T28" s="134" t="str">
        <f>IF(B28&gt;Coverage,"",SUM(Calc_Annual!AS28,Calc_Annual!AV28,Calc_Annual!AY28,Calc_Annual!BB28))</f>
        <v/>
      </c>
      <c r="U28" s="134" t="str">
        <f>IF(B28&gt;Coverage,"",VLOOKUP(MIN($C28,10),Assumption!$M$18:$N$28,2,0)*$I28+P28)</f>
        <v/>
      </c>
      <c r="V28" s="134" t="str">
        <f>IF(B28&gt;Coverage,"",VLOOKUP(MIN($C28,10),Assumption!$M$18:$N$28,2,0)*$I28+R28)</f>
        <v/>
      </c>
      <c r="W28" s="134" t="str">
        <f>IF(B28&gt;Coverage,"",VLOOKUP(MIN($C28,10),Assumption!$M$18:$N$28,2,0)*$I28+T28)</f>
        <v/>
      </c>
      <c r="X28" s="134" t="str">
        <f>IF(B28&gt;Coverage,"",SUM(Calc_Annual!V28,Calc_Annual!Y28,Calc_Annual!AB28,Calc_Annual!AE28))</f>
        <v/>
      </c>
      <c r="Y28" s="134" t="str">
        <f>IF(B28&gt;Coverage,"",SUM(Calc_Annual!AH28,Calc_Annual!AK28,Calc_Annual!AN28,Calc_Annual!AQ28))</f>
        <v/>
      </c>
      <c r="Z28" s="134" t="str">
        <f>IF(B28&gt;Coverage,"",SUM(Calc_Annual!AT28,Calc_Annual!AW28,Calc_Annual!AZ28,Calc_Annual!BC28))</f>
        <v/>
      </c>
    </row>
    <row r="29" ht="14.25" customHeight="1">
      <c r="A29" s="126">
        <v>22.0</v>
      </c>
      <c r="B29" s="129" t="str">
        <f>+IF(A29&gt;Coverage,"",A29)</f>
        <v/>
      </c>
      <c r="C29" s="134" t="str">
        <f>+IF(B29&gt;Coverage,"",IF(B29=1,Insured_Age,C28+1))</f>
        <v/>
      </c>
      <c r="D29" s="134" t="str">
        <f>+Calc_Annual!E29</f>
        <v/>
      </c>
      <c r="E29" s="134" t="str">
        <f>+Calc_Annual!F29</f>
        <v/>
      </c>
      <c r="F29" s="134" t="str">
        <f>+Calc_Annual!G29</f>
        <v/>
      </c>
      <c r="G29" s="134" t="str">
        <f>+Calc_Annual!H29</f>
        <v/>
      </c>
      <c r="H29" s="134" t="str">
        <f>+IF(B29&gt;Coverage,"",SUM(E$8:E29)+SUM(F$8:F29)-SUM(G$8:G29))</f>
        <v/>
      </c>
      <c r="I29" s="66" t="str">
        <f>+IF($B29&gt;Coverage,"",Calc_Annual!I29)</f>
        <v/>
      </c>
      <c r="J29" s="134" t="str">
        <f>+Calc_Annual!K29</f>
        <v/>
      </c>
      <c r="K29" s="134" t="str">
        <f>Calc_Annual!L29</f>
        <v/>
      </c>
      <c r="L29" s="134" t="str">
        <f>+Calc_Annual!Q29</f>
        <v/>
      </c>
      <c r="M29" s="134" t="str">
        <f>+Calc_Annual!R29</f>
        <v/>
      </c>
      <c r="N29" s="134" t="str">
        <f>+Calc_Annual!S29</f>
        <v/>
      </c>
      <c r="O29" s="134" t="str">
        <f>IF(B29&gt;Coverage,"",SUM(Calc_Annual!T29,Calc_Annual!W29,Calc_Annual!Z29,Calc_Annual!AC29))</f>
        <v/>
      </c>
      <c r="P29" s="134" t="str">
        <f>IF(B29&gt;Coverage,"",SUM(Calc_Annual!U29,Calc_Annual!X29,Calc_Annual!AA29,Calc_Annual!AD29))</f>
        <v/>
      </c>
      <c r="Q29" s="134" t="str">
        <f>IF(B29&gt;Coverage,"",SUM(Calc_Annual!AF29,Calc_Annual!AI29,Calc_Annual!AL29,Calc_Annual!AO29))</f>
        <v/>
      </c>
      <c r="R29" s="134" t="str">
        <f>IF(B29&gt;Coverage,"",SUM(Calc_Annual!AG29,Calc_Annual!AJ29,Calc_Annual!AM29,Calc_Annual!AP29))</f>
        <v/>
      </c>
      <c r="S29" s="134" t="str">
        <f>IF(B29&gt;Coverage,"",SUM(Calc_Annual!AR29,Calc_Annual!AU29,Calc_Annual!AX29,Calc_Annual!BA29))</f>
        <v/>
      </c>
      <c r="T29" s="134" t="str">
        <f>IF(B29&gt;Coverage,"",SUM(Calc_Annual!AS29,Calc_Annual!AV29,Calc_Annual!AY29,Calc_Annual!BB29))</f>
        <v/>
      </c>
      <c r="U29" s="134" t="str">
        <f>IF(B29&gt;Coverage,"",VLOOKUP(MIN($C29,10),Assumption!$M$18:$N$28,2,0)*$I29+P29)</f>
        <v/>
      </c>
      <c r="V29" s="134" t="str">
        <f>IF(B29&gt;Coverage,"",VLOOKUP(MIN($C29,10),Assumption!$M$18:$N$28,2,0)*$I29+R29)</f>
        <v/>
      </c>
      <c r="W29" s="134" t="str">
        <f>IF(B29&gt;Coverage,"",VLOOKUP(MIN($C29,10),Assumption!$M$18:$N$28,2,0)*$I29+T29)</f>
        <v/>
      </c>
      <c r="X29" s="134" t="str">
        <f>IF(B29&gt;Coverage,"",SUM(Calc_Annual!V29,Calc_Annual!Y29,Calc_Annual!AB29,Calc_Annual!AE29))</f>
        <v/>
      </c>
      <c r="Y29" s="134" t="str">
        <f>IF(B29&gt;Coverage,"",SUM(Calc_Annual!AH29,Calc_Annual!AK29,Calc_Annual!AN29,Calc_Annual!AQ29))</f>
        <v/>
      </c>
      <c r="Z29" s="134" t="str">
        <f>IF(B29&gt;Coverage,"",SUM(Calc_Annual!AT29,Calc_Annual!AW29,Calc_Annual!AZ29,Calc_Annual!BC29))</f>
        <v/>
      </c>
    </row>
    <row r="30" ht="14.25" customHeight="1">
      <c r="A30" s="126">
        <v>23.0</v>
      </c>
      <c r="B30" s="129" t="str">
        <f>+IF(A30&gt;Coverage,"",A30)</f>
        <v/>
      </c>
      <c r="C30" s="134" t="str">
        <f>+IF(B30&gt;Coverage,"",IF(B30=1,Insured_Age,C29+1))</f>
        <v/>
      </c>
      <c r="D30" s="134" t="str">
        <f>+Calc_Annual!E30</f>
        <v/>
      </c>
      <c r="E30" s="134" t="str">
        <f>+Calc_Annual!F30</f>
        <v/>
      </c>
      <c r="F30" s="134" t="str">
        <f>+Calc_Annual!G30</f>
        <v/>
      </c>
      <c r="G30" s="134" t="str">
        <f>+Calc_Annual!H30</f>
        <v/>
      </c>
      <c r="H30" s="134" t="str">
        <f>+IF(B30&gt;Coverage,"",SUM(E$8:E30)+SUM(F$8:F30)-SUM(G$8:G30))</f>
        <v/>
      </c>
      <c r="I30" s="66" t="str">
        <f>+IF($B30&gt;Coverage,"",Calc_Annual!I30)</f>
        <v/>
      </c>
      <c r="J30" s="134" t="str">
        <f>+Calc_Annual!K30</f>
        <v/>
      </c>
      <c r="K30" s="134" t="str">
        <f>Calc_Annual!L30</f>
        <v/>
      </c>
      <c r="L30" s="134" t="str">
        <f>+Calc_Annual!Q30</f>
        <v/>
      </c>
      <c r="M30" s="134" t="str">
        <f>+Calc_Annual!R30</f>
        <v/>
      </c>
      <c r="N30" s="134" t="str">
        <f>+Calc_Annual!S30</f>
        <v/>
      </c>
      <c r="O30" s="134" t="str">
        <f>IF(B30&gt;Coverage,"",SUM(Calc_Annual!T30,Calc_Annual!W30,Calc_Annual!Z30,Calc_Annual!AC30))</f>
        <v/>
      </c>
      <c r="P30" s="134" t="str">
        <f>IF(B30&gt;Coverage,"",SUM(Calc_Annual!U30,Calc_Annual!X30,Calc_Annual!AA30,Calc_Annual!AD30))</f>
        <v/>
      </c>
      <c r="Q30" s="134" t="str">
        <f>IF(B30&gt;Coverage,"",SUM(Calc_Annual!AF30,Calc_Annual!AI30,Calc_Annual!AL30,Calc_Annual!AO30))</f>
        <v/>
      </c>
      <c r="R30" s="134" t="str">
        <f>IF(B30&gt;Coverage,"",SUM(Calc_Annual!AG30,Calc_Annual!AJ30,Calc_Annual!AM30,Calc_Annual!AP30))</f>
        <v/>
      </c>
      <c r="S30" s="134" t="str">
        <f>IF(B30&gt;Coverage,"",SUM(Calc_Annual!AR30,Calc_Annual!AU30,Calc_Annual!AX30,Calc_Annual!BA30))</f>
        <v/>
      </c>
      <c r="T30" s="134" t="str">
        <f>IF(B30&gt;Coverage,"",SUM(Calc_Annual!AS30,Calc_Annual!AV30,Calc_Annual!AY30,Calc_Annual!BB30))</f>
        <v/>
      </c>
      <c r="U30" s="134" t="str">
        <f>IF(B30&gt;Coverage,"",VLOOKUP(MIN($C30,10),Assumption!$M$18:$N$28,2,0)*$I30+P30)</f>
        <v/>
      </c>
      <c r="V30" s="134" t="str">
        <f>IF(B30&gt;Coverage,"",VLOOKUP(MIN($C30,10),Assumption!$M$18:$N$28,2,0)*$I30+R30)</f>
        <v/>
      </c>
      <c r="W30" s="134" t="str">
        <f>IF(B30&gt;Coverage,"",VLOOKUP(MIN($C30,10),Assumption!$M$18:$N$28,2,0)*$I30+T30)</f>
        <v/>
      </c>
      <c r="X30" s="134" t="str">
        <f>IF(B30&gt;Coverage,"",SUM(Calc_Annual!V30,Calc_Annual!Y30,Calc_Annual!AB30,Calc_Annual!AE30))</f>
        <v/>
      </c>
      <c r="Y30" s="134" t="str">
        <f>IF(B30&gt;Coverage,"",SUM(Calc_Annual!AH30,Calc_Annual!AK30,Calc_Annual!AN30,Calc_Annual!AQ30))</f>
        <v/>
      </c>
      <c r="Z30" s="134" t="str">
        <f>IF(B30&gt;Coverage,"",SUM(Calc_Annual!AT30,Calc_Annual!AW30,Calc_Annual!AZ30,Calc_Annual!BC30))</f>
        <v/>
      </c>
    </row>
    <row r="31" ht="14.25" customHeight="1">
      <c r="A31" s="126">
        <v>24.0</v>
      </c>
      <c r="B31" s="129" t="str">
        <f>+IF(A31&gt;Coverage,"",A31)</f>
        <v/>
      </c>
      <c r="C31" s="134" t="str">
        <f>+IF(B31&gt;Coverage,"",IF(B31=1,Insured_Age,C30+1))</f>
        <v/>
      </c>
      <c r="D31" s="134" t="str">
        <f>+Calc_Annual!E31</f>
        <v/>
      </c>
      <c r="E31" s="134" t="str">
        <f>+Calc_Annual!F31</f>
        <v/>
      </c>
      <c r="F31" s="134" t="str">
        <f>+Calc_Annual!G31</f>
        <v/>
      </c>
      <c r="G31" s="134" t="str">
        <f>+Calc_Annual!H31</f>
        <v/>
      </c>
      <c r="H31" s="134" t="str">
        <f>+IF(B31&gt;Coverage,"",SUM(E$8:E31)+SUM(F$8:F31)-SUM(G$8:G31))</f>
        <v/>
      </c>
      <c r="I31" s="66" t="str">
        <f>+IF($B31&gt;Coverage,"",Calc_Annual!I31)</f>
        <v/>
      </c>
      <c r="J31" s="134" t="str">
        <f>+Calc_Annual!K31</f>
        <v/>
      </c>
      <c r="K31" s="134" t="str">
        <f>Calc_Annual!L31</f>
        <v/>
      </c>
      <c r="L31" s="134" t="str">
        <f>+Calc_Annual!Q31</f>
        <v/>
      </c>
      <c r="M31" s="134" t="str">
        <f>+Calc_Annual!R31</f>
        <v/>
      </c>
      <c r="N31" s="134" t="str">
        <f>+Calc_Annual!S31</f>
        <v/>
      </c>
      <c r="O31" s="134" t="str">
        <f>IF(B31&gt;Coverage,"",SUM(Calc_Annual!T31,Calc_Annual!W31,Calc_Annual!Z31,Calc_Annual!AC31))</f>
        <v/>
      </c>
      <c r="P31" s="134" t="str">
        <f>IF(B31&gt;Coverage,"",SUM(Calc_Annual!U31,Calc_Annual!X31,Calc_Annual!AA31,Calc_Annual!AD31))</f>
        <v/>
      </c>
      <c r="Q31" s="134" t="str">
        <f>IF(B31&gt;Coverage,"",SUM(Calc_Annual!AF31,Calc_Annual!AI31,Calc_Annual!AL31,Calc_Annual!AO31))</f>
        <v/>
      </c>
      <c r="R31" s="134" t="str">
        <f>IF(B31&gt;Coverage,"",SUM(Calc_Annual!AG31,Calc_Annual!AJ31,Calc_Annual!AM31,Calc_Annual!AP31))</f>
        <v/>
      </c>
      <c r="S31" s="134" t="str">
        <f>IF(B31&gt;Coverage,"",SUM(Calc_Annual!AR31,Calc_Annual!AU31,Calc_Annual!AX31,Calc_Annual!BA31))</f>
        <v/>
      </c>
      <c r="T31" s="134" t="str">
        <f>IF(B31&gt;Coverage,"",SUM(Calc_Annual!AS31,Calc_Annual!AV31,Calc_Annual!AY31,Calc_Annual!BB31))</f>
        <v/>
      </c>
      <c r="U31" s="134" t="str">
        <f>IF(B31&gt;Coverage,"",VLOOKUP(MIN($C31,10),Assumption!$M$18:$N$28,2,0)*$I31+P31)</f>
        <v/>
      </c>
      <c r="V31" s="134" t="str">
        <f>IF(B31&gt;Coverage,"",VLOOKUP(MIN($C31,10),Assumption!$M$18:$N$28,2,0)*$I31+R31)</f>
        <v/>
      </c>
      <c r="W31" s="134" t="str">
        <f>IF(B31&gt;Coverage,"",VLOOKUP(MIN($C31,10),Assumption!$M$18:$N$28,2,0)*$I31+T31)</f>
        <v/>
      </c>
      <c r="X31" s="134" t="str">
        <f>IF(B31&gt;Coverage,"",SUM(Calc_Annual!V31,Calc_Annual!Y31,Calc_Annual!AB31,Calc_Annual!AE31))</f>
        <v/>
      </c>
      <c r="Y31" s="134" t="str">
        <f>IF(B31&gt;Coverage,"",SUM(Calc_Annual!AH31,Calc_Annual!AK31,Calc_Annual!AN31,Calc_Annual!AQ31))</f>
        <v/>
      </c>
      <c r="Z31" s="134" t="str">
        <f>IF(B31&gt;Coverage,"",SUM(Calc_Annual!AT31,Calc_Annual!AW31,Calc_Annual!AZ31,Calc_Annual!BC31))</f>
        <v/>
      </c>
    </row>
    <row r="32" ht="14.25" customHeight="1">
      <c r="A32" s="126">
        <v>25.0</v>
      </c>
      <c r="B32" s="129" t="str">
        <f>+IF(A32&gt;Coverage,"",A32)</f>
        <v/>
      </c>
      <c r="C32" s="134" t="str">
        <f>+IF(B32&gt;Coverage,"",IF(B32=1,Insured_Age,C31+1))</f>
        <v/>
      </c>
      <c r="D32" s="134" t="str">
        <f>+Calc_Annual!E32</f>
        <v/>
      </c>
      <c r="E32" s="134" t="str">
        <f>+Calc_Annual!F32</f>
        <v/>
      </c>
      <c r="F32" s="134" t="str">
        <f>+Calc_Annual!G32</f>
        <v/>
      </c>
      <c r="G32" s="134" t="str">
        <f>+Calc_Annual!H32</f>
        <v/>
      </c>
      <c r="H32" s="134" t="str">
        <f>+IF(B32&gt;Coverage,"",SUM(E$8:E32)+SUM(F$8:F32)-SUM(G$8:G32))</f>
        <v/>
      </c>
      <c r="I32" s="66" t="str">
        <f>+IF($B32&gt;Coverage,"",Calc_Annual!I32)</f>
        <v/>
      </c>
      <c r="J32" s="134" t="str">
        <f>+Calc_Annual!K32</f>
        <v/>
      </c>
      <c r="K32" s="134" t="str">
        <f>Calc_Annual!L32</f>
        <v/>
      </c>
      <c r="L32" s="134" t="str">
        <f>+Calc_Annual!Q32</f>
        <v/>
      </c>
      <c r="M32" s="134" t="str">
        <f>+Calc_Annual!R32</f>
        <v/>
      </c>
      <c r="N32" s="134" t="str">
        <f>+Calc_Annual!S32</f>
        <v/>
      </c>
      <c r="O32" s="134" t="str">
        <f>IF(B32&gt;Coverage,"",SUM(Calc_Annual!T32,Calc_Annual!W32,Calc_Annual!Z32,Calc_Annual!AC32))</f>
        <v/>
      </c>
      <c r="P32" s="134" t="str">
        <f>IF(B32&gt;Coverage,"",SUM(Calc_Annual!U32,Calc_Annual!X32,Calc_Annual!AA32,Calc_Annual!AD32))</f>
        <v/>
      </c>
      <c r="Q32" s="134" t="str">
        <f>IF(B32&gt;Coverage,"",SUM(Calc_Annual!AF32,Calc_Annual!AI32,Calc_Annual!AL32,Calc_Annual!AO32))</f>
        <v/>
      </c>
      <c r="R32" s="134" t="str">
        <f>IF(B32&gt;Coverage,"",SUM(Calc_Annual!AG32,Calc_Annual!AJ32,Calc_Annual!AM32,Calc_Annual!AP32))</f>
        <v/>
      </c>
      <c r="S32" s="134" t="str">
        <f>IF(B32&gt;Coverage,"",SUM(Calc_Annual!AR32,Calc_Annual!AU32,Calc_Annual!AX32,Calc_Annual!BA32))</f>
        <v/>
      </c>
      <c r="T32" s="134" t="str">
        <f>IF(B32&gt;Coverage,"",SUM(Calc_Annual!AS32,Calc_Annual!AV32,Calc_Annual!AY32,Calc_Annual!BB32))</f>
        <v/>
      </c>
      <c r="U32" s="134" t="str">
        <f>IF(B32&gt;Coverage,"",VLOOKUP(MIN($C32,10),Assumption!$M$18:$N$28,2,0)*$I32+P32)</f>
        <v/>
      </c>
      <c r="V32" s="134" t="str">
        <f>IF(B32&gt;Coverage,"",VLOOKUP(MIN($C32,10),Assumption!$M$18:$N$28,2,0)*$I32+R32)</f>
        <v/>
      </c>
      <c r="W32" s="134" t="str">
        <f>IF(B32&gt;Coverage,"",VLOOKUP(MIN($C32,10),Assumption!$M$18:$N$28,2,0)*$I32+T32)</f>
        <v/>
      </c>
      <c r="X32" s="134" t="str">
        <f>IF(B32&gt;Coverage,"",SUM(Calc_Annual!V32,Calc_Annual!Y32,Calc_Annual!AB32,Calc_Annual!AE32))</f>
        <v/>
      </c>
      <c r="Y32" s="134" t="str">
        <f>IF(B32&gt;Coverage,"",SUM(Calc_Annual!AH32,Calc_Annual!AK32,Calc_Annual!AN32,Calc_Annual!AQ32))</f>
        <v/>
      </c>
      <c r="Z32" s="134" t="str">
        <f>IF(B32&gt;Coverage,"",SUM(Calc_Annual!AT32,Calc_Annual!AW32,Calc_Annual!AZ32,Calc_Annual!BC32))</f>
        <v/>
      </c>
    </row>
    <row r="33" ht="14.25" customHeight="1">
      <c r="A33" s="126">
        <v>26.0</v>
      </c>
      <c r="B33" s="129" t="str">
        <f>+IF(A33&gt;Coverage,"",A33)</f>
        <v/>
      </c>
      <c r="C33" s="134" t="str">
        <f>+IF(B33&gt;Coverage,"",IF(B33=1,Insured_Age,C32+1))</f>
        <v/>
      </c>
      <c r="D33" s="134" t="str">
        <f>+Calc_Annual!E33</f>
        <v/>
      </c>
      <c r="E33" s="134" t="str">
        <f>+Calc_Annual!F33</f>
        <v/>
      </c>
      <c r="F33" s="134" t="str">
        <f>+Calc_Annual!G33</f>
        <v/>
      </c>
      <c r="G33" s="134" t="str">
        <f>+Calc_Annual!H33</f>
        <v/>
      </c>
      <c r="H33" s="134" t="str">
        <f>+IF(B33&gt;Coverage,"",SUM(E$8:E33)+SUM(F$8:F33)-SUM(G$8:G33))</f>
        <v/>
      </c>
      <c r="I33" s="66" t="str">
        <f>+IF($B33&gt;Coverage,"",Calc_Annual!I33)</f>
        <v/>
      </c>
      <c r="J33" s="134" t="str">
        <f>+Calc_Annual!K33</f>
        <v/>
      </c>
      <c r="K33" s="134" t="str">
        <f>Calc_Annual!L33</f>
        <v/>
      </c>
      <c r="L33" s="134" t="str">
        <f>+Calc_Annual!Q33</f>
        <v/>
      </c>
      <c r="M33" s="134" t="str">
        <f>+Calc_Annual!R33</f>
        <v/>
      </c>
      <c r="N33" s="134" t="str">
        <f>+Calc_Annual!S33</f>
        <v/>
      </c>
      <c r="O33" s="134" t="str">
        <f>IF(B33&gt;Coverage,"",SUM(Calc_Annual!T33,Calc_Annual!W33,Calc_Annual!Z33,Calc_Annual!AC33))</f>
        <v/>
      </c>
      <c r="P33" s="134" t="str">
        <f>IF(B33&gt;Coverage,"",SUM(Calc_Annual!U33,Calc_Annual!X33,Calc_Annual!AA33,Calc_Annual!AD33))</f>
        <v/>
      </c>
      <c r="Q33" s="134" t="str">
        <f>IF(B33&gt;Coverage,"",SUM(Calc_Annual!AF33,Calc_Annual!AI33,Calc_Annual!AL33,Calc_Annual!AO33))</f>
        <v/>
      </c>
      <c r="R33" s="134" t="str">
        <f>IF(B33&gt;Coverage,"",SUM(Calc_Annual!AG33,Calc_Annual!AJ33,Calc_Annual!AM33,Calc_Annual!AP33))</f>
        <v/>
      </c>
      <c r="S33" s="134" t="str">
        <f>IF(B33&gt;Coverage,"",SUM(Calc_Annual!AR33,Calc_Annual!AU33,Calc_Annual!AX33,Calc_Annual!BA33))</f>
        <v/>
      </c>
      <c r="T33" s="134" t="str">
        <f>IF(B33&gt;Coverage,"",SUM(Calc_Annual!AS33,Calc_Annual!AV33,Calc_Annual!AY33,Calc_Annual!BB33))</f>
        <v/>
      </c>
      <c r="U33" s="134" t="str">
        <f>IF(B33&gt;Coverage,"",VLOOKUP(MIN($C33,10),Assumption!$M$18:$N$28,2,0)*$I33+P33)</f>
        <v/>
      </c>
      <c r="V33" s="134" t="str">
        <f>IF(B33&gt;Coverage,"",VLOOKUP(MIN($C33,10),Assumption!$M$18:$N$28,2,0)*$I33+R33)</f>
        <v/>
      </c>
      <c r="W33" s="134" t="str">
        <f>IF(B33&gt;Coverage,"",VLOOKUP(MIN($C33,10),Assumption!$M$18:$N$28,2,0)*$I33+T33)</f>
        <v/>
      </c>
      <c r="X33" s="134" t="str">
        <f>IF(B33&gt;Coverage,"",SUM(Calc_Annual!V33,Calc_Annual!Y33,Calc_Annual!AB33,Calc_Annual!AE33))</f>
        <v/>
      </c>
      <c r="Y33" s="134" t="str">
        <f>IF(B33&gt;Coverage,"",SUM(Calc_Annual!AH33,Calc_Annual!AK33,Calc_Annual!AN33,Calc_Annual!AQ33))</f>
        <v/>
      </c>
      <c r="Z33" s="134" t="str">
        <f>IF(B33&gt;Coverage,"",SUM(Calc_Annual!AT33,Calc_Annual!AW33,Calc_Annual!AZ33,Calc_Annual!BC33))</f>
        <v/>
      </c>
    </row>
    <row r="34" ht="14.25" customHeight="1">
      <c r="A34" s="126">
        <v>27.0</v>
      </c>
      <c r="B34" s="129" t="str">
        <f>+IF(A34&gt;Coverage,"",A34)</f>
        <v/>
      </c>
      <c r="C34" s="134" t="str">
        <f>+IF(B34&gt;Coverage,"",IF(B34=1,Insured_Age,C33+1))</f>
        <v/>
      </c>
      <c r="D34" s="134" t="str">
        <f>+Calc_Annual!E34</f>
        <v/>
      </c>
      <c r="E34" s="134" t="str">
        <f>+Calc_Annual!F34</f>
        <v/>
      </c>
      <c r="F34" s="134" t="str">
        <f>+Calc_Annual!G34</f>
        <v/>
      </c>
      <c r="G34" s="134" t="str">
        <f>+Calc_Annual!H34</f>
        <v/>
      </c>
      <c r="H34" s="134" t="str">
        <f>+IF(B34&gt;Coverage,"",SUM(E$8:E34)+SUM(F$8:F34)-SUM(G$8:G34))</f>
        <v/>
      </c>
      <c r="I34" s="66" t="str">
        <f>+IF($B34&gt;Coverage,"",Calc_Annual!I34)</f>
        <v/>
      </c>
      <c r="J34" s="134" t="str">
        <f>+Calc_Annual!K34</f>
        <v/>
      </c>
      <c r="K34" s="134" t="str">
        <f>Calc_Annual!L34</f>
        <v/>
      </c>
      <c r="L34" s="134" t="str">
        <f>+Calc_Annual!Q34</f>
        <v/>
      </c>
      <c r="M34" s="134" t="str">
        <f>+Calc_Annual!R34</f>
        <v/>
      </c>
      <c r="N34" s="134" t="str">
        <f>+Calc_Annual!S34</f>
        <v/>
      </c>
      <c r="O34" s="134" t="str">
        <f>IF(B34&gt;Coverage,"",SUM(Calc_Annual!T34,Calc_Annual!W34,Calc_Annual!Z34,Calc_Annual!AC34))</f>
        <v/>
      </c>
      <c r="P34" s="134" t="str">
        <f>IF(B34&gt;Coverage,"",SUM(Calc_Annual!U34,Calc_Annual!X34,Calc_Annual!AA34,Calc_Annual!AD34))</f>
        <v/>
      </c>
      <c r="Q34" s="134" t="str">
        <f>IF(B34&gt;Coverage,"",SUM(Calc_Annual!AF34,Calc_Annual!AI34,Calc_Annual!AL34,Calc_Annual!AO34))</f>
        <v/>
      </c>
      <c r="R34" s="134" t="str">
        <f>IF(B34&gt;Coverage,"",SUM(Calc_Annual!AG34,Calc_Annual!AJ34,Calc_Annual!AM34,Calc_Annual!AP34))</f>
        <v/>
      </c>
      <c r="S34" s="134" t="str">
        <f>IF(B34&gt;Coverage,"",SUM(Calc_Annual!AR34,Calc_Annual!AU34,Calc_Annual!AX34,Calc_Annual!BA34))</f>
        <v/>
      </c>
      <c r="T34" s="134" t="str">
        <f>IF(B34&gt;Coverage,"",SUM(Calc_Annual!AS34,Calc_Annual!AV34,Calc_Annual!AY34,Calc_Annual!BB34))</f>
        <v/>
      </c>
      <c r="U34" s="134" t="str">
        <f>IF(B34&gt;Coverage,"",VLOOKUP(MIN($C34,10),Assumption!$M$18:$N$28,2,0)*$I34+P34)</f>
        <v/>
      </c>
      <c r="V34" s="134" t="str">
        <f>IF(B34&gt;Coverage,"",VLOOKUP(MIN($C34,10),Assumption!$M$18:$N$28,2,0)*$I34+R34)</f>
        <v/>
      </c>
      <c r="W34" s="134" t="str">
        <f>IF(B34&gt;Coverage,"",VLOOKUP(MIN($C34,10),Assumption!$M$18:$N$28,2,0)*$I34+T34)</f>
        <v/>
      </c>
      <c r="X34" s="134" t="str">
        <f>IF(B34&gt;Coverage,"",SUM(Calc_Annual!V34,Calc_Annual!Y34,Calc_Annual!AB34,Calc_Annual!AE34))</f>
        <v/>
      </c>
      <c r="Y34" s="134" t="str">
        <f>IF(B34&gt;Coverage,"",SUM(Calc_Annual!AH34,Calc_Annual!AK34,Calc_Annual!AN34,Calc_Annual!AQ34))</f>
        <v/>
      </c>
      <c r="Z34" s="134" t="str">
        <f>IF(B34&gt;Coverage,"",SUM(Calc_Annual!AT34,Calc_Annual!AW34,Calc_Annual!AZ34,Calc_Annual!BC34))</f>
        <v/>
      </c>
    </row>
    <row r="35" ht="14.25" customHeight="1">
      <c r="A35" s="126">
        <v>28.0</v>
      </c>
      <c r="B35" s="129" t="str">
        <f>+IF(A35&gt;Coverage,"",A35)</f>
        <v/>
      </c>
      <c r="C35" s="134" t="str">
        <f>+IF(B35&gt;Coverage,"",IF(B35=1,Insured_Age,C34+1))</f>
        <v/>
      </c>
      <c r="D35" s="134" t="str">
        <f>+Calc_Annual!E35</f>
        <v/>
      </c>
      <c r="E35" s="134" t="str">
        <f>+Calc_Annual!F35</f>
        <v/>
      </c>
      <c r="F35" s="134" t="str">
        <f>+Calc_Annual!G35</f>
        <v/>
      </c>
      <c r="G35" s="134" t="str">
        <f>+Calc_Annual!H35</f>
        <v/>
      </c>
      <c r="H35" s="134" t="str">
        <f>+IF(B35&gt;Coverage,"",SUM(E$8:E35)+SUM(F$8:F35)-SUM(G$8:G35))</f>
        <v/>
      </c>
      <c r="I35" s="66" t="str">
        <f>+IF($B35&gt;Coverage,"",Calc_Annual!I35)</f>
        <v/>
      </c>
      <c r="J35" s="134" t="str">
        <f>+Calc_Annual!K35</f>
        <v/>
      </c>
      <c r="K35" s="134" t="str">
        <f>Calc_Annual!L35</f>
        <v/>
      </c>
      <c r="L35" s="134" t="str">
        <f>+Calc_Annual!Q35</f>
        <v/>
      </c>
      <c r="M35" s="134" t="str">
        <f>+Calc_Annual!R35</f>
        <v/>
      </c>
      <c r="N35" s="134" t="str">
        <f>+Calc_Annual!S35</f>
        <v/>
      </c>
      <c r="O35" s="134" t="str">
        <f>IF(B35&gt;Coverage,"",SUM(Calc_Annual!T35,Calc_Annual!W35,Calc_Annual!Z35,Calc_Annual!AC35))</f>
        <v/>
      </c>
      <c r="P35" s="134" t="str">
        <f>IF(B35&gt;Coverage,"",SUM(Calc_Annual!U35,Calc_Annual!X35,Calc_Annual!AA35,Calc_Annual!AD35))</f>
        <v/>
      </c>
      <c r="Q35" s="134" t="str">
        <f>IF(B35&gt;Coverage,"",SUM(Calc_Annual!AF35,Calc_Annual!AI35,Calc_Annual!AL35,Calc_Annual!AO35))</f>
        <v/>
      </c>
      <c r="R35" s="134" t="str">
        <f>IF(B35&gt;Coverage,"",SUM(Calc_Annual!AG35,Calc_Annual!AJ35,Calc_Annual!AM35,Calc_Annual!AP35))</f>
        <v/>
      </c>
      <c r="S35" s="134" t="str">
        <f>IF(B35&gt;Coverage,"",SUM(Calc_Annual!AR35,Calc_Annual!AU35,Calc_Annual!AX35,Calc_Annual!BA35))</f>
        <v/>
      </c>
      <c r="T35" s="134" t="str">
        <f>IF(B35&gt;Coverage,"",SUM(Calc_Annual!AS35,Calc_Annual!AV35,Calc_Annual!AY35,Calc_Annual!BB35))</f>
        <v/>
      </c>
      <c r="U35" s="134" t="str">
        <f>IF(B35&gt;Coverage,"",VLOOKUP(MIN($C35,10),Assumption!$M$18:$N$28,2,0)*$I35+P35)</f>
        <v/>
      </c>
      <c r="V35" s="134" t="str">
        <f>IF(B35&gt;Coverage,"",VLOOKUP(MIN($C35,10),Assumption!$M$18:$N$28,2,0)*$I35+R35)</f>
        <v/>
      </c>
      <c r="W35" s="134" t="str">
        <f>IF(B35&gt;Coverage,"",VLOOKUP(MIN($C35,10),Assumption!$M$18:$N$28,2,0)*$I35+T35)</f>
        <v/>
      </c>
      <c r="X35" s="134" t="str">
        <f>IF(B35&gt;Coverage,"",SUM(Calc_Annual!V35,Calc_Annual!Y35,Calc_Annual!AB35,Calc_Annual!AE35))</f>
        <v/>
      </c>
      <c r="Y35" s="134" t="str">
        <f>IF(B35&gt;Coverage,"",SUM(Calc_Annual!AH35,Calc_Annual!AK35,Calc_Annual!AN35,Calc_Annual!AQ35))</f>
        <v/>
      </c>
      <c r="Z35" s="134" t="str">
        <f>IF(B35&gt;Coverage,"",SUM(Calc_Annual!AT35,Calc_Annual!AW35,Calc_Annual!AZ35,Calc_Annual!BC35))</f>
        <v/>
      </c>
    </row>
    <row r="36" ht="14.25" customHeight="1">
      <c r="A36" s="126">
        <v>29.0</v>
      </c>
      <c r="B36" s="129" t="str">
        <f>+IF(A36&gt;Coverage,"",A36)</f>
        <v/>
      </c>
      <c r="C36" s="134" t="str">
        <f>+IF(B36&gt;Coverage,"",IF(B36=1,Insured_Age,C35+1))</f>
        <v/>
      </c>
      <c r="D36" s="134" t="str">
        <f>+Calc_Annual!E36</f>
        <v/>
      </c>
      <c r="E36" s="134" t="str">
        <f>+Calc_Annual!F36</f>
        <v/>
      </c>
      <c r="F36" s="134" t="str">
        <f>+Calc_Annual!G36</f>
        <v/>
      </c>
      <c r="G36" s="134" t="str">
        <f>+Calc_Annual!H36</f>
        <v/>
      </c>
      <c r="H36" s="134" t="str">
        <f>+IF(B36&gt;Coverage,"",SUM(E$8:E36)+SUM(F$8:F36)-SUM(G$8:G36))</f>
        <v/>
      </c>
      <c r="I36" s="66" t="str">
        <f>+IF($B36&gt;Coverage,"",Calc_Annual!I36)</f>
        <v/>
      </c>
      <c r="J36" s="134" t="str">
        <f>+Calc_Annual!K36</f>
        <v/>
      </c>
      <c r="K36" s="134" t="str">
        <f>Calc_Annual!L36</f>
        <v/>
      </c>
      <c r="L36" s="134" t="str">
        <f>+Calc_Annual!Q36</f>
        <v/>
      </c>
      <c r="M36" s="134" t="str">
        <f>+Calc_Annual!R36</f>
        <v/>
      </c>
      <c r="N36" s="134" t="str">
        <f>+Calc_Annual!S36</f>
        <v/>
      </c>
      <c r="O36" s="134" t="str">
        <f>IF(B36&gt;Coverage,"",SUM(Calc_Annual!T36,Calc_Annual!W36,Calc_Annual!Z36,Calc_Annual!AC36))</f>
        <v/>
      </c>
      <c r="P36" s="134" t="str">
        <f>IF(B36&gt;Coverage,"",SUM(Calc_Annual!U36,Calc_Annual!X36,Calc_Annual!AA36,Calc_Annual!AD36))</f>
        <v/>
      </c>
      <c r="Q36" s="134" t="str">
        <f>IF(B36&gt;Coverage,"",SUM(Calc_Annual!AF36,Calc_Annual!AI36,Calc_Annual!AL36,Calc_Annual!AO36))</f>
        <v/>
      </c>
      <c r="R36" s="134" t="str">
        <f>IF(B36&gt;Coverage,"",SUM(Calc_Annual!AG36,Calc_Annual!AJ36,Calc_Annual!AM36,Calc_Annual!AP36))</f>
        <v/>
      </c>
      <c r="S36" s="134" t="str">
        <f>IF(B36&gt;Coverage,"",SUM(Calc_Annual!AR36,Calc_Annual!AU36,Calc_Annual!AX36,Calc_Annual!BA36))</f>
        <v/>
      </c>
      <c r="T36" s="134" t="str">
        <f>IF(B36&gt;Coverage,"",SUM(Calc_Annual!AS36,Calc_Annual!AV36,Calc_Annual!AY36,Calc_Annual!BB36))</f>
        <v/>
      </c>
      <c r="U36" s="134" t="str">
        <f>IF(B36&gt;Coverage,"",VLOOKUP(MIN($C36,10),Assumption!$M$18:$N$28,2,0)*$I36+P36)</f>
        <v/>
      </c>
      <c r="V36" s="134" t="str">
        <f>IF(B36&gt;Coverage,"",VLOOKUP(MIN($C36,10),Assumption!$M$18:$N$28,2,0)*$I36+R36)</f>
        <v/>
      </c>
      <c r="W36" s="134" t="str">
        <f>IF(B36&gt;Coverage,"",VLOOKUP(MIN($C36,10),Assumption!$M$18:$N$28,2,0)*$I36+T36)</f>
        <v/>
      </c>
      <c r="X36" s="134" t="str">
        <f>IF(B36&gt;Coverage,"",SUM(Calc_Annual!V36,Calc_Annual!Y36,Calc_Annual!AB36,Calc_Annual!AE36))</f>
        <v/>
      </c>
      <c r="Y36" s="134" t="str">
        <f>IF(B36&gt;Coverage,"",SUM(Calc_Annual!AH36,Calc_Annual!AK36,Calc_Annual!AN36,Calc_Annual!AQ36))</f>
        <v/>
      </c>
      <c r="Z36" s="134" t="str">
        <f>IF(B36&gt;Coverage,"",SUM(Calc_Annual!AT36,Calc_Annual!AW36,Calc_Annual!AZ36,Calc_Annual!BC36))</f>
        <v/>
      </c>
    </row>
    <row r="37" ht="14.25" customHeight="1">
      <c r="A37" s="126">
        <v>30.0</v>
      </c>
      <c r="B37" s="129" t="str">
        <f>+IF(A37&gt;Coverage,"",A37)</f>
        <v/>
      </c>
      <c r="C37" s="134" t="str">
        <f>+IF(B37&gt;Coverage,"",IF(B37=1,Insured_Age,C36+1))</f>
        <v/>
      </c>
      <c r="D37" s="134" t="str">
        <f>+Calc_Annual!E37</f>
        <v/>
      </c>
      <c r="E37" s="134" t="str">
        <f>+Calc_Annual!F37</f>
        <v/>
      </c>
      <c r="F37" s="134" t="str">
        <f>+Calc_Annual!G37</f>
        <v/>
      </c>
      <c r="G37" s="134" t="str">
        <f>+Calc_Annual!H37</f>
        <v/>
      </c>
      <c r="H37" s="134" t="str">
        <f>+IF(B37&gt;Coverage,"",SUM(E$8:E37)+SUM(F$8:F37)-SUM(G$8:G37))</f>
        <v/>
      </c>
      <c r="I37" s="66" t="str">
        <f>+IF($B37&gt;Coverage,"",Calc_Annual!I37)</f>
        <v/>
      </c>
      <c r="J37" s="134" t="str">
        <f>+Calc_Annual!K37</f>
        <v/>
      </c>
      <c r="K37" s="134" t="str">
        <f>Calc_Annual!L37</f>
        <v/>
      </c>
      <c r="L37" s="134" t="str">
        <f>+Calc_Annual!Q37</f>
        <v/>
      </c>
      <c r="M37" s="134" t="str">
        <f>+Calc_Annual!R37</f>
        <v/>
      </c>
      <c r="N37" s="134" t="str">
        <f>+Calc_Annual!S37</f>
        <v/>
      </c>
      <c r="O37" s="134" t="str">
        <f>IF(B37&gt;Coverage,"",SUM(Calc_Annual!T37,Calc_Annual!W37,Calc_Annual!Z37,Calc_Annual!AC37))</f>
        <v/>
      </c>
      <c r="P37" s="134" t="str">
        <f>IF(B37&gt;Coverage,"",SUM(Calc_Annual!U37,Calc_Annual!X37,Calc_Annual!AA37,Calc_Annual!AD37))</f>
        <v/>
      </c>
      <c r="Q37" s="134" t="str">
        <f>IF(B37&gt;Coverage,"",SUM(Calc_Annual!AF37,Calc_Annual!AI37,Calc_Annual!AL37,Calc_Annual!AO37))</f>
        <v/>
      </c>
      <c r="R37" s="134" t="str">
        <f>IF(B37&gt;Coverage,"",SUM(Calc_Annual!AG37,Calc_Annual!AJ37,Calc_Annual!AM37,Calc_Annual!AP37))</f>
        <v/>
      </c>
      <c r="S37" s="134" t="str">
        <f>IF(B37&gt;Coverage,"",SUM(Calc_Annual!AR37,Calc_Annual!AU37,Calc_Annual!AX37,Calc_Annual!BA37))</f>
        <v/>
      </c>
      <c r="T37" s="134" t="str">
        <f>IF(B37&gt;Coverage,"",SUM(Calc_Annual!AS37,Calc_Annual!AV37,Calc_Annual!AY37,Calc_Annual!BB37))</f>
        <v/>
      </c>
      <c r="U37" s="134" t="str">
        <f>IF(B37&gt;Coverage,"",VLOOKUP(MIN($C37,10),Assumption!$M$18:$N$28,2,0)*$I37+P37)</f>
        <v/>
      </c>
      <c r="V37" s="134" t="str">
        <f>IF(B37&gt;Coverage,"",VLOOKUP(MIN($C37,10),Assumption!$M$18:$N$28,2,0)*$I37+R37)</f>
        <v/>
      </c>
      <c r="W37" s="134" t="str">
        <f>IF(B37&gt;Coverage,"",VLOOKUP(MIN($C37,10),Assumption!$M$18:$N$28,2,0)*$I37+T37)</f>
        <v/>
      </c>
      <c r="X37" s="134" t="str">
        <f>IF(B37&gt;Coverage,"",SUM(Calc_Annual!V37,Calc_Annual!Y37,Calc_Annual!AB37,Calc_Annual!AE37))</f>
        <v/>
      </c>
      <c r="Y37" s="134" t="str">
        <f>IF(B37&gt;Coverage,"",SUM(Calc_Annual!AH37,Calc_Annual!AK37,Calc_Annual!AN37,Calc_Annual!AQ37))</f>
        <v/>
      </c>
      <c r="Z37" s="134" t="str">
        <f>IF(B37&gt;Coverage,"",SUM(Calc_Annual!AT37,Calc_Annual!AW37,Calc_Annual!AZ37,Calc_Annual!BC37))</f>
        <v/>
      </c>
    </row>
    <row r="38" ht="14.25" customHeight="1">
      <c r="A38" s="126">
        <v>31.0</v>
      </c>
      <c r="B38" s="129" t="str">
        <f>+IF(A38&gt;Coverage,"",A38)</f>
        <v/>
      </c>
      <c r="C38" s="134" t="str">
        <f>+IF(B38&gt;Coverage,"",IF(B38=1,Insured_Age,C37+1))</f>
        <v/>
      </c>
      <c r="D38" s="134" t="str">
        <f>+Calc_Annual!E38</f>
        <v/>
      </c>
      <c r="E38" s="134" t="str">
        <f>+Calc_Annual!F38</f>
        <v/>
      </c>
      <c r="F38" s="134" t="str">
        <f>+Calc_Annual!G38</f>
        <v/>
      </c>
      <c r="G38" s="134" t="str">
        <f>+Calc_Annual!H38</f>
        <v/>
      </c>
      <c r="H38" s="134" t="str">
        <f>+IF(B38&gt;Coverage,"",SUM(E$8:E38)+SUM(F$8:F38)-SUM(G$8:G38))</f>
        <v/>
      </c>
      <c r="I38" s="66" t="str">
        <f>+IF($B38&gt;Coverage,"",Calc_Annual!I38)</f>
        <v/>
      </c>
      <c r="J38" s="134" t="str">
        <f>+Calc_Annual!K38</f>
        <v/>
      </c>
      <c r="K38" s="134" t="str">
        <f>Calc_Annual!L38</f>
        <v/>
      </c>
      <c r="L38" s="134" t="str">
        <f>+Calc_Annual!Q38</f>
        <v/>
      </c>
      <c r="M38" s="134" t="str">
        <f>+Calc_Annual!R38</f>
        <v/>
      </c>
      <c r="N38" s="134" t="str">
        <f>+Calc_Annual!S38</f>
        <v/>
      </c>
      <c r="O38" s="134" t="str">
        <f>IF(B38&gt;Coverage,"",SUM(Calc_Annual!T38,Calc_Annual!W38,Calc_Annual!Z38,Calc_Annual!AC38))</f>
        <v/>
      </c>
      <c r="P38" s="134" t="str">
        <f>IF(B38&gt;Coverage,"",SUM(Calc_Annual!U38,Calc_Annual!X38,Calc_Annual!AA38,Calc_Annual!AD38))</f>
        <v/>
      </c>
      <c r="Q38" s="134" t="str">
        <f>IF(B38&gt;Coverage,"",SUM(Calc_Annual!AF38,Calc_Annual!AI38,Calc_Annual!AL38,Calc_Annual!AO38))</f>
        <v/>
      </c>
      <c r="R38" s="134" t="str">
        <f>IF(B38&gt;Coverage,"",SUM(Calc_Annual!AG38,Calc_Annual!AJ38,Calc_Annual!AM38,Calc_Annual!AP38))</f>
        <v/>
      </c>
      <c r="S38" s="134" t="str">
        <f>IF(B38&gt;Coverage,"",SUM(Calc_Annual!AR38,Calc_Annual!AU38,Calc_Annual!AX38,Calc_Annual!BA38))</f>
        <v/>
      </c>
      <c r="T38" s="134" t="str">
        <f>IF(B38&gt;Coverage,"",SUM(Calc_Annual!AS38,Calc_Annual!AV38,Calc_Annual!AY38,Calc_Annual!BB38))</f>
        <v/>
      </c>
      <c r="U38" s="134" t="str">
        <f>IF(B38&gt;Coverage,"",VLOOKUP(MIN($C38,10),Assumption!$M$18:$N$28,2,0)*$I38+P38)</f>
        <v/>
      </c>
      <c r="V38" s="134" t="str">
        <f>IF(B38&gt;Coverage,"",VLOOKUP(MIN($C38,10),Assumption!$M$18:$N$28,2,0)*$I38+R38)</f>
        <v/>
      </c>
      <c r="W38" s="134" t="str">
        <f>IF(B38&gt;Coverage,"",VLOOKUP(MIN($C38,10),Assumption!$M$18:$N$28,2,0)*$I38+T38)</f>
        <v/>
      </c>
      <c r="X38" s="134" t="str">
        <f>IF(B38&gt;Coverage,"",SUM(Calc_Annual!V38,Calc_Annual!Y38,Calc_Annual!AB38,Calc_Annual!AE38))</f>
        <v/>
      </c>
      <c r="Y38" s="134" t="str">
        <f>IF(B38&gt;Coverage,"",SUM(Calc_Annual!AH38,Calc_Annual!AK38,Calc_Annual!AN38,Calc_Annual!AQ38))</f>
        <v/>
      </c>
      <c r="Z38" s="134" t="str">
        <f>IF(B38&gt;Coverage,"",SUM(Calc_Annual!AT38,Calc_Annual!AW38,Calc_Annual!AZ38,Calc_Annual!BC38))</f>
        <v/>
      </c>
    </row>
    <row r="39" ht="14.25" customHeight="1">
      <c r="A39" s="126">
        <v>32.0</v>
      </c>
      <c r="B39" s="129" t="str">
        <f>+IF(A39&gt;Coverage,"",A39)</f>
        <v/>
      </c>
      <c r="C39" s="134" t="str">
        <f>+IF(B39&gt;Coverage,"",IF(B39=1,Insured_Age,C38+1))</f>
        <v/>
      </c>
      <c r="D39" s="134" t="str">
        <f>+Calc_Annual!E39</f>
        <v/>
      </c>
      <c r="E39" s="134" t="str">
        <f>+Calc_Annual!F39</f>
        <v/>
      </c>
      <c r="F39" s="134" t="str">
        <f>+Calc_Annual!G39</f>
        <v/>
      </c>
      <c r="G39" s="134" t="str">
        <f>+Calc_Annual!H39</f>
        <v/>
      </c>
      <c r="H39" s="134" t="str">
        <f>+IF(B39&gt;Coverage,"",SUM(E$8:E39)+SUM(F$8:F39)-SUM(G$8:G39))</f>
        <v/>
      </c>
      <c r="I39" s="66" t="str">
        <f>+IF($B39&gt;Coverage,"",Calc_Annual!I39)</f>
        <v/>
      </c>
      <c r="J39" s="134" t="str">
        <f>+Calc_Annual!K39</f>
        <v/>
      </c>
      <c r="K39" s="134" t="str">
        <f>Calc_Annual!L39</f>
        <v/>
      </c>
      <c r="L39" s="134" t="str">
        <f>+Calc_Annual!Q39</f>
        <v/>
      </c>
      <c r="M39" s="134" t="str">
        <f>+Calc_Annual!R39</f>
        <v/>
      </c>
      <c r="N39" s="134" t="str">
        <f>+Calc_Annual!S39</f>
        <v/>
      </c>
      <c r="O39" s="134" t="str">
        <f>IF(B39&gt;Coverage,"",SUM(Calc_Annual!T39,Calc_Annual!W39,Calc_Annual!Z39,Calc_Annual!AC39))</f>
        <v/>
      </c>
      <c r="P39" s="134" t="str">
        <f>IF(B39&gt;Coverage,"",SUM(Calc_Annual!U39,Calc_Annual!X39,Calc_Annual!AA39,Calc_Annual!AD39))</f>
        <v/>
      </c>
      <c r="Q39" s="134" t="str">
        <f>IF(B39&gt;Coverage,"",SUM(Calc_Annual!AF39,Calc_Annual!AI39,Calc_Annual!AL39,Calc_Annual!AO39))</f>
        <v/>
      </c>
      <c r="R39" s="134" t="str">
        <f>IF(B39&gt;Coverage,"",SUM(Calc_Annual!AG39,Calc_Annual!AJ39,Calc_Annual!AM39,Calc_Annual!AP39))</f>
        <v/>
      </c>
      <c r="S39" s="134" t="str">
        <f>IF(B39&gt;Coverage,"",SUM(Calc_Annual!AR39,Calc_Annual!AU39,Calc_Annual!AX39,Calc_Annual!BA39))</f>
        <v/>
      </c>
      <c r="T39" s="134" t="str">
        <f>IF(B39&gt;Coverage,"",SUM(Calc_Annual!AS39,Calc_Annual!AV39,Calc_Annual!AY39,Calc_Annual!BB39))</f>
        <v/>
      </c>
      <c r="U39" s="134" t="str">
        <f>IF(B39&gt;Coverage,"",VLOOKUP(MIN($C39,10),Assumption!$M$18:$N$28,2,0)*$I39+P39)</f>
        <v/>
      </c>
      <c r="V39" s="134" t="str">
        <f>IF(B39&gt;Coverage,"",VLOOKUP(MIN($C39,10),Assumption!$M$18:$N$28,2,0)*$I39+R39)</f>
        <v/>
      </c>
      <c r="W39" s="134" t="str">
        <f>IF(B39&gt;Coverage,"",VLOOKUP(MIN($C39,10),Assumption!$M$18:$N$28,2,0)*$I39+T39)</f>
        <v/>
      </c>
      <c r="X39" s="134" t="str">
        <f>IF(B39&gt;Coverage,"",SUM(Calc_Annual!V39,Calc_Annual!Y39,Calc_Annual!AB39,Calc_Annual!AE39))</f>
        <v/>
      </c>
      <c r="Y39" s="134" t="str">
        <f>IF(B39&gt;Coverage,"",SUM(Calc_Annual!AH39,Calc_Annual!AK39,Calc_Annual!AN39,Calc_Annual!AQ39))</f>
        <v/>
      </c>
      <c r="Z39" s="134" t="str">
        <f>IF(B39&gt;Coverage,"",SUM(Calc_Annual!AT39,Calc_Annual!AW39,Calc_Annual!AZ39,Calc_Annual!BC39))</f>
        <v/>
      </c>
    </row>
    <row r="40" ht="14.25" customHeight="1">
      <c r="A40" s="126">
        <v>33.0</v>
      </c>
      <c r="B40" s="129" t="str">
        <f>+IF(A40&gt;Coverage,"",A40)</f>
        <v/>
      </c>
      <c r="C40" s="134" t="str">
        <f>+IF(B40&gt;Coverage,"",IF(B40=1,Insured_Age,C39+1))</f>
        <v/>
      </c>
      <c r="D40" s="134" t="str">
        <f>+Calc_Annual!E40</f>
        <v/>
      </c>
      <c r="E40" s="134" t="str">
        <f>+Calc_Annual!F40</f>
        <v/>
      </c>
      <c r="F40" s="134" t="str">
        <f>+Calc_Annual!G40</f>
        <v/>
      </c>
      <c r="G40" s="134" t="str">
        <f>+Calc_Annual!H40</f>
        <v/>
      </c>
      <c r="H40" s="134" t="str">
        <f>+IF(B40&gt;Coverage,"",SUM(E$8:E40)+SUM(F$8:F40)-SUM(G$8:G40))</f>
        <v/>
      </c>
      <c r="I40" s="66" t="str">
        <f>+IF($B40&gt;Coverage,"",Calc_Annual!I40)</f>
        <v/>
      </c>
      <c r="J40" s="134" t="str">
        <f>+Calc_Annual!K40</f>
        <v/>
      </c>
      <c r="K40" s="134" t="str">
        <f>Calc_Annual!L40</f>
        <v/>
      </c>
      <c r="L40" s="134" t="str">
        <f>+Calc_Annual!Q40</f>
        <v/>
      </c>
      <c r="M40" s="134" t="str">
        <f>+Calc_Annual!R40</f>
        <v/>
      </c>
      <c r="N40" s="134" t="str">
        <f>+Calc_Annual!S40</f>
        <v/>
      </c>
      <c r="O40" s="134" t="str">
        <f>IF(B40&gt;Coverage,"",SUM(Calc_Annual!T40,Calc_Annual!W40,Calc_Annual!Z40,Calc_Annual!AC40))</f>
        <v/>
      </c>
      <c r="P40" s="134" t="str">
        <f>IF(B40&gt;Coverage,"",SUM(Calc_Annual!U40,Calc_Annual!X40,Calc_Annual!AA40,Calc_Annual!AD40))</f>
        <v/>
      </c>
      <c r="Q40" s="134" t="str">
        <f>IF(B40&gt;Coverage,"",SUM(Calc_Annual!AF40,Calc_Annual!AI40,Calc_Annual!AL40,Calc_Annual!AO40))</f>
        <v/>
      </c>
      <c r="R40" s="134" t="str">
        <f>IF(B40&gt;Coverage,"",SUM(Calc_Annual!AG40,Calc_Annual!AJ40,Calc_Annual!AM40,Calc_Annual!AP40))</f>
        <v/>
      </c>
      <c r="S40" s="134" t="str">
        <f>IF(B40&gt;Coverage,"",SUM(Calc_Annual!AR40,Calc_Annual!AU40,Calc_Annual!AX40,Calc_Annual!BA40))</f>
        <v/>
      </c>
      <c r="T40" s="134" t="str">
        <f>IF(B40&gt;Coverage,"",SUM(Calc_Annual!AS40,Calc_Annual!AV40,Calc_Annual!AY40,Calc_Annual!BB40))</f>
        <v/>
      </c>
      <c r="U40" s="134" t="str">
        <f>IF(B40&gt;Coverage,"",VLOOKUP(MIN($C40,10),Assumption!$M$18:$N$28,2,0)*$I40+P40)</f>
        <v/>
      </c>
      <c r="V40" s="134" t="str">
        <f>IF(B40&gt;Coverage,"",VLOOKUP(MIN($C40,10),Assumption!$M$18:$N$28,2,0)*$I40+R40)</f>
        <v/>
      </c>
      <c r="W40" s="134" t="str">
        <f>IF(B40&gt;Coverage,"",VLOOKUP(MIN($C40,10),Assumption!$M$18:$N$28,2,0)*$I40+T40)</f>
        <v/>
      </c>
      <c r="X40" s="134" t="str">
        <f>IF(B40&gt;Coverage,"",SUM(Calc_Annual!V40,Calc_Annual!Y40,Calc_Annual!AB40,Calc_Annual!AE40))</f>
        <v/>
      </c>
      <c r="Y40" s="134" t="str">
        <f>IF(B40&gt;Coverage,"",SUM(Calc_Annual!AH40,Calc_Annual!AK40,Calc_Annual!AN40,Calc_Annual!AQ40))</f>
        <v/>
      </c>
      <c r="Z40" s="134" t="str">
        <f>IF(B40&gt;Coverage,"",SUM(Calc_Annual!AT40,Calc_Annual!AW40,Calc_Annual!AZ40,Calc_Annual!BC40))</f>
        <v/>
      </c>
    </row>
    <row r="41" ht="14.25" customHeight="1">
      <c r="A41" s="126">
        <v>34.0</v>
      </c>
      <c r="B41" s="129" t="str">
        <f>+IF(A41&gt;Coverage,"",A41)</f>
        <v/>
      </c>
      <c r="C41" s="134" t="str">
        <f>+IF(B41&gt;Coverage,"",IF(B41=1,Insured_Age,C40+1))</f>
        <v/>
      </c>
      <c r="D41" s="134" t="str">
        <f>+Calc_Annual!E41</f>
        <v/>
      </c>
      <c r="E41" s="134" t="str">
        <f>+Calc_Annual!F41</f>
        <v/>
      </c>
      <c r="F41" s="134" t="str">
        <f>+Calc_Annual!G41</f>
        <v/>
      </c>
      <c r="G41" s="134" t="str">
        <f>+Calc_Annual!H41</f>
        <v/>
      </c>
      <c r="H41" s="134" t="str">
        <f>+IF(B41&gt;Coverage,"",SUM(E$8:E41)+SUM(F$8:F41)-SUM(G$8:G41))</f>
        <v/>
      </c>
      <c r="I41" s="66" t="str">
        <f>+IF($B41&gt;Coverage,"",Calc_Annual!I41)</f>
        <v/>
      </c>
      <c r="J41" s="134" t="str">
        <f>+Calc_Annual!K41</f>
        <v/>
      </c>
      <c r="K41" s="134" t="str">
        <f>Calc_Annual!L41</f>
        <v/>
      </c>
      <c r="L41" s="134" t="str">
        <f>+Calc_Annual!Q41</f>
        <v/>
      </c>
      <c r="M41" s="134" t="str">
        <f>+Calc_Annual!R41</f>
        <v/>
      </c>
      <c r="N41" s="134" t="str">
        <f>+Calc_Annual!S41</f>
        <v/>
      </c>
      <c r="O41" s="134" t="str">
        <f>IF(B41&gt;Coverage,"",SUM(Calc_Annual!T41,Calc_Annual!W41,Calc_Annual!Z41,Calc_Annual!AC41))</f>
        <v/>
      </c>
      <c r="P41" s="134" t="str">
        <f>IF(B41&gt;Coverage,"",SUM(Calc_Annual!U41,Calc_Annual!X41,Calc_Annual!AA41,Calc_Annual!AD41))</f>
        <v/>
      </c>
      <c r="Q41" s="134" t="str">
        <f>IF(B41&gt;Coverage,"",SUM(Calc_Annual!AF41,Calc_Annual!AI41,Calc_Annual!AL41,Calc_Annual!AO41))</f>
        <v/>
      </c>
      <c r="R41" s="134" t="str">
        <f>IF(B41&gt;Coverage,"",SUM(Calc_Annual!AG41,Calc_Annual!AJ41,Calc_Annual!AM41,Calc_Annual!AP41))</f>
        <v/>
      </c>
      <c r="S41" s="134" t="str">
        <f>IF(B41&gt;Coverage,"",SUM(Calc_Annual!AR41,Calc_Annual!AU41,Calc_Annual!AX41,Calc_Annual!BA41))</f>
        <v/>
      </c>
      <c r="T41" s="134" t="str">
        <f>IF(B41&gt;Coverage,"",SUM(Calc_Annual!AS41,Calc_Annual!AV41,Calc_Annual!AY41,Calc_Annual!BB41))</f>
        <v/>
      </c>
      <c r="U41" s="134" t="str">
        <f>IF(B41&gt;Coverage,"",VLOOKUP(MIN($C41,10),Assumption!$M$18:$N$28,2,0)*$I41+P41)</f>
        <v/>
      </c>
      <c r="V41" s="134" t="str">
        <f>IF(B41&gt;Coverage,"",VLOOKUP(MIN($C41,10),Assumption!$M$18:$N$28,2,0)*$I41+R41)</f>
        <v/>
      </c>
      <c r="W41" s="134" t="str">
        <f>IF(B41&gt;Coverage,"",VLOOKUP(MIN($C41,10),Assumption!$M$18:$N$28,2,0)*$I41+T41)</f>
        <v/>
      </c>
      <c r="X41" s="134" t="str">
        <f>IF(B41&gt;Coverage,"",SUM(Calc_Annual!V41,Calc_Annual!Y41,Calc_Annual!AB41,Calc_Annual!AE41))</f>
        <v/>
      </c>
      <c r="Y41" s="134" t="str">
        <f>IF(B41&gt;Coverage,"",SUM(Calc_Annual!AH41,Calc_Annual!AK41,Calc_Annual!AN41,Calc_Annual!AQ41))</f>
        <v/>
      </c>
      <c r="Z41" s="134" t="str">
        <f>IF(B41&gt;Coverage,"",SUM(Calc_Annual!AT41,Calc_Annual!AW41,Calc_Annual!AZ41,Calc_Annual!BC41))</f>
        <v/>
      </c>
    </row>
    <row r="42" ht="14.25" customHeight="1">
      <c r="A42" s="126">
        <v>35.0</v>
      </c>
      <c r="B42" s="129" t="str">
        <f>+IF(A42&gt;Coverage,"",A42)</f>
        <v/>
      </c>
      <c r="C42" s="134" t="str">
        <f>+IF(B42&gt;Coverage,"",IF(B42=1,Insured_Age,C41+1))</f>
        <v/>
      </c>
      <c r="D42" s="134" t="str">
        <f>+Calc_Annual!E42</f>
        <v/>
      </c>
      <c r="E42" s="134" t="str">
        <f>+Calc_Annual!F42</f>
        <v/>
      </c>
      <c r="F42" s="134" t="str">
        <f>+Calc_Annual!G42</f>
        <v/>
      </c>
      <c r="G42" s="134" t="str">
        <f>+Calc_Annual!H42</f>
        <v/>
      </c>
      <c r="H42" s="134" t="str">
        <f>+IF(B42&gt;Coverage,"",SUM(E$8:E42)+SUM(F$8:F42)-SUM(G$8:G42))</f>
        <v/>
      </c>
      <c r="I42" s="66" t="str">
        <f>+IF($B42&gt;Coverage,"",Calc_Annual!I42)</f>
        <v/>
      </c>
      <c r="J42" s="134" t="str">
        <f>+Calc_Annual!K42</f>
        <v/>
      </c>
      <c r="K42" s="134" t="str">
        <f>Calc_Annual!L42</f>
        <v/>
      </c>
      <c r="L42" s="134" t="str">
        <f>+Calc_Annual!Q42</f>
        <v/>
      </c>
      <c r="M42" s="134" t="str">
        <f>+Calc_Annual!R42</f>
        <v/>
      </c>
      <c r="N42" s="134" t="str">
        <f>+Calc_Annual!S42</f>
        <v/>
      </c>
      <c r="O42" s="134" t="str">
        <f>IF(B42&gt;Coverage,"",SUM(Calc_Annual!T42,Calc_Annual!W42,Calc_Annual!Z42,Calc_Annual!AC42))</f>
        <v/>
      </c>
      <c r="P42" s="134" t="str">
        <f>IF(B42&gt;Coverage,"",SUM(Calc_Annual!U42,Calc_Annual!X42,Calc_Annual!AA42,Calc_Annual!AD42))</f>
        <v/>
      </c>
      <c r="Q42" s="134" t="str">
        <f>IF(B42&gt;Coverage,"",SUM(Calc_Annual!AF42,Calc_Annual!AI42,Calc_Annual!AL42,Calc_Annual!AO42))</f>
        <v/>
      </c>
      <c r="R42" s="134" t="str">
        <f>IF(B42&gt;Coverage,"",SUM(Calc_Annual!AG42,Calc_Annual!AJ42,Calc_Annual!AM42,Calc_Annual!AP42))</f>
        <v/>
      </c>
      <c r="S42" s="134" t="str">
        <f>IF(B42&gt;Coverage,"",SUM(Calc_Annual!AR42,Calc_Annual!AU42,Calc_Annual!AX42,Calc_Annual!BA42))</f>
        <v/>
      </c>
      <c r="T42" s="134" t="str">
        <f>IF(B42&gt;Coverage,"",SUM(Calc_Annual!AS42,Calc_Annual!AV42,Calc_Annual!AY42,Calc_Annual!BB42))</f>
        <v/>
      </c>
      <c r="U42" s="134" t="str">
        <f>IF(B42&gt;Coverage,"",VLOOKUP(MIN($C42,10),Assumption!$M$18:$N$28,2,0)*$I42+P42)</f>
        <v/>
      </c>
      <c r="V42" s="134" t="str">
        <f>IF(B42&gt;Coverage,"",VLOOKUP(MIN($C42,10),Assumption!$M$18:$N$28,2,0)*$I42+R42)</f>
        <v/>
      </c>
      <c r="W42" s="134" t="str">
        <f>IF(B42&gt;Coverage,"",VLOOKUP(MIN($C42,10),Assumption!$M$18:$N$28,2,0)*$I42+T42)</f>
        <v/>
      </c>
      <c r="X42" s="134" t="str">
        <f>IF(B42&gt;Coverage,"",SUM(Calc_Annual!V42,Calc_Annual!Y42,Calc_Annual!AB42,Calc_Annual!AE42))</f>
        <v/>
      </c>
      <c r="Y42" s="134" t="str">
        <f>IF(B42&gt;Coverage,"",SUM(Calc_Annual!AH42,Calc_Annual!AK42,Calc_Annual!AN42,Calc_Annual!AQ42))</f>
        <v/>
      </c>
      <c r="Z42" s="134" t="str">
        <f>IF(B42&gt;Coverage,"",SUM(Calc_Annual!AT42,Calc_Annual!AW42,Calc_Annual!AZ42,Calc_Annual!BC42))</f>
        <v/>
      </c>
    </row>
    <row r="43" ht="14.25" customHeight="1">
      <c r="A43" s="126">
        <v>36.0</v>
      </c>
      <c r="B43" s="129" t="str">
        <f>+IF(A43&gt;Coverage,"",A43)</f>
        <v/>
      </c>
      <c r="C43" s="134" t="str">
        <f>+IF(B43&gt;Coverage,"",IF(B43=1,Insured_Age,C42+1))</f>
        <v/>
      </c>
      <c r="D43" s="134" t="str">
        <f>+Calc_Annual!E43</f>
        <v/>
      </c>
      <c r="E43" s="134" t="str">
        <f>+Calc_Annual!F43</f>
        <v/>
      </c>
      <c r="F43" s="134" t="str">
        <f>+Calc_Annual!G43</f>
        <v/>
      </c>
      <c r="G43" s="134" t="str">
        <f>+Calc_Annual!H43</f>
        <v/>
      </c>
      <c r="H43" s="134" t="str">
        <f>+IF(B43&gt;Coverage,"",SUM(E$8:E43)+SUM(F$8:F43)-SUM(G$8:G43))</f>
        <v/>
      </c>
      <c r="I43" s="66" t="str">
        <f>+IF($B43&gt;Coverage,"",Calc_Annual!I43)</f>
        <v/>
      </c>
      <c r="J43" s="134" t="str">
        <f>+Calc_Annual!K43</f>
        <v/>
      </c>
      <c r="K43" s="134" t="str">
        <f>Calc_Annual!L43</f>
        <v/>
      </c>
      <c r="L43" s="134" t="str">
        <f>+Calc_Annual!Q43</f>
        <v/>
      </c>
      <c r="M43" s="134" t="str">
        <f>+Calc_Annual!R43</f>
        <v/>
      </c>
      <c r="N43" s="134" t="str">
        <f>+Calc_Annual!S43</f>
        <v/>
      </c>
      <c r="O43" s="134" t="str">
        <f>IF(B43&gt;Coverage,"",SUM(Calc_Annual!T43,Calc_Annual!W43,Calc_Annual!Z43,Calc_Annual!AC43))</f>
        <v/>
      </c>
      <c r="P43" s="134" t="str">
        <f>IF(B43&gt;Coverage,"",SUM(Calc_Annual!U43,Calc_Annual!X43,Calc_Annual!AA43,Calc_Annual!AD43))</f>
        <v/>
      </c>
      <c r="Q43" s="134" t="str">
        <f>IF(B43&gt;Coverage,"",SUM(Calc_Annual!AF43,Calc_Annual!AI43,Calc_Annual!AL43,Calc_Annual!AO43))</f>
        <v/>
      </c>
      <c r="R43" s="134" t="str">
        <f>IF(B43&gt;Coverage,"",SUM(Calc_Annual!AG43,Calc_Annual!AJ43,Calc_Annual!AM43,Calc_Annual!AP43))</f>
        <v/>
      </c>
      <c r="S43" s="134" t="str">
        <f>IF(B43&gt;Coverage,"",SUM(Calc_Annual!AR43,Calc_Annual!AU43,Calc_Annual!AX43,Calc_Annual!BA43))</f>
        <v/>
      </c>
      <c r="T43" s="134" t="str">
        <f>IF(B43&gt;Coverage,"",SUM(Calc_Annual!AS43,Calc_Annual!AV43,Calc_Annual!AY43,Calc_Annual!BB43))</f>
        <v/>
      </c>
      <c r="U43" s="134" t="str">
        <f>IF(B43&gt;Coverage,"",VLOOKUP(MIN($C43,10),Assumption!$M$18:$N$28,2,0)*$I43+P43)</f>
        <v/>
      </c>
      <c r="V43" s="134" t="str">
        <f>IF(B43&gt;Coverage,"",VLOOKUP(MIN($C43,10),Assumption!$M$18:$N$28,2,0)*$I43+R43)</f>
        <v/>
      </c>
      <c r="W43" s="134" t="str">
        <f>IF(B43&gt;Coverage,"",VLOOKUP(MIN($C43,10),Assumption!$M$18:$N$28,2,0)*$I43+T43)</f>
        <v/>
      </c>
      <c r="X43" s="134" t="str">
        <f>IF(B43&gt;Coverage,"",SUM(Calc_Annual!V43,Calc_Annual!Y43,Calc_Annual!AB43,Calc_Annual!AE43))</f>
        <v/>
      </c>
      <c r="Y43" s="134" t="str">
        <f>IF(B43&gt;Coverage,"",SUM(Calc_Annual!AH43,Calc_Annual!AK43,Calc_Annual!AN43,Calc_Annual!AQ43))</f>
        <v/>
      </c>
      <c r="Z43" s="134" t="str">
        <f>IF(B43&gt;Coverage,"",SUM(Calc_Annual!AT43,Calc_Annual!AW43,Calc_Annual!AZ43,Calc_Annual!BC43))</f>
        <v/>
      </c>
    </row>
    <row r="44" ht="14.25" customHeight="1">
      <c r="A44" s="126">
        <v>37.0</v>
      </c>
      <c r="B44" s="129" t="str">
        <f>+IF(A44&gt;Coverage,"",A44)</f>
        <v/>
      </c>
      <c r="C44" s="134" t="str">
        <f>+IF(B44&gt;Coverage,"",IF(B44=1,Insured_Age,C43+1))</f>
        <v/>
      </c>
      <c r="D44" s="134" t="str">
        <f>+Calc_Annual!E44</f>
        <v/>
      </c>
      <c r="E44" s="134" t="str">
        <f>+Calc_Annual!F44</f>
        <v/>
      </c>
      <c r="F44" s="134" t="str">
        <f>+Calc_Annual!G44</f>
        <v/>
      </c>
      <c r="G44" s="134" t="str">
        <f>+Calc_Annual!H44</f>
        <v/>
      </c>
      <c r="H44" s="134" t="str">
        <f>+IF(B44&gt;Coverage,"",SUM(E$8:E44)+SUM(F$8:F44)-SUM(G$8:G44))</f>
        <v/>
      </c>
      <c r="I44" s="66" t="str">
        <f>+IF($B44&gt;Coverage,"",Calc_Annual!I44)</f>
        <v/>
      </c>
      <c r="J44" s="134" t="str">
        <f>+Calc_Annual!K44</f>
        <v/>
      </c>
      <c r="K44" s="134" t="str">
        <f>Calc_Annual!L44</f>
        <v/>
      </c>
      <c r="L44" s="134" t="str">
        <f>+Calc_Annual!Q44</f>
        <v/>
      </c>
      <c r="M44" s="134" t="str">
        <f>+Calc_Annual!R44</f>
        <v/>
      </c>
      <c r="N44" s="134" t="str">
        <f>+Calc_Annual!S44</f>
        <v/>
      </c>
      <c r="O44" s="134" t="str">
        <f>IF(B44&gt;Coverage,"",SUM(Calc_Annual!T44,Calc_Annual!W44,Calc_Annual!Z44,Calc_Annual!AC44))</f>
        <v/>
      </c>
      <c r="P44" s="134" t="str">
        <f>IF(B44&gt;Coverage,"",SUM(Calc_Annual!U44,Calc_Annual!X44,Calc_Annual!AA44,Calc_Annual!AD44))</f>
        <v/>
      </c>
      <c r="Q44" s="134" t="str">
        <f>IF(B44&gt;Coverage,"",SUM(Calc_Annual!AF44,Calc_Annual!AI44,Calc_Annual!AL44,Calc_Annual!AO44))</f>
        <v/>
      </c>
      <c r="R44" s="134" t="str">
        <f>IF(B44&gt;Coverage,"",SUM(Calc_Annual!AG44,Calc_Annual!AJ44,Calc_Annual!AM44,Calc_Annual!AP44))</f>
        <v/>
      </c>
      <c r="S44" s="134" t="str">
        <f>IF(B44&gt;Coverage,"",SUM(Calc_Annual!AR44,Calc_Annual!AU44,Calc_Annual!AX44,Calc_Annual!BA44))</f>
        <v/>
      </c>
      <c r="T44" s="134" t="str">
        <f>IF(B44&gt;Coverage,"",SUM(Calc_Annual!AS44,Calc_Annual!AV44,Calc_Annual!AY44,Calc_Annual!BB44))</f>
        <v/>
      </c>
      <c r="U44" s="134" t="str">
        <f>IF(B44&gt;Coverage,"",VLOOKUP(MIN($C44,10),Assumption!$M$18:$N$28,2,0)*$I44+P44)</f>
        <v/>
      </c>
      <c r="V44" s="134" t="str">
        <f>IF(B44&gt;Coverage,"",VLOOKUP(MIN($C44,10),Assumption!$M$18:$N$28,2,0)*$I44+R44)</f>
        <v/>
      </c>
      <c r="W44" s="134" t="str">
        <f>IF(B44&gt;Coverage,"",VLOOKUP(MIN($C44,10),Assumption!$M$18:$N$28,2,0)*$I44+T44)</f>
        <v/>
      </c>
      <c r="X44" s="134" t="str">
        <f>IF(B44&gt;Coverage,"",SUM(Calc_Annual!V44,Calc_Annual!Y44,Calc_Annual!AB44,Calc_Annual!AE44))</f>
        <v/>
      </c>
      <c r="Y44" s="134" t="str">
        <f>IF(B44&gt;Coverage,"",SUM(Calc_Annual!AH44,Calc_Annual!AK44,Calc_Annual!AN44,Calc_Annual!AQ44))</f>
        <v/>
      </c>
      <c r="Z44" s="134" t="str">
        <f>IF(B44&gt;Coverage,"",SUM(Calc_Annual!AT44,Calc_Annual!AW44,Calc_Annual!AZ44,Calc_Annual!BC44))</f>
        <v/>
      </c>
    </row>
    <row r="45" ht="14.25" customHeight="1">
      <c r="A45" s="126">
        <v>38.0</v>
      </c>
      <c r="B45" s="129" t="str">
        <f>+IF(A45&gt;Coverage,"",A45)</f>
        <v/>
      </c>
      <c r="C45" s="134" t="str">
        <f>+IF(B45&gt;Coverage,"",IF(B45=1,Insured_Age,C44+1))</f>
        <v/>
      </c>
      <c r="D45" s="134" t="str">
        <f>+Calc_Annual!E45</f>
        <v/>
      </c>
      <c r="E45" s="134" t="str">
        <f>+Calc_Annual!F45</f>
        <v/>
      </c>
      <c r="F45" s="134" t="str">
        <f>+Calc_Annual!G45</f>
        <v/>
      </c>
      <c r="G45" s="134" t="str">
        <f>+Calc_Annual!H45</f>
        <v/>
      </c>
      <c r="H45" s="134" t="str">
        <f>+IF(B45&gt;Coverage,"",SUM(E$8:E45)+SUM(F$8:F45)-SUM(G$8:G45))</f>
        <v/>
      </c>
      <c r="I45" s="66" t="str">
        <f>+IF($B45&gt;Coverage,"",Calc_Annual!I45)</f>
        <v/>
      </c>
      <c r="J45" s="134" t="str">
        <f>+Calc_Annual!K45</f>
        <v/>
      </c>
      <c r="K45" s="134" t="str">
        <f>Calc_Annual!L45</f>
        <v/>
      </c>
      <c r="L45" s="134" t="str">
        <f>+Calc_Annual!Q45</f>
        <v/>
      </c>
      <c r="M45" s="134" t="str">
        <f>+Calc_Annual!R45</f>
        <v/>
      </c>
      <c r="N45" s="134" t="str">
        <f>+Calc_Annual!S45</f>
        <v/>
      </c>
      <c r="O45" s="134" t="str">
        <f>IF(B45&gt;Coverage,"",SUM(Calc_Annual!T45,Calc_Annual!W45,Calc_Annual!Z45,Calc_Annual!AC45))</f>
        <v/>
      </c>
      <c r="P45" s="134" t="str">
        <f>IF(B45&gt;Coverage,"",SUM(Calc_Annual!U45,Calc_Annual!X45,Calc_Annual!AA45,Calc_Annual!AD45))</f>
        <v/>
      </c>
      <c r="Q45" s="134" t="str">
        <f>IF(B45&gt;Coverage,"",SUM(Calc_Annual!AF45,Calc_Annual!AI45,Calc_Annual!AL45,Calc_Annual!AO45))</f>
        <v/>
      </c>
      <c r="R45" s="134" t="str">
        <f>IF(B45&gt;Coverage,"",SUM(Calc_Annual!AG45,Calc_Annual!AJ45,Calc_Annual!AM45,Calc_Annual!AP45))</f>
        <v/>
      </c>
      <c r="S45" s="134" t="str">
        <f>IF(B45&gt;Coverage,"",SUM(Calc_Annual!AR45,Calc_Annual!AU45,Calc_Annual!AX45,Calc_Annual!BA45))</f>
        <v/>
      </c>
      <c r="T45" s="134" t="str">
        <f>IF(B45&gt;Coverage,"",SUM(Calc_Annual!AS45,Calc_Annual!AV45,Calc_Annual!AY45,Calc_Annual!BB45))</f>
        <v/>
      </c>
      <c r="U45" s="134" t="str">
        <f>IF(B45&gt;Coverage,"",VLOOKUP(MIN($C45,10),Assumption!$M$18:$N$28,2,0)*$I45+P45)</f>
        <v/>
      </c>
      <c r="V45" s="134" t="str">
        <f>IF(B45&gt;Coverage,"",VLOOKUP(MIN($C45,10),Assumption!$M$18:$N$28,2,0)*$I45+R45)</f>
        <v/>
      </c>
      <c r="W45" s="134" t="str">
        <f>IF(B45&gt;Coverage,"",VLOOKUP(MIN($C45,10),Assumption!$M$18:$N$28,2,0)*$I45+T45)</f>
        <v/>
      </c>
      <c r="X45" s="134" t="str">
        <f>IF(B45&gt;Coverage,"",SUM(Calc_Annual!V45,Calc_Annual!Y45,Calc_Annual!AB45,Calc_Annual!AE45))</f>
        <v/>
      </c>
      <c r="Y45" s="134" t="str">
        <f>IF(B45&gt;Coverage,"",SUM(Calc_Annual!AH45,Calc_Annual!AK45,Calc_Annual!AN45,Calc_Annual!AQ45))</f>
        <v/>
      </c>
      <c r="Z45" s="134" t="str">
        <f>IF(B45&gt;Coverage,"",SUM(Calc_Annual!AT45,Calc_Annual!AW45,Calc_Annual!AZ45,Calc_Annual!BC45))</f>
        <v/>
      </c>
    </row>
    <row r="46" ht="14.25" customHeight="1">
      <c r="A46" s="126">
        <v>39.0</v>
      </c>
      <c r="B46" s="129" t="str">
        <f>+IF(A46&gt;Coverage,"",A46)</f>
        <v/>
      </c>
      <c r="C46" s="134" t="str">
        <f>+IF(B46&gt;Coverage,"",IF(B46=1,Insured_Age,C45+1))</f>
        <v/>
      </c>
      <c r="D46" s="134" t="str">
        <f>+Calc_Annual!E46</f>
        <v/>
      </c>
      <c r="E46" s="134" t="str">
        <f>+Calc_Annual!F46</f>
        <v/>
      </c>
      <c r="F46" s="134" t="str">
        <f>+Calc_Annual!G46</f>
        <v/>
      </c>
      <c r="G46" s="134" t="str">
        <f>+Calc_Annual!H46</f>
        <v/>
      </c>
      <c r="H46" s="134" t="str">
        <f>+IF(B46&gt;Coverage,"",SUM(E$8:E46)+SUM(F$8:F46)-SUM(G$8:G46))</f>
        <v/>
      </c>
      <c r="I46" s="66" t="str">
        <f>+IF($B46&gt;Coverage,"",Calc_Annual!I46)</f>
        <v/>
      </c>
      <c r="J46" s="134" t="str">
        <f>+Calc_Annual!K46</f>
        <v/>
      </c>
      <c r="K46" s="134" t="str">
        <f>Calc_Annual!L46</f>
        <v/>
      </c>
      <c r="L46" s="134" t="str">
        <f>+Calc_Annual!Q46</f>
        <v/>
      </c>
      <c r="M46" s="134" t="str">
        <f>+Calc_Annual!R46</f>
        <v/>
      </c>
      <c r="N46" s="134" t="str">
        <f>+Calc_Annual!S46</f>
        <v/>
      </c>
      <c r="O46" s="134" t="str">
        <f>IF(B46&gt;Coverage,"",SUM(Calc_Annual!T46,Calc_Annual!W46,Calc_Annual!Z46,Calc_Annual!AC46))</f>
        <v/>
      </c>
      <c r="P46" s="134" t="str">
        <f>IF(B46&gt;Coverage,"",SUM(Calc_Annual!U46,Calc_Annual!X46,Calc_Annual!AA46,Calc_Annual!AD46))</f>
        <v/>
      </c>
      <c r="Q46" s="134" t="str">
        <f>IF(B46&gt;Coverage,"",SUM(Calc_Annual!AF46,Calc_Annual!AI46,Calc_Annual!AL46,Calc_Annual!AO46))</f>
        <v/>
      </c>
      <c r="R46" s="134" t="str">
        <f>IF(B46&gt;Coverage,"",SUM(Calc_Annual!AG46,Calc_Annual!AJ46,Calc_Annual!AM46,Calc_Annual!AP46))</f>
        <v/>
      </c>
      <c r="S46" s="134" t="str">
        <f>IF(B46&gt;Coverage,"",SUM(Calc_Annual!AR46,Calc_Annual!AU46,Calc_Annual!AX46,Calc_Annual!BA46))</f>
        <v/>
      </c>
      <c r="T46" s="134" t="str">
        <f>IF(B46&gt;Coverage,"",SUM(Calc_Annual!AS46,Calc_Annual!AV46,Calc_Annual!AY46,Calc_Annual!BB46))</f>
        <v/>
      </c>
      <c r="U46" s="134" t="str">
        <f>IF(B46&gt;Coverage,"",VLOOKUP(MIN($C46,10),Assumption!$M$18:$N$28,2,0)*$I46+P46)</f>
        <v/>
      </c>
      <c r="V46" s="134" t="str">
        <f>IF(B46&gt;Coverage,"",VLOOKUP(MIN($C46,10),Assumption!$M$18:$N$28,2,0)*$I46+R46)</f>
        <v/>
      </c>
      <c r="W46" s="134" t="str">
        <f>IF(B46&gt;Coverage,"",VLOOKUP(MIN($C46,10),Assumption!$M$18:$N$28,2,0)*$I46+T46)</f>
        <v/>
      </c>
      <c r="X46" s="134" t="str">
        <f>IF(B46&gt;Coverage,"",SUM(Calc_Annual!V46,Calc_Annual!Y46,Calc_Annual!AB46,Calc_Annual!AE46))</f>
        <v/>
      </c>
      <c r="Y46" s="134" t="str">
        <f>IF(B46&gt;Coverage,"",SUM(Calc_Annual!AH46,Calc_Annual!AK46,Calc_Annual!AN46,Calc_Annual!AQ46))</f>
        <v/>
      </c>
      <c r="Z46" s="134" t="str">
        <f>IF(B46&gt;Coverage,"",SUM(Calc_Annual!AT46,Calc_Annual!AW46,Calc_Annual!AZ46,Calc_Annual!BC46))</f>
        <v/>
      </c>
    </row>
    <row r="47" ht="14.25" customHeight="1">
      <c r="A47" s="126">
        <v>40.0</v>
      </c>
      <c r="B47" s="129" t="str">
        <f>+IF(A47&gt;Coverage,"",A47)</f>
        <v/>
      </c>
      <c r="C47" s="134" t="str">
        <f>+IF(B47&gt;Coverage,"",IF(B47=1,Insured_Age,C46+1))</f>
        <v/>
      </c>
      <c r="D47" s="134" t="str">
        <f>+Calc_Annual!E47</f>
        <v/>
      </c>
      <c r="E47" s="134" t="str">
        <f>+Calc_Annual!F47</f>
        <v/>
      </c>
      <c r="F47" s="134" t="str">
        <f>+Calc_Annual!G47</f>
        <v/>
      </c>
      <c r="G47" s="134" t="str">
        <f>+Calc_Annual!H47</f>
        <v/>
      </c>
      <c r="H47" s="134" t="str">
        <f>+IF(B47&gt;Coverage,"",SUM(E$8:E47)+SUM(F$8:F47)-SUM(G$8:G47))</f>
        <v/>
      </c>
      <c r="I47" s="66" t="str">
        <f>+IF($B47&gt;Coverage,"",Calc_Annual!I47)</f>
        <v/>
      </c>
      <c r="J47" s="134" t="str">
        <f>+Calc_Annual!K47</f>
        <v/>
      </c>
      <c r="K47" s="134" t="str">
        <f>Calc_Annual!L47</f>
        <v/>
      </c>
      <c r="L47" s="134" t="str">
        <f>+Calc_Annual!Q47</f>
        <v/>
      </c>
      <c r="M47" s="134" t="str">
        <f>+Calc_Annual!R47</f>
        <v/>
      </c>
      <c r="N47" s="134" t="str">
        <f>+Calc_Annual!S47</f>
        <v/>
      </c>
      <c r="O47" s="134" t="str">
        <f>IF(B47&gt;Coverage,"",SUM(Calc_Annual!T47,Calc_Annual!W47,Calc_Annual!Z47,Calc_Annual!AC47))</f>
        <v/>
      </c>
      <c r="P47" s="134" t="str">
        <f>IF(B47&gt;Coverage,"",SUM(Calc_Annual!U47,Calc_Annual!X47,Calc_Annual!AA47,Calc_Annual!AD47))</f>
        <v/>
      </c>
      <c r="Q47" s="134" t="str">
        <f>IF(B47&gt;Coverage,"",SUM(Calc_Annual!AF47,Calc_Annual!AI47,Calc_Annual!AL47,Calc_Annual!AO47))</f>
        <v/>
      </c>
      <c r="R47" s="134" t="str">
        <f>IF(B47&gt;Coverage,"",SUM(Calc_Annual!AG47,Calc_Annual!AJ47,Calc_Annual!AM47,Calc_Annual!AP47))</f>
        <v/>
      </c>
      <c r="S47" s="134" t="str">
        <f>IF(B47&gt;Coverage,"",SUM(Calc_Annual!AR47,Calc_Annual!AU47,Calc_Annual!AX47,Calc_Annual!BA47))</f>
        <v/>
      </c>
      <c r="T47" s="134" t="str">
        <f>IF(B47&gt;Coverage,"",SUM(Calc_Annual!AS47,Calc_Annual!AV47,Calc_Annual!AY47,Calc_Annual!BB47))</f>
        <v/>
      </c>
      <c r="U47" s="134" t="str">
        <f>IF(B47&gt;Coverage,"",VLOOKUP(MIN($C47,10),Assumption!$M$18:$N$28,2,0)*$I47+P47)</f>
        <v/>
      </c>
      <c r="V47" s="134" t="str">
        <f>IF(B47&gt;Coverage,"",VLOOKUP(MIN($C47,10),Assumption!$M$18:$N$28,2,0)*$I47+R47)</f>
        <v/>
      </c>
      <c r="W47" s="134" t="str">
        <f>IF(B47&gt;Coverage,"",VLOOKUP(MIN($C47,10),Assumption!$M$18:$N$28,2,0)*$I47+T47)</f>
        <v/>
      </c>
      <c r="X47" s="134" t="str">
        <f>IF(B47&gt;Coverage,"",SUM(Calc_Annual!V47,Calc_Annual!Y47,Calc_Annual!AB47,Calc_Annual!AE47))</f>
        <v/>
      </c>
      <c r="Y47" s="134" t="str">
        <f>IF(B47&gt;Coverage,"",SUM(Calc_Annual!AH47,Calc_Annual!AK47,Calc_Annual!AN47,Calc_Annual!AQ47))</f>
        <v/>
      </c>
      <c r="Z47" s="134" t="str">
        <f>IF(B47&gt;Coverage,"",SUM(Calc_Annual!AT47,Calc_Annual!AW47,Calc_Annual!AZ47,Calc_Annual!BC47))</f>
        <v/>
      </c>
    </row>
    <row r="48" ht="14.25" customHeight="1">
      <c r="A48" s="126">
        <v>41.0</v>
      </c>
      <c r="B48" s="129" t="str">
        <f>+IF(A48&gt;Coverage,"",A48)</f>
        <v/>
      </c>
      <c r="C48" s="134" t="str">
        <f>+IF(B48&gt;Coverage,"",IF(B48=1,Insured_Age,C47+1))</f>
        <v/>
      </c>
      <c r="D48" s="134" t="str">
        <f>+Calc_Annual!E48</f>
        <v/>
      </c>
      <c r="E48" s="134" t="str">
        <f>+Calc_Annual!F48</f>
        <v/>
      </c>
      <c r="F48" s="134" t="str">
        <f>+Calc_Annual!G48</f>
        <v/>
      </c>
      <c r="G48" s="134" t="str">
        <f>+Calc_Annual!H48</f>
        <v/>
      </c>
      <c r="H48" s="134" t="str">
        <f>+IF(B48&gt;Coverage,"",SUM(E$8:E48)+SUM(F$8:F48)-SUM(G$8:G48))</f>
        <v/>
      </c>
      <c r="I48" s="66" t="str">
        <f>+IF($B48&gt;Coverage,"",Calc_Annual!I48)</f>
        <v/>
      </c>
      <c r="J48" s="134" t="str">
        <f>+Calc_Annual!K48</f>
        <v/>
      </c>
      <c r="K48" s="134" t="str">
        <f>Calc_Annual!L48</f>
        <v/>
      </c>
      <c r="L48" s="134" t="str">
        <f>+Calc_Annual!Q48</f>
        <v/>
      </c>
      <c r="M48" s="134" t="str">
        <f>+Calc_Annual!R48</f>
        <v/>
      </c>
      <c r="N48" s="134" t="str">
        <f>+Calc_Annual!S48</f>
        <v/>
      </c>
      <c r="O48" s="134" t="str">
        <f>IF(B48&gt;Coverage,"",SUM(Calc_Annual!T48,Calc_Annual!W48,Calc_Annual!Z48,Calc_Annual!AC48))</f>
        <v/>
      </c>
      <c r="P48" s="134" t="str">
        <f>IF(B48&gt;Coverage,"",SUM(Calc_Annual!U48,Calc_Annual!X48,Calc_Annual!AA48,Calc_Annual!AD48))</f>
        <v/>
      </c>
      <c r="Q48" s="134" t="str">
        <f>IF(B48&gt;Coverage,"",SUM(Calc_Annual!AF48,Calc_Annual!AI48,Calc_Annual!AL48,Calc_Annual!AO48))</f>
        <v/>
      </c>
      <c r="R48" s="134" t="str">
        <f>IF(B48&gt;Coverage,"",SUM(Calc_Annual!AG48,Calc_Annual!AJ48,Calc_Annual!AM48,Calc_Annual!AP48))</f>
        <v/>
      </c>
      <c r="S48" s="134" t="str">
        <f>IF(B48&gt;Coverage,"",SUM(Calc_Annual!AR48,Calc_Annual!AU48,Calc_Annual!AX48,Calc_Annual!BA48))</f>
        <v/>
      </c>
      <c r="T48" s="134" t="str">
        <f>IF(B48&gt;Coverage,"",SUM(Calc_Annual!AS48,Calc_Annual!AV48,Calc_Annual!AY48,Calc_Annual!BB48))</f>
        <v/>
      </c>
      <c r="U48" s="134" t="str">
        <f>IF(B48&gt;Coverage,"",VLOOKUP(MIN($C48,10),Assumption!$M$18:$N$28,2,0)*$I48+P48)</f>
        <v/>
      </c>
      <c r="V48" s="134" t="str">
        <f>IF(B48&gt;Coverage,"",VLOOKUP(MIN($C48,10),Assumption!$M$18:$N$28,2,0)*$I48+R48)</f>
        <v/>
      </c>
      <c r="W48" s="134" t="str">
        <f>IF(B48&gt;Coverage,"",VLOOKUP(MIN($C48,10),Assumption!$M$18:$N$28,2,0)*$I48+T48)</f>
        <v/>
      </c>
      <c r="X48" s="134" t="str">
        <f>IF(B48&gt;Coverage,"",SUM(Calc_Annual!V48,Calc_Annual!Y48,Calc_Annual!AB48,Calc_Annual!AE48))</f>
        <v/>
      </c>
      <c r="Y48" s="134" t="str">
        <f>IF(B48&gt;Coverage,"",SUM(Calc_Annual!AH48,Calc_Annual!AK48,Calc_Annual!AN48,Calc_Annual!AQ48))</f>
        <v/>
      </c>
      <c r="Z48" s="134" t="str">
        <f>IF(B48&gt;Coverage,"",SUM(Calc_Annual!AT48,Calc_Annual!AW48,Calc_Annual!AZ48,Calc_Annual!BC48))</f>
        <v/>
      </c>
    </row>
    <row r="49" ht="14.25" customHeight="1">
      <c r="A49" s="126">
        <v>42.0</v>
      </c>
      <c r="B49" s="129" t="str">
        <f>+IF(A49&gt;Coverage,"",A49)</f>
        <v/>
      </c>
      <c r="C49" s="134" t="str">
        <f>+IF(B49&gt;Coverage,"",IF(B49=1,Insured_Age,C48+1))</f>
        <v/>
      </c>
      <c r="D49" s="134" t="str">
        <f>+Calc_Annual!E49</f>
        <v/>
      </c>
      <c r="E49" s="134" t="str">
        <f>+Calc_Annual!F49</f>
        <v/>
      </c>
      <c r="F49" s="134" t="str">
        <f>+Calc_Annual!G49</f>
        <v/>
      </c>
      <c r="G49" s="134" t="str">
        <f>+Calc_Annual!H49</f>
        <v/>
      </c>
      <c r="H49" s="134" t="str">
        <f>+IF(B49&gt;Coverage,"",SUM(E$8:E49)+SUM(F$8:F49)-SUM(G$8:G49))</f>
        <v/>
      </c>
      <c r="I49" s="66" t="str">
        <f>+IF($B49&gt;Coverage,"",Calc_Annual!I49)</f>
        <v/>
      </c>
      <c r="J49" s="134" t="str">
        <f>+Calc_Annual!K49</f>
        <v/>
      </c>
      <c r="K49" s="134" t="str">
        <f>Calc_Annual!L49</f>
        <v/>
      </c>
      <c r="L49" s="134" t="str">
        <f>+Calc_Annual!Q49</f>
        <v/>
      </c>
      <c r="M49" s="134" t="str">
        <f>+Calc_Annual!R49</f>
        <v/>
      </c>
      <c r="N49" s="134" t="str">
        <f>+Calc_Annual!S49</f>
        <v/>
      </c>
      <c r="O49" s="134" t="str">
        <f>IF(B49&gt;Coverage,"",SUM(Calc_Annual!T49,Calc_Annual!W49,Calc_Annual!Z49,Calc_Annual!AC49))</f>
        <v/>
      </c>
      <c r="P49" s="134" t="str">
        <f>IF(B49&gt;Coverage,"",SUM(Calc_Annual!U49,Calc_Annual!X49,Calc_Annual!AA49,Calc_Annual!AD49))</f>
        <v/>
      </c>
      <c r="Q49" s="134" t="str">
        <f>IF(B49&gt;Coverage,"",SUM(Calc_Annual!AF49,Calc_Annual!AI49,Calc_Annual!AL49,Calc_Annual!AO49))</f>
        <v/>
      </c>
      <c r="R49" s="134" t="str">
        <f>IF(B49&gt;Coverage,"",SUM(Calc_Annual!AG49,Calc_Annual!AJ49,Calc_Annual!AM49,Calc_Annual!AP49))</f>
        <v/>
      </c>
      <c r="S49" s="134" t="str">
        <f>IF(B49&gt;Coverage,"",SUM(Calc_Annual!AR49,Calc_Annual!AU49,Calc_Annual!AX49,Calc_Annual!BA49))</f>
        <v/>
      </c>
      <c r="T49" s="134" t="str">
        <f>IF(B49&gt;Coverage,"",SUM(Calc_Annual!AS49,Calc_Annual!AV49,Calc_Annual!AY49,Calc_Annual!BB49))</f>
        <v/>
      </c>
      <c r="U49" s="134" t="str">
        <f>IF(B49&gt;Coverage,"",VLOOKUP(MIN($C49,10),Assumption!$M$18:$N$28,2,0)*$I49+P49)</f>
        <v/>
      </c>
      <c r="V49" s="134" t="str">
        <f>IF(B49&gt;Coverage,"",VLOOKUP(MIN($C49,10),Assumption!$M$18:$N$28,2,0)*$I49+R49)</f>
        <v/>
      </c>
      <c r="W49" s="134" t="str">
        <f>IF(B49&gt;Coverage,"",VLOOKUP(MIN($C49,10),Assumption!$M$18:$N$28,2,0)*$I49+T49)</f>
        <v/>
      </c>
      <c r="X49" s="134" t="str">
        <f>IF(B49&gt;Coverage,"",SUM(Calc_Annual!V49,Calc_Annual!Y49,Calc_Annual!AB49,Calc_Annual!AE49))</f>
        <v/>
      </c>
      <c r="Y49" s="134" t="str">
        <f>IF(B49&gt;Coverage,"",SUM(Calc_Annual!AH49,Calc_Annual!AK49,Calc_Annual!AN49,Calc_Annual!AQ49))</f>
        <v/>
      </c>
      <c r="Z49" s="134" t="str">
        <f>IF(B49&gt;Coverage,"",SUM(Calc_Annual!AT49,Calc_Annual!AW49,Calc_Annual!AZ49,Calc_Annual!BC49))</f>
        <v/>
      </c>
    </row>
    <row r="50" ht="14.25" customHeight="1">
      <c r="A50" s="126">
        <v>43.0</v>
      </c>
      <c r="B50" s="129" t="str">
        <f>+IF(A50&gt;Coverage,"",A50)</f>
        <v/>
      </c>
      <c r="C50" s="134" t="str">
        <f>+IF(B50&gt;Coverage,"",IF(B50=1,Insured_Age,C49+1))</f>
        <v/>
      </c>
      <c r="D50" s="134" t="str">
        <f>+Calc_Annual!E50</f>
        <v/>
      </c>
      <c r="E50" s="134" t="str">
        <f>+Calc_Annual!F50</f>
        <v/>
      </c>
      <c r="F50" s="134" t="str">
        <f>+Calc_Annual!G50</f>
        <v/>
      </c>
      <c r="G50" s="134" t="str">
        <f>+Calc_Annual!H50</f>
        <v/>
      </c>
      <c r="H50" s="134" t="str">
        <f>+IF(B50&gt;Coverage,"",SUM(E$8:E50)+SUM(F$8:F50)-SUM(G$8:G50))</f>
        <v/>
      </c>
      <c r="I50" s="66" t="str">
        <f>+IF($B50&gt;Coverage,"",Calc_Annual!I50)</f>
        <v/>
      </c>
      <c r="J50" s="134" t="str">
        <f>+Calc_Annual!K50</f>
        <v/>
      </c>
      <c r="K50" s="134" t="str">
        <f>Calc_Annual!L50</f>
        <v/>
      </c>
      <c r="L50" s="134" t="str">
        <f>+Calc_Annual!Q50</f>
        <v/>
      </c>
      <c r="M50" s="134" t="str">
        <f>+Calc_Annual!R50</f>
        <v/>
      </c>
      <c r="N50" s="134" t="str">
        <f>+Calc_Annual!S50</f>
        <v/>
      </c>
      <c r="O50" s="134" t="str">
        <f>IF(B50&gt;Coverage,"",SUM(Calc_Annual!T50,Calc_Annual!W50,Calc_Annual!Z50,Calc_Annual!AC50))</f>
        <v/>
      </c>
      <c r="P50" s="134" t="str">
        <f>IF(B50&gt;Coverage,"",SUM(Calc_Annual!U50,Calc_Annual!X50,Calc_Annual!AA50,Calc_Annual!AD50))</f>
        <v/>
      </c>
      <c r="Q50" s="134" t="str">
        <f>IF(B50&gt;Coverage,"",SUM(Calc_Annual!AF50,Calc_Annual!AI50,Calc_Annual!AL50,Calc_Annual!AO50))</f>
        <v/>
      </c>
      <c r="R50" s="134" t="str">
        <f>IF(B50&gt;Coverage,"",SUM(Calc_Annual!AG50,Calc_Annual!AJ50,Calc_Annual!AM50,Calc_Annual!AP50))</f>
        <v/>
      </c>
      <c r="S50" s="134" t="str">
        <f>IF(B50&gt;Coverage,"",SUM(Calc_Annual!AR50,Calc_Annual!AU50,Calc_Annual!AX50,Calc_Annual!BA50))</f>
        <v/>
      </c>
      <c r="T50" s="134" t="str">
        <f>IF(B50&gt;Coverage,"",SUM(Calc_Annual!AS50,Calc_Annual!AV50,Calc_Annual!AY50,Calc_Annual!BB50))</f>
        <v/>
      </c>
      <c r="U50" s="134" t="str">
        <f>IF(B50&gt;Coverage,"",VLOOKUP(MIN($C50,10),Assumption!$M$18:$N$28,2,0)*$I50+P50)</f>
        <v/>
      </c>
      <c r="V50" s="134" t="str">
        <f>IF(B50&gt;Coverage,"",VLOOKUP(MIN($C50,10),Assumption!$M$18:$N$28,2,0)*$I50+R50)</f>
        <v/>
      </c>
      <c r="W50" s="134" t="str">
        <f>IF(B50&gt;Coverage,"",VLOOKUP(MIN($C50,10),Assumption!$M$18:$N$28,2,0)*$I50+T50)</f>
        <v/>
      </c>
      <c r="X50" s="134" t="str">
        <f>IF(B50&gt;Coverage,"",SUM(Calc_Annual!V50,Calc_Annual!Y50,Calc_Annual!AB50,Calc_Annual!AE50))</f>
        <v/>
      </c>
      <c r="Y50" s="134" t="str">
        <f>IF(B50&gt;Coverage,"",SUM(Calc_Annual!AH50,Calc_Annual!AK50,Calc_Annual!AN50,Calc_Annual!AQ50))</f>
        <v/>
      </c>
      <c r="Z50" s="134" t="str">
        <f>IF(B50&gt;Coverage,"",SUM(Calc_Annual!AT50,Calc_Annual!AW50,Calc_Annual!AZ50,Calc_Annual!BC50))</f>
        <v/>
      </c>
    </row>
    <row r="51" ht="14.25" customHeight="1">
      <c r="A51" s="126">
        <v>44.0</v>
      </c>
      <c r="B51" s="129" t="str">
        <f>+IF(A51&gt;Coverage,"",A51)</f>
        <v/>
      </c>
      <c r="C51" s="134" t="str">
        <f>+IF(B51&gt;Coverage,"",IF(B51=1,Insured_Age,C50+1))</f>
        <v/>
      </c>
      <c r="D51" s="134" t="str">
        <f>+Calc_Annual!E51</f>
        <v/>
      </c>
      <c r="E51" s="134" t="str">
        <f>+Calc_Annual!F51</f>
        <v/>
      </c>
      <c r="F51" s="134" t="str">
        <f>+Calc_Annual!G51</f>
        <v/>
      </c>
      <c r="G51" s="134" t="str">
        <f>+Calc_Annual!H51</f>
        <v/>
      </c>
      <c r="H51" s="134" t="str">
        <f>+IF(B51&gt;Coverage,"",SUM(E$8:E51)+SUM(F$8:F51)-SUM(G$8:G51))</f>
        <v/>
      </c>
      <c r="I51" s="66" t="str">
        <f>+IF($B51&gt;Coverage,"",Calc_Annual!I51)</f>
        <v/>
      </c>
      <c r="J51" s="134" t="str">
        <f>+Calc_Annual!K51</f>
        <v/>
      </c>
      <c r="K51" s="134" t="str">
        <f>Calc_Annual!L51</f>
        <v/>
      </c>
      <c r="L51" s="134" t="str">
        <f>+Calc_Annual!Q51</f>
        <v/>
      </c>
      <c r="M51" s="134" t="str">
        <f>+Calc_Annual!R51</f>
        <v/>
      </c>
      <c r="N51" s="134" t="str">
        <f>+Calc_Annual!S51</f>
        <v/>
      </c>
      <c r="O51" s="134" t="str">
        <f>IF(B51&gt;Coverage,"",SUM(Calc_Annual!T51,Calc_Annual!W51,Calc_Annual!Z51,Calc_Annual!AC51))</f>
        <v/>
      </c>
      <c r="P51" s="134" t="str">
        <f>IF(B51&gt;Coverage,"",SUM(Calc_Annual!U51,Calc_Annual!X51,Calc_Annual!AA51,Calc_Annual!AD51))</f>
        <v/>
      </c>
      <c r="Q51" s="134" t="str">
        <f>IF(B51&gt;Coverage,"",SUM(Calc_Annual!AF51,Calc_Annual!AI51,Calc_Annual!AL51,Calc_Annual!AO51))</f>
        <v/>
      </c>
      <c r="R51" s="134" t="str">
        <f>IF(B51&gt;Coverage,"",SUM(Calc_Annual!AG51,Calc_Annual!AJ51,Calc_Annual!AM51,Calc_Annual!AP51))</f>
        <v/>
      </c>
      <c r="S51" s="134" t="str">
        <f>IF(B51&gt;Coverage,"",SUM(Calc_Annual!AR51,Calc_Annual!AU51,Calc_Annual!AX51,Calc_Annual!BA51))</f>
        <v/>
      </c>
      <c r="T51" s="134" t="str">
        <f>IF(B51&gt;Coverage,"",SUM(Calc_Annual!AS51,Calc_Annual!AV51,Calc_Annual!AY51,Calc_Annual!BB51))</f>
        <v/>
      </c>
      <c r="U51" s="134" t="str">
        <f>IF(B51&gt;Coverage,"",VLOOKUP(MIN($C51,10),Assumption!$M$18:$N$28,2,0)*$I51+P51)</f>
        <v/>
      </c>
      <c r="V51" s="134" t="str">
        <f>IF(B51&gt;Coverage,"",VLOOKUP(MIN($C51,10),Assumption!$M$18:$N$28,2,0)*$I51+R51)</f>
        <v/>
      </c>
      <c r="W51" s="134" t="str">
        <f>IF(B51&gt;Coverage,"",VLOOKUP(MIN($C51,10),Assumption!$M$18:$N$28,2,0)*$I51+T51)</f>
        <v/>
      </c>
      <c r="X51" s="134" t="str">
        <f>IF(B51&gt;Coverage,"",SUM(Calc_Annual!V51,Calc_Annual!Y51,Calc_Annual!AB51,Calc_Annual!AE51))</f>
        <v/>
      </c>
      <c r="Y51" s="134" t="str">
        <f>IF(B51&gt;Coverage,"",SUM(Calc_Annual!AH51,Calc_Annual!AK51,Calc_Annual!AN51,Calc_Annual!AQ51))</f>
        <v/>
      </c>
      <c r="Z51" s="134" t="str">
        <f>IF(B51&gt;Coverage,"",SUM(Calc_Annual!AT51,Calc_Annual!AW51,Calc_Annual!AZ51,Calc_Annual!BC51))</f>
        <v/>
      </c>
    </row>
    <row r="52" ht="14.25" customHeight="1">
      <c r="A52" s="126">
        <v>45.0</v>
      </c>
      <c r="B52" s="129" t="str">
        <f>+IF(A52&gt;Coverage,"",A52)</f>
        <v/>
      </c>
      <c r="C52" s="134" t="str">
        <f>+IF(B52&gt;Coverage,"",IF(B52=1,Insured_Age,C51+1))</f>
        <v/>
      </c>
      <c r="D52" s="134" t="str">
        <f>+Calc_Annual!E52</f>
        <v/>
      </c>
      <c r="E52" s="134" t="str">
        <f>+Calc_Annual!F52</f>
        <v/>
      </c>
      <c r="F52" s="134" t="str">
        <f>+Calc_Annual!G52</f>
        <v/>
      </c>
      <c r="G52" s="134" t="str">
        <f>+Calc_Annual!H52</f>
        <v/>
      </c>
      <c r="H52" s="134" t="str">
        <f>+IF(B52&gt;Coverage,"",SUM(E$8:E52)+SUM(F$8:F52)-SUM(G$8:G52))</f>
        <v/>
      </c>
      <c r="I52" s="66" t="str">
        <f>+IF($B52&gt;Coverage,"",Calc_Annual!I52)</f>
        <v/>
      </c>
      <c r="J52" s="134" t="str">
        <f>+Calc_Annual!K52</f>
        <v/>
      </c>
      <c r="K52" s="134" t="str">
        <f>Calc_Annual!L52</f>
        <v/>
      </c>
      <c r="L52" s="134" t="str">
        <f>+Calc_Annual!Q52</f>
        <v/>
      </c>
      <c r="M52" s="134" t="str">
        <f>+Calc_Annual!R52</f>
        <v/>
      </c>
      <c r="N52" s="134" t="str">
        <f>+Calc_Annual!S52</f>
        <v/>
      </c>
      <c r="O52" s="134" t="str">
        <f>IF(B52&gt;Coverage,"",SUM(Calc_Annual!T52,Calc_Annual!W52,Calc_Annual!Z52,Calc_Annual!AC52))</f>
        <v/>
      </c>
      <c r="P52" s="134" t="str">
        <f>IF(B52&gt;Coverage,"",SUM(Calc_Annual!U52,Calc_Annual!X52,Calc_Annual!AA52,Calc_Annual!AD52))</f>
        <v/>
      </c>
      <c r="Q52" s="134" t="str">
        <f>IF(B52&gt;Coverage,"",SUM(Calc_Annual!AF52,Calc_Annual!AI52,Calc_Annual!AL52,Calc_Annual!AO52))</f>
        <v/>
      </c>
      <c r="R52" s="134" t="str">
        <f>IF(B52&gt;Coverage,"",SUM(Calc_Annual!AG52,Calc_Annual!AJ52,Calc_Annual!AM52,Calc_Annual!AP52))</f>
        <v/>
      </c>
      <c r="S52" s="134" t="str">
        <f>IF(B52&gt;Coverage,"",SUM(Calc_Annual!AR52,Calc_Annual!AU52,Calc_Annual!AX52,Calc_Annual!BA52))</f>
        <v/>
      </c>
      <c r="T52" s="134" t="str">
        <f>IF(B52&gt;Coverage,"",SUM(Calc_Annual!AS52,Calc_Annual!AV52,Calc_Annual!AY52,Calc_Annual!BB52))</f>
        <v/>
      </c>
      <c r="U52" s="134" t="str">
        <f>IF(B52&gt;Coverage,"",VLOOKUP(MIN($C52,10),Assumption!$M$18:$N$28,2,0)*$I52+P52)</f>
        <v/>
      </c>
      <c r="V52" s="134" t="str">
        <f>IF(B52&gt;Coverage,"",VLOOKUP(MIN($C52,10),Assumption!$M$18:$N$28,2,0)*$I52+R52)</f>
        <v/>
      </c>
      <c r="W52" s="134" t="str">
        <f>IF(B52&gt;Coverage,"",VLOOKUP(MIN($C52,10),Assumption!$M$18:$N$28,2,0)*$I52+T52)</f>
        <v/>
      </c>
      <c r="X52" s="134" t="str">
        <f>IF(B52&gt;Coverage,"",SUM(Calc_Annual!V52,Calc_Annual!Y52,Calc_Annual!AB52,Calc_Annual!AE52))</f>
        <v/>
      </c>
      <c r="Y52" s="134" t="str">
        <f>IF(B52&gt;Coverage,"",SUM(Calc_Annual!AH52,Calc_Annual!AK52,Calc_Annual!AN52,Calc_Annual!AQ52))</f>
        <v/>
      </c>
      <c r="Z52" s="134" t="str">
        <f>IF(B52&gt;Coverage,"",SUM(Calc_Annual!AT52,Calc_Annual!AW52,Calc_Annual!AZ52,Calc_Annual!BC52))</f>
        <v/>
      </c>
    </row>
    <row r="53" ht="14.25" customHeight="1">
      <c r="A53" s="126">
        <v>46.0</v>
      </c>
      <c r="B53" s="129" t="str">
        <f>+IF(A53&gt;Coverage,"",A53)</f>
        <v/>
      </c>
      <c r="C53" s="134" t="str">
        <f>+IF(B53&gt;Coverage,"",IF(B53=1,Insured_Age,C52+1))</f>
        <v/>
      </c>
      <c r="D53" s="134" t="str">
        <f>+Calc_Annual!E53</f>
        <v/>
      </c>
      <c r="E53" s="134" t="str">
        <f>+Calc_Annual!F53</f>
        <v/>
      </c>
      <c r="F53" s="134" t="str">
        <f>+Calc_Annual!G53</f>
        <v/>
      </c>
      <c r="G53" s="134" t="str">
        <f>+Calc_Annual!H53</f>
        <v/>
      </c>
      <c r="H53" s="134" t="str">
        <f>+IF(B53&gt;Coverage,"",SUM(E$8:E53)+SUM(F$8:F53)-SUM(G$8:G53))</f>
        <v/>
      </c>
      <c r="I53" s="66" t="str">
        <f>+IF($B53&gt;Coverage,"",Calc_Annual!I53)</f>
        <v/>
      </c>
      <c r="J53" s="134" t="str">
        <f>+Calc_Annual!K53</f>
        <v/>
      </c>
      <c r="K53" s="134" t="str">
        <f>Calc_Annual!L53</f>
        <v/>
      </c>
      <c r="L53" s="134" t="str">
        <f>+Calc_Annual!Q53</f>
        <v/>
      </c>
      <c r="M53" s="134" t="str">
        <f>+Calc_Annual!R53</f>
        <v/>
      </c>
      <c r="N53" s="134" t="str">
        <f>+Calc_Annual!S53</f>
        <v/>
      </c>
      <c r="O53" s="134" t="str">
        <f>IF(B53&gt;Coverage,"",SUM(Calc_Annual!T53,Calc_Annual!W53,Calc_Annual!Z53,Calc_Annual!AC53))</f>
        <v/>
      </c>
      <c r="P53" s="134" t="str">
        <f>IF(B53&gt;Coverage,"",SUM(Calc_Annual!U53,Calc_Annual!X53,Calc_Annual!AA53,Calc_Annual!AD53))</f>
        <v/>
      </c>
      <c r="Q53" s="134" t="str">
        <f>IF(B53&gt;Coverage,"",SUM(Calc_Annual!AF53,Calc_Annual!AI53,Calc_Annual!AL53,Calc_Annual!AO53))</f>
        <v/>
      </c>
      <c r="R53" s="134" t="str">
        <f>IF(B53&gt;Coverage,"",SUM(Calc_Annual!AG53,Calc_Annual!AJ53,Calc_Annual!AM53,Calc_Annual!AP53))</f>
        <v/>
      </c>
      <c r="S53" s="134" t="str">
        <f>IF(B53&gt;Coverage,"",SUM(Calc_Annual!AR53,Calc_Annual!AU53,Calc_Annual!AX53,Calc_Annual!BA53))</f>
        <v/>
      </c>
      <c r="T53" s="134" t="str">
        <f>IF(B53&gt;Coverage,"",SUM(Calc_Annual!AS53,Calc_Annual!AV53,Calc_Annual!AY53,Calc_Annual!BB53))</f>
        <v/>
      </c>
      <c r="U53" s="134" t="str">
        <f>IF(B53&gt;Coverage,"",VLOOKUP(MIN($C53,10),Assumption!$M$18:$N$28,2,0)*$I53+P53)</f>
        <v/>
      </c>
      <c r="V53" s="134" t="str">
        <f>IF(B53&gt;Coverage,"",VLOOKUP(MIN($C53,10),Assumption!$M$18:$N$28,2,0)*$I53+R53)</f>
        <v/>
      </c>
      <c r="W53" s="134" t="str">
        <f>IF(B53&gt;Coverage,"",VLOOKUP(MIN($C53,10),Assumption!$M$18:$N$28,2,0)*$I53+T53)</f>
        <v/>
      </c>
      <c r="X53" s="134" t="str">
        <f>IF(B53&gt;Coverage,"",SUM(Calc_Annual!V53,Calc_Annual!Y53,Calc_Annual!AB53,Calc_Annual!AE53))</f>
        <v/>
      </c>
      <c r="Y53" s="134" t="str">
        <f>IF(B53&gt;Coverage,"",SUM(Calc_Annual!AH53,Calc_Annual!AK53,Calc_Annual!AN53,Calc_Annual!AQ53))</f>
        <v/>
      </c>
      <c r="Z53" s="134" t="str">
        <f>IF(B53&gt;Coverage,"",SUM(Calc_Annual!AT53,Calc_Annual!AW53,Calc_Annual!AZ53,Calc_Annual!BC53))</f>
        <v/>
      </c>
    </row>
    <row r="54" ht="14.25" customHeight="1">
      <c r="A54" s="126">
        <v>47.0</v>
      </c>
      <c r="B54" s="129" t="str">
        <f>+IF(A54&gt;Coverage,"",A54)</f>
        <v/>
      </c>
      <c r="C54" s="134" t="str">
        <f>+IF(B54&gt;Coverage,"",IF(B54=1,Insured_Age,C53+1))</f>
        <v/>
      </c>
      <c r="D54" s="134" t="str">
        <f>+Calc_Annual!E54</f>
        <v/>
      </c>
      <c r="E54" s="134" t="str">
        <f>+Calc_Annual!F54</f>
        <v/>
      </c>
      <c r="F54" s="134" t="str">
        <f>+Calc_Annual!G54</f>
        <v/>
      </c>
      <c r="G54" s="134" t="str">
        <f>+Calc_Annual!H54</f>
        <v/>
      </c>
      <c r="H54" s="134" t="str">
        <f>+IF(B54&gt;Coverage,"",SUM(E$8:E54)+SUM(F$8:F54)-SUM(G$8:G54))</f>
        <v/>
      </c>
      <c r="I54" s="66" t="str">
        <f>+IF($B54&gt;Coverage,"",Calc_Annual!I54)</f>
        <v/>
      </c>
      <c r="J54" s="134" t="str">
        <f>+Calc_Annual!K54</f>
        <v/>
      </c>
      <c r="K54" s="134" t="str">
        <f>Calc_Annual!L54</f>
        <v/>
      </c>
      <c r="L54" s="134" t="str">
        <f>+Calc_Annual!Q54</f>
        <v/>
      </c>
      <c r="M54" s="134" t="str">
        <f>+Calc_Annual!R54</f>
        <v/>
      </c>
      <c r="N54" s="134" t="str">
        <f>+Calc_Annual!S54</f>
        <v/>
      </c>
      <c r="O54" s="134" t="str">
        <f>IF(B54&gt;Coverage,"",SUM(Calc_Annual!T54,Calc_Annual!W54,Calc_Annual!Z54,Calc_Annual!AC54))</f>
        <v/>
      </c>
      <c r="P54" s="134" t="str">
        <f>IF(B54&gt;Coverage,"",SUM(Calc_Annual!U54,Calc_Annual!X54,Calc_Annual!AA54,Calc_Annual!AD54))</f>
        <v/>
      </c>
      <c r="Q54" s="134" t="str">
        <f>IF(B54&gt;Coverage,"",SUM(Calc_Annual!AF54,Calc_Annual!AI54,Calc_Annual!AL54,Calc_Annual!AO54))</f>
        <v/>
      </c>
      <c r="R54" s="134" t="str">
        <f>IF(B54&gt;Coverage,"",SUM(Calc_Annual!AG54,Calc_Annual!AJ54,Calc_Annual!AM54,Calc_Annual!AP54))</f>
        <v/>
      </c>
      <c r="S54" s="134" t="str">
        <f>IF(B54&gt;Coverage,"",SUM(Calc_Annual!AR54,Calc_Annual!AU54,Calc_Annual!AX54,Calc_Annual!BA54))</f>
        <v/>
      </c>
      <c r="T54" s="134" t="str">
        <f>IF(B54&gt;Coverage,"",SUM(Calc_Annual!AS54,Calc_Annual!AV54,Calc_Annual!AY54,Calc_Annual!BB54))</f>
        <v/>
      </c>
      <c r="U54" s="134" t="str">
        <f>IF(B54&gt;Coverage,"",VLOOKUP(MIN($C54,10),Assumption!$M$18:$N$28,2,0)*$I54+P54)</f>
        <v/>
      </c>
      <c r="V54" s="134" t="str">
        <f>IF(B54&gt;Coverage,"",VLOOKUP(MIN($C54,10),Assumption!$M$18:$N$28,2,0)*$I54+R54)</f>
        <v/>
      </c>
      <c r="W54" s="134" t="str">
        <f>IF(B54&gt;Coverage,"",VLOOKUP(MIN($C54,10),Assumption!$M$18:$N$28,2,0)*$I54+T54)</f>
        <v/>
      </c>
      <c r="X54" s="134" t="str">
        <f>IF(B54&gt;Coverage,"",SUM(Calc_Annual!V54,Calc_Annual!Y54,Calc_Annual!AB54,Calc_Annual!AE54))</f>
        <v/>
      </c>
      <c r="Y54" s="134" t="str">
        <f>IF(B54&gt;Coverage,"",SUM(Calc_Annual!AH54,Calc_Annual!AK54,Calc_Annual!AN54,Calc_Annual!AQ54))</f>
        <v/>
      </c>
      <c r="Z54" s="134" t="str">
        <f>IF(B54&gt;Coverage,"",SUM(Calc_Annual!AT54,Calc_Annual!AW54,Calc_Annual!AZ54,Calc_Annual!BC54))</f>
        <v/>
      </c>
    </row>
    <row r="55" ht="14.25" customHeight="1">
      <c r="A55" s="126">
        <v>48.0</v>
      </c>
      <c r="B55" s="129" t="str">
        <f>+IF(A55&gt;Coverage,"",A55)</f>
        <v/>
      </c>
      <c r="C55" s="134" t="str">
        <f>+IF(B55&gt;Coverage,"",IF(B55=1,Insured_Age,C54+1))</f>
        <v/>
      </c>
      <c r="D55" s="134" t="str">
        <f>+Calc_Annual!E55</f>
        <v/>
      </c>
      <c r="E55" s="134" t="str">
        <f>+Calc_Annual!F55</f>
        <v/>
      </c>
      <c r="F55" s="134" t="str">
        <f>+Calc_Annual!G55</f>
        <v/>
      </c>
      <c r="G55" s="134" t="str">
        <f>+Calc_Annual!H55</f>
        <v/>
      </c>
      <c r="H55" s="134" t="str">
        <f>+IF(B55&gt;Coverage,"",SUM(E$8:E55)+SUM(F$8:F55)-SUM(G$8:G55))</f>
        <v/>
      </c>
      <c r="I55" s="66" t="str">
        <f>+IF($B55&gt;Coverage,"",Calc_Annual!I55)</f>
        <v/>
      </c>
      <c r="J55" s="134" t="str">
        <f>+Calc_Annual!K55</f>
        <v/>
      </c>
      <c r="K55" s="134" t="str">
        <f>Calc_Annual!L55</f>
        <v/>
      </c>
      <c r="L55" s="134" t="str">
        <f>+Calc_Annual!Q55</f>
        <v/>
      </c>
      <c r="M55" s="134" t="str">
        <f>+Calc_Annual!R55</f>
        <v/>
      </c>
      <c r="N55" s="134" t="str">
        <f>+Calc_Annual!S55</f>
        <v/>
      </c>
      <c r="O55" s="134" t="str">
        <f>IF(B55&gt;Coverage,"",SUM(Calc_Annual!T55,Calc_Annual!W55,Calc_Annual!Z55,Calc_Annual!AC55))</f>
        <v/>
      </c>
      <c r="P55" s="134" t="str">
        <f>IF(B55&gt;Coverage,"",SUM(Calc_Annual!U55,Calc_Annual!X55,Calc_Annual!AA55,Calc_Annual!AD55))</f>
        <v/>
      </c>
      <c r="Q55" s="134" t="str">
        <f>IF(B55&gt;Coverage,"",SUM(Calc_Annual!AF55,Calc_Annual!AI55,Calc_Annual!AL55,Calc_Annual!AO55))</f>
        <v/>
      </c>
      <c r="R55" s="134" t="str">
        <f>IF(B55&gt;Coverage,"",SUM(Calc_Annual!AG55,Calc_Annual!AJ55,Calc_Annual!AM55,Calc_Annual!AP55))</f>
        <v/>
      </c>
      <c r="S55" s="134" t="str">
        <f>IF(B55&gt;Coverage,"",SUM(Calc_Annual!AR55,Calc_Annual!AU55,Calc_Annual!AX55,Calc_Annual!BA55))</f>
        <v/>
      </c>
      <c r="T55" s="134" t="str">
        <f>IF(B55&gt;Coverage,"",SUM(Calc_Annual!AS55,Calc_Annual!AV55,Calc_Annual!AY55,Calc_Annual!BB55))</f>
        <v/>
      </c>
      <c r="U55" s="134" t="str">
        <f>IF(B55&gt;Coverage,"",VLOOKUP(MIN($C55,10),Assumption!$M$18:$N$28,2,0)*$I55+P55)</f>
        <v/>
      </c>
      <c r="V55" s="134" t="str">
        <f>IF(B55&gt;Coverage,"",VLOOKUP(MIN($C55,10),Assumption!$M$18:$N$28,2,0)*$I55+R55)</f>
        <v/>
      </c>
      <c r="W55" s="134" t="str">
        <f>IF(B55&gt;Coverage,"",VLOOKUP(MIN($C55,10),Assumption!$M$18:$N$28,2,0)*$I55+T55)</f>
        <v/>
      </c>
      <c r="X55" s="134" t="str">
        <f>IF(B55&gt;Coverage,"",SUM(Calc_Annual!V55,Calc_Annual!Y55,Calc_Annual!AB55,Calc_Annual!AE55))</f>
        <v/>
      </c>
      <c r="Y55" s="134" t="str">
        <f>IF(B55&gt;Coverage,"",SUM(Calc_Annual!AH55,Calc_Annual!AK55,Calc_Annual!AN55,Calc_Annual!AQ55))</f>
        <v/>
      </c>
      <c r="Z55" s="134" t="str">
        <f>IF(B55&gt;Coverage,"",SUM(Calc_Annual!AT55,Calc_Annual!AW55,Calc_Annual!AZ55,Calc_Annual!BC55))</f>
        <v/>
      </c>
    </row>
    <row r="56" ht="14.25" customHeight="1">
      <c r="A56" s="126">
        <v>49.0</v>
      </c>
      <c r="B56" s="129" t="str">
        <f>+IF(A56&gt;Coverage,"",A56)</f>
        <v/>
      </c>
      <c r="C56" s="134" t="str">
        <f>+IF(B56&gt;Coverage,"",IF(B56=1,Insured_Age,C55+1))</f>
        <v/>
      </c>
      <c r="D56" s="134" t="str">
        <f>+Calc_Annual!E56</f>
        <v/>
      </c>
      <c r="E56" s="134" t="str">
        <f>+Calc_Annual!F56</f>
        <v/>
      </c>
      <c r="F56" s="134" t="str">
        <f>+Calc_Annual!G56</f>
        <v/>
      </c>
      <c r="G56" s="134" t="str">
        <f>+Calc_Annual!H56</f>
        <v/>
      </c>
      <c r="H56" s="134" t="str">
        <f>+IF(B56&gt;Coverage,"",SUM(E$8:E56)+SUM(F$8:F56)-SUM(G$8:G56))</f>
        <v/>
      </c>
      <c r="I56" s="66" t="str">
        <f>+IF($B56&gt;Coverage,"",Calc_Annual!I56)</f>
        <v/>
      </c>
      <c r="J56" s="134" t="str">
        <f>+Calc_Annual!K56</f>
        <v/>
      </c>
      <c r="K56" s="134" t="str">
        <f>Calc_Annual!L56</f>
        <v/>
      </c>
      <c r="L56" s="134" t="str">
        <f>+Calc_Annual!Q56</f>
        <v/>
      </c>
      <c r="M56" s="134" t="str">
        <f>+Calc_Annual!R56</f>
        <v/>
      </c>
      <c r="N56" s="134" t="str">
        <f>+Calc_Annual!S56</f>
        <v/>
      </c>
      <c r="O56" s="134" t="str">
        <f>IF(B56&gt;Coverage,"",SUM(Calc_Annual!T56,Calc_Annual!W56,Calc_Annual!Z56,Calc_Annual!AC56))</f>
        <v/>
      </c>
      <c r="P56" s="134" t="str">
        <f>IF(B56&gt;Coverage,"",SUM(Calc_Annual!U56,Calc_Annual!X56,Calc_Annual!AA56,Calc_Annual!AD56))</f>
        <v/>
      </c>
      <c r="Q56" s="134" t="str">
        <f>IF(B56&gt;Coverage,"",SUM(Calc_Annual!AF56,Calc_Annual!AI56,Calc_Annual!AL56,Calc_Annual!AO56))</f>
        <v/>
      </c>
      <c r="R56" s="134" t="str">
        <f>IF(B56&gt;Coverage,"",SUM(Calc_Annual!AG56,Calc_Annual!AJ56,Calc_Annual!AM56,Calc_Annual!AP56))</f>
        <v/>
      </c>
      <c r="S56" s="134" t="str">
        <f>IF(B56&gt;Coverage,"",SUM(Calc_Annual!AR56,Calc_Annual!AU56,Calc_Annual!AX56,Calc_Annual!BA56))</f>
        <v/>
      </c>
      <c r="T56" s="134" t="str">
        <f>IF(B56&gt;Coverage,"",SUM(Calc_Annual!AS56,Calc_Annual!AV56,Calc_Annual!AY56,Calc_Annual!BB56))</f>
        <v/>
      </c>
      <c r="U56" s="134" t="str">
        <f>IF(B56&gt;Coverage,"",VLOOKUP(MIN($C56,10),Assumption!$M$18:$N$28,2,0)*$I56+P56)</f>
        <v/>
      </c>
      <c r="V56" s="134" t="str">
        <f>IF(B56&gt;Coverage,"",VLOOKUP(MIN($C56,10),Assumption!$M$18:$N$28,2,0)*$I56+R56)</f>
        <v/>
      </c>
      <c r="W56" s="134" t="str">
        <f>IF(B56&gt;Coverage,"",VLOOKUP(MIN($C56,10),Assumption!$M$18:$N$28,2,0)*$I56+T56)</f>
        <v/>
      </c>
      <c r="X56" s="134" t="str">
        <f>IF(B56&gt;Coverage,"",SUM(Calc_Annual!V56,Calc_Annual!Y56,Calc_Annual!AB56,Calc_Annual!AE56))</f>
        <v/>
      </c>
      <c r="Y56" s="134" t="str">
        <f>IF(B56&gt;Coverage,"",SUM(Calc_Annual!AH56,Calc_Annual!AK56,Calc_Annual!AN56,Calc_Annual!AQ56))</f>
        <v/>
      </c>
      <c r="Z56" s="134" t="str">
        <f>IF(B56&gt;Coverage,"",SUM(Calc_Annual!AT56,Calc_Annual!AW56,Calc_Annual!AZ56,Calc_Annual!BC56))</f>
        <v/>
      </c>
    </row>
    <row r="57" ht="14.25" customHeight="1">
      <c r="A57" s="126">
        <v>50.0</v>
      </c>
      <c r="B57" s="129" t="str">
        <f>+IF(A57&gt;Coverage,"",A57)</f>
        <v/>
      </c>
      <c r="C57" s="134" t="str">
        <f>+IF(B57&gt;Coverage,"",IF(B57=1,Insured_Age,C56+1))</f>
        <v/>
      </c>
      <c r="D57" s="134" t="str">
        <f>+Calc_Annual!E57</f>
        <v/>
      </c>
      <c r="E57" s="134" t="str">
        <f>+Calc_Annual!F57</f>
        <v/>
      </c>
      <c r="F57" s="134" t="str">
        <f>+Calc_Annual!G57</f>
        <v/>
      </c>
      <c r="G57" s="134" t="str">
        <f>+Calc_Annual!H57</f>
        <v/>
      </c>
      <c r="H57" s="134" t="str">
        <f>+IF(B57&gt;Coverage,"",SUM(E$8:E57)+SUM(F$8:F57)-SUM(G$8:G57))</f>
        <v/>
      </c>
      <c r="I57" s="66" t="str">
        <f>+IF($B57&gt;Coverage,"",Calc_Annual!I57)</f>
        <v/>
      </c>
      <c r="J57" s="134" t="str">
        <f>+Calc_Annual!K57</f>
        <v/>
      </c>
      <c r="K57" s="134" t="str">
        <f>Calc_Annual!L57</f>
        <v/>
      </c>
      <c r="L57" s="134" t="str">
        <f>+Calc_Annual!Q57</f>
        <v/>
      </c>
      <c r="M57" s="134" t="str">
        <f>+Calc_Annual!R57</f>
        <v/>
      </c>
      <c r="N57" s="134" t="str">
        <f>+Calc_Annual!S57</f>
        <v/>
      </c>
      <c r="O57" s="134" t="str">
        <f>IF(B57&gt;Coverage,"",SUM(Calc_Annual!T57,Calc_Annual!W57,Calc_Annual!Z57,Calc_Annual!AC57))</f>
        <v/>
      </c>
      <c r="P57" s="134" t="str">
        <f>IF(B57&gt;Coverage,"",SUM(Calc_Annual!U57,Calc_Annual!X57,Calc_Annual!AA57,Calc_Annual!AD57))</f>
        <v/>
      </c>
      <c r="Q57" s="134" t="str">
        <f>IF(B57&gt;Coverage,"",SUM(Calc_Annual!AF57,Calc_Annual!AI57,Calc_Annual!AL57,Calc_Annual!AO57))</f>
        <v/>
      </c>
      <c r="R57" s="134" t="str">
        <f>IF(B57&gt;Coverage,"",SUM(Calc_Annual!AG57,Calc_Annual!AJ57,Calc_Annual!AM57,Calc_Annual!AP57))</f>
        <v/>
      </c>
      <c r="S57" s="134" t="str">
        <f>IF(B57&gt;Coverage,"",SUM(Calc_Annual!AR57,Calc_Annual!AU57,Calc_Annual!AX57,Calc_Annual!BA57))</f>
        <v/>
      </c>
      <c r="T57" s="134" t="str">
        <f>IF(B57&gt;Coverage,"",SUM(Calc_Annual!AS57,Calc_Annual!AV57,Calc_Annual!AY57,Calc_Annual!BB57))</f>
        <v/>
      </c>
      <c r="U57" s="134" t="str">
        <f>IF(B57&gt;Coverage,"",VLOOKUP(MIN($C57,10),Assumption!$M$18:$N$28,2,0)*$I57+P57)</f>
        <v/>
      </c>
      <c r="V57" s="134" t="str">
        <f>IF(B57&gt;Coverage,"",VLOOKUP(MIN($C57,10),Assumption!$M$18:$N$28,2,0)*$I57+R57)</f>
        <v/>
      </c>
      <c r="W57" s="134" t="str">
        <f>IF(B57&gt;Coverage,"",VLOOKUP(MIN($C57,10),Assumption!$M$18:$N$28,2,0)*$I57+T57)</f>
        <v/>
      </c>
      <c r="X57" s="134" t="str">
        <f>IF(B57&gt;Coverage,"",SUM(Calc_Annual!V57,Calc_Annual!Y57,Calc_Annual!AB57,Calc_Annual!AE57))</f>
        <v/>
      </c>
      <c r="Y57" s="134" t="str">
        <f>IF(B57&gt;Coverage,"",SUM(Calc_Annual!AH57,Calc_Annual!AK57,Calc_Annual!AN57,Calc_Annual!AQ57))</f>
        <v/>
      </c>
      <c r="Z57" s="134" t="str">
        <f>IF(B57&gt;Coverage,"",SUM(Calc_Annual!AT57,Calc_Annual!AW57,Calc_Annual!AZ57,Calc_Annual!BC57))</f>
        <v/>
      </c>
    </row>
    <row r="58" ht="14.25" customHeight="1">
      <c r="A58" s="126">
        <v>51.0</v>
      </c>
      <c r="B58" s="129" t="str">
        <f>+IF(A58&gt;Coverage,"",A58)</f>
        <v/>
      </c>
      <c r="C58" s="134" t="str">
        <f>+IF(B58&gt;Coverage,"",IF(B58=1,Insured_Age,C57+1))</f>
        <v/>
      </c>
      <c r="D58" s="134" t="str">
        <f>+Calc_Annual!E58</f>
        <v/>
      </c>
      <c r="E58" s="134" t="str">
        <f>+Calc_Annual!F58</f>
        <v/>
      </c>
      <c r="F58" s="134" t="str">
        <f>+Calc_Annual!G58</f>
        <v/>
      </c>
      <c r="G58" s="134" t="str">
        <f>+Calc_Annual!H58</f>
        <v/>
      </c>
      <c r="H58" s="134" t="str">
        <f>+IF(B58&gt;Coverage,"",SUM(E$8:E58)+SUM(F$8:F58)-SUM(G$8:G58))</f>
        <v/>
      </c>
      <c r="I58" s="66" t="str">
        <f>+IF($B58&gt;Coverage,"",Calc_Annual!I58)</f>
        <v/>
      </c>
      <c r="J58" s="134" t="str">
        <f>+Calc_Annual!K58</f>
        <v/>
      </c>
      <c r="K58" s="134" t="str">
        <f>Calc_Annual!L58</f>
        <v/>
      </c>
      <c r="L58" s="134" t="str">
        <f>+Calc_Annual!Q58</f>
        <v/>
      </c>
      <c r="M58" s="134" t="str">
        <f>+Calc_Annual!R58</f>
        <v/>
      </c>
      <c r="N58" s="134" t="str">
        <f>+Calc_Annual!S58</f>
        <v/>
      </c>
      <c r="O58" s="134" t="str">
        <f>IF(B58&gt;Coverage,"",SUM(Calc_Annual!T58,Calc_Annual!W58,Calc_Annual!Z58,Calc_Annual!AC58))</f>
        <v/>
      </c>
      <c r="P58" s="134" t="str">
        <f>IF(B58&gt;Coverage,"",SUM(Calc_Annual!U58,Calc_Annual!X58,Calc_Annual!AA58,Calc_Annual!AD58))</f>
        <v/>
      </c>
      <c r="Q58" s="134" t="str">
        <f>IF(B58&gt;Coverage,"",SUM(Calc_Annual!AF58,Calc_Annual!AI58,Calc_Annual!AL58,Calc_Annual!AO58))</f>
        <v/>
      </c>
      <c r="R58" s="134" t="str">
        <f>IF(B58&gt;Coverage,"",SUM(Calc_Annual!AG58,Calc_Annual!AJ58,Calc_Annual!AM58,Calc_Annual!AP58))</f>
        <v/>
      </c>
      <c r="S58" s="134" t="str">
        <f>IF(B58&gt;Coverage,"",SUM(Calc_Annual!AR58,Calc_Annual!AU58,Calc_Annual!AX58,Calc_Annual!BA58))</f>
        <v/>
      </c>
      <c r="T58" s="134" t="str">
        <f>IF(B58&gt;Coverage,"",SUM(Calc_Annual!AS58,Calc_Annual!AV58,Calc_Annual!AY58,Calc_Annual!BB58))</f>
        <v/>
      </c>
      <c r="U58" s="134" t="str">
        <f>IF(B58&gt;Coverage,"",VLOOKUP(MIN($C58,10),Assumption!$M$18:$N$28,2,0)*$I58+P58)</f>
        <v/>
      </c>
      <c r="V58" s="134" t="str">
        <f>IF(B58&gt;Coverage,"",VLOOKUP(MIN($C58,10),Assumption!$M$18:$N$28,2,0)*$I58+R58)</f>
        <v/>
      </c>
      <c r="W58" s="134" t="str">
        <f>IF(B58&gt;Coverage,"",VLOOKUP(MIN($C58,10),Assumption!$M$18:$N$28,2,0)*$I58+T58)</f>
        <v/>
      </c>
      <c r="X58" s="134" t="str">
        <f>IF(B58&gt;Coverage,"",SUM(Calc_Annual!V58,Calc_Annual!Y58,Calc_Annual!AB58,Calc_Annual!AE58))</f>
        <v/>
      </c>
      <c r="Y58" s="134" t="str">
        <f>IF(B58&gt;Coverage,"",SUM(Calc_Annual!AH58,Calc_Annual!AK58,Calc_Annual!AN58,Calc_Annual!AQ58))</f>
        <v/>
      </c>
      <c r="Z58" s="134" t="str">
        <f>IF(B58&gt;Coverage,"",SUM(Calc_Annual!AT58,Calc_Annual!AW58,Calc_Annual!AZ58,Calc_Annual!BC58))</f>
        <v/>
      </c>
    </row>
    <row r="59" ht="14.25" customHeight="1">
      <c r="A59" s="126">
        <v>52.0</v>
      </c>
      <c r="B59" s="129" t="str">
        <f>+IF(A59&gt;Coverage,"",A59)</f>
        <v/>
      </c>
      <c r="C59" s="134" t="str">
        <f>+IF(B59&gt;Coverage,"",IF(B59=1,Insured_Age,C58+1))</f>
        <v/>
      </c>
      <c r="D59" s="134" t="str">
        <f>+Calc_Annual!E59</f>
        <v/>
      </c>
      <c r="E59" s="134" t="str">
        <f>+Calc_Annual!F59</f>
        <v/>
      </c>
      <c r="F59" s="134" t="str">
        <f>+Calc_Annual!G59</f>
        <v/>
      </c>
      <c r="G59" s="134" t="str">
        <f>+Calc_Annual!H59</f>
        <v/>
      </c>
      <c r="H59" s="134" t="str">
        <f>+IF(B59&gt;Coverage,"",SUM(E$8:E59)+SUM(F$8:F59)-SUM(G$8:G59))</f>
        <v/>
      </c>
      <c r="I59" s="66" t="str">
        <f>+IF($B59&gt;Coverage,"",Calc_Annual!I59)</f>
        <v/>
      </c>
      <c r="J59" s="134" t="str">
        <f>+Calc_Annual!K59</f>
        <v/>
      </c>
      <c r="K59" s="134" t="str">
        <f>Calc_Annual!L59</f>
        <v/>
      </c>
      <c r="L59" s="134" t="str">
        <f>+Calc_Annual!Q59</f>
        <v/>
      </c>
      <c r="M59" s="134" t="str">
        <f>+Calc_Annual!R59</f>
        <v/>
      </c>
      <c r="N59" s="134" t="str">
        <f>+Calc_Annual!S59</f>
        <v/>
      </c>
      <c r="O59" s="134" t="str">
        <f>IF(B59&gt;Coverage,"",SUM(Calc_Annual!T59,Calc_Annual!W59,Calc_Annual!Z59,Calc_Annual!AC59))</f>
        <v/>
      </c>
      <c r="P59" s="134" t="str">
        <f>IF(B59&gt;Coverage,"",SUM(Calc_Annual!U59,Calc_Annual!X59,Calc_Annual!AA59,Calc_Annual!AD59))</f>
        <v/>
      </c>
      <c r="Q59" s="134" t="str">
        <f>IF(B59&gt;Coverage,"",SUM(Calc_Annual!AF59,Calc_Annual!AI59,Calc_Annual!AL59,Calc_Annual!AO59))</f>
        <v/>
      </c>
      <c r="R59" s="134" t="str">
        <f>IF(B59&gt;Coverage,"",SUM(Calc_Annual!AG59,Calc_Annual!AJ59,Calc_Annual!AM59,Calc_Annual!AP59))</f>
        <v/>
      </c>
      <c r="S59" s="134" t="str">
        <f>IF(B59&gt;Coverage,"",SUM(Calc_Annual!AR59,Calc_Annual!AU59,Calc_Annual!AX59,Calc_Annual!BA59))</f>
        <v/>
      </c>
      <c r="T59" s="134" t="str">
        <f>IF(B59&gt;Coverage,"",SUM(Calc_Annual!AS59,Calc_Annual!AV59,Calc_Annual!AY59,Calc_Annual!BB59))</f>
        <v/>
      </c>
      <c r="U59" s="134" t="str">
        <f>IF(B59&gt;Coverage,"",VLOOKUP(MIN($C59,10),Assumption!$M$18:$N$28,2,0)*$I59+P59)</f>
        <v/>
      </c>
      <c r="V59" s="134" t="str">
        <f>IF(B59&gt;Coverage,"",VLOOKUP(MIN($C59,10),Assumption!$M$18:$N$28,2,0)*$I59+R59)</f>
        <v/>
      </c>
      <c r="W59" s="134" t="str">
        <f>IF(B59&gt;Coverage,"",VLOOKUP(MIN($C59,10),Assumption!$M$18:$N$28,2,0)*$I59+T59)</f>
        <v/>
      </c>
      <c r="X59" s="134" t="str">
        <f>IF(B59&gt;Coverage,"",SUM(Calc_Annual!V59,Calc_Annual!Y59,Calc_Annual!AB59,Calc_Annual!AE59))</f>
        <v/>
      </c>
      <c r="Y59" s="134" t="str">
        <f>IF(B59&gt;Coverage,"",SUM(Calc_Annual!AH59,Calc_Annual!AK59,Calc_Annual!AN59,Calc_Annual!AQ59))</f>
        <v/>
      </c>
      <c r="Z59" s="134" t="str">
        <f>IF(B59&gt;Coverage,"",SUM(Calc_Annual!AT59,Calc_Annual!AW59,Calc_Annual!AZ59,Calc_Annual!BC59))</f>
        <v/>
      </c>
    </row>
    <row r="60" ht="14.25" customHeight="1">
      <c r="A60" s="126">
        <v>53.0</v>
      </c>
      <c r="B60" s="129" t="str">
        <f>+IF(A60&gt;Coverage,"",A60)</f>
        <v/>
      </c>
      <c r="C60" s="134" t="str">
        <f>+IF(B60&gt;Coverage,"",IF(B60=1,Insured_Age,C59+1))</f>
        <v/>
      </c>
      <c r="D60" s="134" t="str">
        <f>+Calc_Annual!E60</f>
        <v/>
      </c>
      <c r="E60" s="134" t="str">
        <f>+Calc_Annual!F60</f>
        <v/>
      </c>
      <c r="F60" s="134" t="str">
        <f>+Calc_Annual!G60</f>
        <v/>
      </c>
      <c r="G60" s="134" t="str">
        <f>+Calc_Annual!H60</f>
        <v/>
      </c>
      <c r="H60" s="134" t="str">
        <f>+IF(B60&gt;Coverage,"",SUM(E$8:E60)+SUM(F$8:F60)-SUM(G$8:G60))</f>
        <v/>
      </c>
      <c r="I60" s="66" t="str">
        <f>+IF($B60&gt;Coverage,"",Calc_Annual!I60)</f>
        <v/>
      </c>
      <c r="J60" s="134" t="str">
        <f>+Calc_Annual!K60</f>
        <v/>
      </c>
      <c r="K60" s="134" t="str">
        <f>Calc_Annual!L60</f>
        <v/>
      </c>
      <c r="L60" s="134" t="str">
        <f>+Calc_Annual!Q60</f>
        <v/>
      </c>
      <c r="M60" s="134" t="str">
        <f>+Calc_Annual!R60</f>
        <v/>
      </c>
      <c r="N60" s="134" t="str">
        <f>+Calc_Annual!S60</f>
        <v/>
      </c>
      <c r="O60" s="134" t="str">
        <f>IF(B60&gt;Coverage,"",SUM(Calc_Annual!T60,Calc_Annual!W60,Calc_Annual!Z60,Calc_Annual!AC60))</f>
        <v/>
      </c>
      <c r="P60" s="134" t="str">
        <f>IF(B60&gt;Coverage,"",SUM(Calc_Annual!U60,Calc_Annual!X60,Calc_Annual!AA60,Calc_Annual!AD60))</f>
        <v/>
      </c>
      <c r="Q60" s="134" t="str">
        <f>IF(B60&gt;Coverage,"",SUM(Calc_Annual!AF60,Calc_Annual!AI60,Calc_Annual!AL60,Calc_Annual!AO60))</f>
        <v/>
      </c>
      <c r="R60" s="134" t="str">
        <f>IF(B60&gt;Coverage,"",SUM(Calc_Annual!AG60,Calc_Annual!AJ60,Calc_Annual!AM60,Calc_Annual!AP60))</f>
        <v/>
      </c>
      <c r="S60" s="134" t="str">
        <f>IF(B60&gt;Coverage,"",SUM(Calc_Annual!AR60,Calc_Annual!AU60,Calc_Annual!AX60,Calc_Annual!BA60))</f>
        <v/>
      </c>
      <c r="T60" s="134" t="str">
        <f>IF(B60&gt;Coverage,"",SUM(Calc_Annual!AS60,Calc_Annual!AV60,Calc_Annual!AY60,Calc_Annual!BB60))</f>
        <v/>
      </c>
      <c r="U60" s="134" t="str">
        <f>IF(B60&gt;Coverage,"",VLOOKUP(MIN($C60,10),Assumption!$M$18:$N$28,2,0)*$I60+P60)</f>
        <v/>
      </c>
      <c r="V60" s="134" t="str">
        <f>IF(B60&gt;Coverage,"",VLOOKUP(MIN($C60,10),Assumption!$M$18:$N$28,2,0)*$I60+R60)</f>
        <v/>
      </c>
      <c r="W60" s="134" t="str">
        <f>IF(B60&gt;Coverage,"",VLOOKUP(MIN($C60,10),Assumption!$M$18:$N$28,2,0)*$I60+T60)</f>
        <v/>
      </c>
      <c r="X60" s="134" t="str">
        <f>IF(B60&gt;Coverage,"",SUM(Calc_Annual!V60,Calc_Annual!Y60,Calc_Annual!AB60,Calc_Annual!AE60))</f>
        <v/>
      </c>
      <c r="Y60" s="134" t="str">
        <f>IF(B60&gt;Coverage,"",SUM(Calc_Annual!AH60,Calc_Annual!AK60,Calc_Annual!AN60,Calc_Annual!AQ60))</f>
        <v/>
      </c>
      <c r="Z60" s="134" t="str">
        <f>IF(B60&gt;Coverage,"",SUM(Calc_Annual!AT60,Calc_Annual!AW60,Calc_Annual!AZ60,Calc_Annual!BC60))</f>
        <v/>
      </c>
    </row>
    <row r="61" ht="14.25" customHeight="1">
      <c r="A61" s="126">
        <v>54.0</v>
      </c>
      <c r="B61" s="129" t="str">
        <f>+IF(A61&gt;Coverage,"",A61)</f>
        <v/>
      </c>
      <c r="C61" s="134" t="str">
        <f>+IF(B61&gt;Coverage,"",IF(B61=1,Insured_Age,C60+1))</f>
        <v/>
      </c>
      <c r="D61" s="134" t="str">
        <f>+Calc_Annual!E61</f>
        <v/>
      </c>
      <c r="E61" s="134" t="str">
        <f>+Calc_Annual!F61</f>
        <v/>
      </c>
      <c r="F61" s="134" t="str">
        <f>+Calc_Annual!G61</f>
        <v/>
      </c>
      <c r="G61" s="134" t="str">
        <f>+Calc_Annual!H61</f>
        <v/>
      </c>
      <c r="H61" s="134" t="str">
        <f>+IF(B61&gt;Coverage,"",SUM(E$8:E61)+SUM(F$8:F61)-SUM(G$8:G61))</f>
        <v/>
      </c>
      <c r="I61" s="66" t="str">
        <f>+IF($B61&gt;Coverage,"",Calc_Annual!I61)</f>
        <v/>
      </c>
      <c r="J61" s="134" t="str">
        <f>+Calc_Annual!K61</f>
        <v/>
      </c>
      <c r="K61" s="134" t="str">
        <f>Calc_Annual!L61</f>
        <v/>
      </c>
      <c r="L61" s="134" t="str">
        <f>+Calc_Annual!Q61</f>
        <v/>
      </c>
      <c r="M61" s="134" t="str">
        <f>+Calc_Annual!R61</f>
        <v/>
      </c>
      <c r="N61" s="134" t="str">
        <f>+Calc_Annual!S61</f>
        <v/>
      </c>
      <c r="O61" s="134" t="str">
        <f>IF(B61&gt;Coverage,"",SUM(Calc_Annual!T61,Calc_Annual!W61,Calc_Annual!Z61,Calc_Annual!AC61))</f>
        <v/>
      </c>
      <c r="P61" s="134" t="str">
        <f>IF(B61&gt;Coverage,"",SUM(Calc_Annual!U61,Calc_Annual!X61,Calc_Annual!AA61,Calc_Annual!AD61))</f>
        <v/>
      </c>
      <c r="Q61" s="134" t="str">
        <f>IF(B61&gt;Coverage,"",SUM(Calc_Annual!AF61,Calc_Annual!AI61,Calc_Annual!AL61,Calc_Annual!AO61))</f>
        <v/>
      </c>
      <c r="R61" s="134" t="str">
        <f>IF(B61&gt;Coverage,"",SUM(Calc_Annual!AG61,Calc_Annual!AJ61,Calc_Annual!AM61,Calc_Annual!AP61))</f>
        <v/>
      </c>
      <c r="S61" s="134" t="str">
        <f>IF(B61&gt;Coverage,"",SUM(Calc_Annual!AR61,Calc_Annual!AU61,Calc_Annual!AX61,Calc_Annual!BA61))</f>
        <v/>
      </c>
      <c r="T61" s="134" t="str">
        <f>IF(B61&gt;Coverage,"",SUM(Calc_Annual!AS61,Calc_Annual!AV61,Calc_Annual!AY61,Calc_Annual!BB61))</f>
        <v/>
      </c>
      <c r="U61" s="134" t="str">
        <f>IF(B61&gt;Coverage,"",VLOOKUP(MIN($C61,10),Assumption!$M$18:$N$28,2,0)*$I61+P61)</f>
        <v/>
      </c>
      <c r="V61" s="134" t="str">
        <f>IF(B61&gt;Coverage,"",VLOOKUP(MIN($C61,10),Assumption!$M$18:$N$28,2,0)*$I61+R61)</f>
        <v/>
      </c>
      <c r="W61" s="134" t="str">
        <f>IF(B61&gt;Coverage,"",VLOOKUP(MIN($C61,10),Assumption!$M$18:$N$28,2,0)*$I61+T61)</f>
        <v/>
      </c>
      <c r="X61" s="134" t="str">
        <f>IF(B61&gt;Coverage,"",SUM(Calc_Annual!V61,Calc_Annual!Y61,Calc_Annual!AB61,Calc_Annual!AE61))</f>
        <v/>
      </c>
      <c r="Y61" s="134" t="str">
        <f>IF(B61&gt;Coverage,"",SUM(Calc_Annual!AH61,Calc_Annual!AK61,Calc_Annual!AN61,Calc_Annual!AQ61))</f>
        <v/>
      </c>
      <c r="Z61" s="134" t="str">
        <f>IF(B61&gt;Coverage,"",SUM(Calc_Annual!AT61,Calc_Annual!AW61,Calc_Annual!AZ61,Calc_Annual!BC61))</f>
        <v/>
      </c>
    </row>
    <row r="62" ht="14.25" customHeight="1">
      <c r="A62" s="126">
        <v>55.0</v>
      </c>
      <c r="B62" s="129" t="str">
        <f>+IF(A62&gt;Coverage,"",A62)</f>
        <v/>
      </c>
      <c r="C62" s="134" t="str">
        <f>+IF(B62&gt;Coverage,"",IF(B62=1,Insured_Age,C61+1))</f>
        <v/>
      </c>
      <c r="D62" s="134" t="str">
        <f>+Calc_Annual!E62</f>
        <v/>
      </c>
      <c r="E62" s="134" t="str">
        <f>+Calc_Annual!F62</f>
        <v/>
      </c>
      <c r="F62" s="134" t="str">
        <f>+Calc_Annual!G62</f>
        <v/>
      </c>
      <c r="G62" s="134" t="str">
        <f>+Calc_Annual!H62</f>
        <v/>
      </c>
      <c r="H62" s="134" t="str">
        <f>+IF(B62&gt;Coverage,"",SUM(E$8:E62)+SUM(F$8:F62)-SUM(G$8:G62))</f>
        <v/>
      </c>
      <c r="I62" s="66" t="str">
        <f>+IF($B62&gt;Coverage,"",Calc_Annual!I62)</f>
        <v/>
      </c>
      <c r="J62" s="134" t="str">
        <f>+Calc_Annual!K62</f>
        <v/>
      </c>
      <c r="K62" s="134" t="str">
        <f>Calc_Annual!L62</f>
        <v/>
      </c>
      <c r="L62" s="134" t="str">
        <f>+Calc_Annual!Q62</f>
        <v/>
      </c>
      <c r="M62" s="134" t="str">
        <f>+Calc_Annual!R62</f>
        <v/>
      </c>
      <c r="N62" s="134" t="str">
        <f>+Calc_Annual!S62</f>
        <v/>
      </c>
      <c r="O62" s="134" t="str">
        <f>IF(B62&gt;Coverage,"",SUM(Calc_Annual!T62,Calc_Annual!W62,Calc_Annual!Z62,Calc_Annual!AC62))</f>
        <v/>
      </c>
      <c r="P62" s="134" t="str">
        <f>IF(B62&gt;Coverage,"",SUM(Calc_Annual!U62,Calc_Annual!X62,Calc_Annual!AA62,Calc_Annual!AD62))</f>
        <v/>
      </c>
      <c r="Q62" s="134" t="str">
        <f>IF(B62&gt;Coverage,"",SUM(Calc_Annual!AF62,Calc_Annual!AI62,Calc_Annual!AL62,Calc_Annual!AO62))</f>
        <v/>
      </c>
      <c r="R62" s="134" t="str">
        <f>IF(B62&gt;Coverage,"",SUM(Calc_Annual!AG62,Calc_Annual!AJ62,Calc_Annual!AM62,Calc_Annual!AP62))</f>
        <v/>
      </c>
      <c r="S62" s="134" t="str">
        <f>IF(B62&gt;Coverage,"",SUM(Calc_Annual!AR62,Calc_Annual!AU62,Calc_Annual!AX62,Calc_Annual!BA62))</f>
        <v/>
      </c>
      <c r="T62" s="134" t="str">
        <f>IF(B62&gt;Coverage,"",SUM(Calc_Annual!AS62,Calc_Annual!AV62,Calc_Annual!AY62,Calc_Annual!BB62))</f>
        <v/>
      </c>
      <c r="U62" s="134" t="str">
        <f>IF(B62&gt;Coverage,"",VLOOKUP(MIN($C62,10),Assumption!$M$18:$N$28,2,0)*$I62+P62)</f>
        <v/>
      </c>
      <c r="V62" s="134" t="str">
        <f>IF(B62&gt;Coverage,"",VLOOKUP(MIN($C62,10),Assumption!$M$18:$N$28,2,0)*$I62+R62)</f>
        <v/>
      </c>
      <c r="W62" s="134" t="str">
        <f>IF(B62&gt;Coverage,"",VLOOKUP(MIN($C62,10),Assumption!$M$18:$N$28,2,0)*$I62+T62)</f>
        <v/>
      </c>
      <c r="X62" s="134" t="str">
        <f>IF(B62&gt;Coverage,"",SUM(Calc_Annual!V62,Calc_Annual!Y62,Calc_Annual!AB62,Calc_Annual!AE62))</f>
        <v/>
      </c>
      <c r="Y62" s="134" t="str">
        <f>IF(B62&gt;Coverage,"",SUM(Calc_Annual!AH62,Calc_Annual!AK62,Calc_Annual!AN62,Calc_Annual!AQ62))</f>
        <v/>
      </c>
      <c r="Z62" s="134" t="str">
        <f>IF(B62&gt;Coverage,"",SUM(Calc_Annual!AT62,Calc_Annual!AW62,Calc_Annual!AZ62,Calc_Annual!BC62))</f>
        <v/>
      </c>
    </row>
    <row r="63" ht="14.25" customHeight="1">
      <c r="A63" s="126">
        <v>56.0</v>
      </c>
      <c r="B63" s="129" t="str">
        <f>+IF(A63&gt;Coverage,"",A63)</f>
        <v/>
      </c>
      <c r="C63" s="134" t="str">
        <f>+IF(B63&gt;Coverage,"",IF(B63=1,Insured_Age,C62+1))</f>
        <v/>
      </c>
      <c r="D63" s="134" t="str">
        <f>+Calc_Annual!E63</f>
        <v/>
      </c>
      <c r="E63" s="134" t="str">
        <f>+Calc_Annual!F63</f>
        <v/>
      </c>
      <c r="F63" s="134" t="str">
        <f>+Calc_Annual!G63</f>
        <v/>
      </c>
      <c r="G63" s="134" t="str">
        <f>+Calc_Annual!H63</f>
        <v/>
      </c>
      <c r="H63" s="134" t="str">
        <f>+IF(B63&gt;Coverage,"",SUM(E$8:E63)+SUM(F$8:F63)-SUM(G$8:G63))</f>
        <v/>
      </c>
      <c r="I63" s="66" t="str">
        <f>+IF($B63&gt;Coverage,"",Calc_Annual!I63)</f>
        <v/>
      </c>
      <c r="J63" s="134" t="str">
        <f>+Calc_Annual!K63</f>
        <v/>
      </c>
      <c r="K63" s="134" t="str">
        <f>Calc_Annual!L63</f>
        <v/>
      </c>
      <c r="L63" s="134" t="str">
        <f>+Calc_Annual!Q63</f>
        <v/>
      </c>
      <c r="M63" s="134" t="str">
        <f>+Calc_Annual!R63</f>
        <v/>
      </c>
      <c r="N63" s="134" t="str">
        <f>+Calc_Annual!S63</f>
        <v/>
      </c>
      <c r="O63" s="134" t="str">
        <f>IF(B63&gt;Coverage,"",SUM(Calc_Annual!T63,Calc_Annual!W63,Calc_Annual!Z63,Calc_Annual!AC63))</f>
        <v/>
      </c>
      <c r="P63" s="134" t="str">
        <f>IF(B63&gt;Coverage,"",SUM(Calc_Annual!U63,Calc_Annual!X63,Calc_Annual!AA63,Calc_Annual!AD63))</f>
        <v/>
      </c>
      <c r="Q63" s="134" t="str">
        <f>IF(B63&gt;Coverage,"",SUM(Calc_Annual!AF63,Calc_Annual!AI63,Calc_Annual!AL63,Calc_Annual!AO63))</f>
        <v/>
      </c>
      <c r="R63" s="134" t="str">
        <f>IF(B63&gt;Coverage,"",SUM(Calc_Annual!AG63,Calc_Annual!AJ63,Calc_Annual!AM63,Calc_Annual!AP63))</f>
        <v/>
      </c>
      <c r="S63" s="134" t="str">
        <f>IF(B63&gt;Coverage,"",SUM(Calc_Annual!AR63,Calc_Annual!AU63,Calc_Annual!AX63,Calc_Annual!BA63))</f>
        <v/>
      </c>
      <c r="T63" s="134" t="str">
        <f>IF(B63&gt;Coverage,"",SUM(Calc_Annual!AS63,Calc_Annual!AV63,Calc_Annual!AY63,Calc_Annual!BB63))</f>
        <v/>
      </c>
      <c r="U63" s="134" t="str">
        <f>IF(B63&gt;Coverage,"",VLOOKUP(MIN($C63,10),Assumption!$M$18:$N$28,2,0)*$I63+P63)</f>
        <v/>
      </c>
      <c r="V63" s="134" t="str">
        <f>IF(B63&gt;Coverage,"",VLOOKUP(MIN($C63,10),Assumption!$M$18:$N$28,2,0)*$I63+R63)</f>
        <v/>
      </c>
      <c r="W63" s="134" t="str">
        <f>IF(B63&gt;Coverage,"",VLOOKUP(MIN($C63,10),Assumption!$M$18:$N$28,2,0)*$I63+T63)</f>
        <v/>
      </c>
      <c r="X63" s="134" t="str">
        <f>IF(B63&gt;Coverage,"",SUM(Calc_Annual!V63,Calc_Annual!Y63,Calc_Annual!AB63,Calc_Annual!AE63))</f>
        <v/>
      </c>
      <c r="Y63" s="134" t="str">
        <f>IF(B63&gt;Coverage,"",SUM(Calc_Annual!AH63,Calc_Annual!AK63,Calc_Annual!AN63,Calc_Annual!AQ63))</f>
        <v/>
      </c>
      <c r="Z63" s="134" t="str">
        <f>IF(B63&gt;Coverage,"",SUM(Calc_Annual!AT63,Calc_Annual!AW63,Calc_Annual!AZ63,Calc_Annual!BC63))</f>
        <v/>
      </c>
    </row>
    <row r="64" ht="14.25" customHeight="1">
      <c r="A64" s="126">
        <v>57.0</v>
      </c>
      <c r="B64" s="129" t="str">
        <f>+IF(A64&gt;Coverage,"",A64)</f>
        <v/>
      </c>
      <c r="C64" s="134" t="str">
        <f>+IF(B64&gt;Coverage,"",IF(B64=1,Insured_Age,C63+1))</f>
        <v/>
      </c>
      <c r="D64" s="134" t="str">
        <f>+Calc_Annual!E64</f>
        <v/>
      </c>
      <c r="E64" s="134" t="str">
        <f>+Calc_Annual!F64</f>
        <v/>
      </c>
      <c r="F64" s="134" t="str">
        <f>+Calc_Annual!G64</f>
        <v/>
      </c>
      <c r="G64" s="134" t="str">
        <f>+Calc_Annual!H64</f>
        <v/>
      </c>
      <c r="H64" s="134" t="str">
        <f>+IF(B64&gt;Coverage,"",SUM(E$8:E64)+SUM(F$8:F64)-SUM(G$8:G64))</f>
        <v/>
      </c>
      <c r="I64" s="66" t="str">
        <f>+IF($B64&gt;Coverage,"",Calc_Annual!I64)</f>
        <v/>
      </c>
      <c r="J64" s="134" t="str">
        <f>+Calc_Annual!K64</f>
        <v/>
      </c>
      <c r="K64" s="134" t="str">
        <f>Calc_Annual!L64</f>
        <v/>
      </c>
      <c r="L64" s="134" t="str">
        <f>+Calc_Annual!Q64</f>
        <v/>
      </c>
      <c r="M64" s="134" t="str">
        <f>+Calc_Annual!R64</f>
        <v/>
      </c>
      <c r="N64" s="134" t="str">
        <f>+Calc_Annual!S64</f>
        <v/>
      </c>
      <c r="O64" s="134" t="str">
        <f>IF(B64&gt;Coverage,"",SUM(Calc_Annual!T64,Calc_Annual!W64,Calc_Annual!Z64,Calc_Annual!AC64))</f>
        <v/>
      </c>
      <c r="P64" s="134" t="str">
        <f>IF(B64&gt;Coverage,"",SUM(Calc_Annual!U64,Calc_Annual!X64,Calc_Annual!AA64,Calc_Annual!AD64))</f>
        <v/>
      </c>
      <c r="Q64" s="134" t="str">
        <f>IF(B64&gt;Coverage,"",SUM(Calc_Annual!AF64,Calc_Annual!AI64,Calc_Annual!AL64,Calc_Annual!AO64))</f>
        <v/>
      </c>
      <c r="R64" s="134" t="str">
        <f>IF(B64&gt;Coverage,"",SUM(Calc_Annual!AG64,Calc_Annual!AJ64,Calc_Annual!AM64,Calc_Annual!AP64))</f>
        <v/>
      </c>
      <c r="S64" s="134" t="str">
        <f>IF(B64&gt;Coverage,"",SUM(Calc_Annual!AR64,Calc_Annual!AU64,Calc_Annual!AX64,Calc_Annual!BA64))</f>
        <v/>
      </c>
      <c r="T64" s="134" t="str">
        <f>IF(B64&gt;Coverage,"",SUM(Calc_Annual!AS64,Calc_Annual!AV64,Calc_Annual!AY64,Calc_Annual!BB64))</f>
        <v/>
      </c>
      <c r="U64" s="134" t="str">
        <f>IF(B64&gt;Coverage,"",VLOOKUP(MIN($C64,10),Assumption!$M$18:$N$28,2,0)*$I64+P64)</f>
        <v/>
      </c>
      <c r="V64" s="134" t="str">
        <f>IF(B64&gt;Coverage,"",VLOOKUP(MIN($C64,10),Assumption!$M$18:$N$28,2,0)*$I64+R64)</f>
        <v/>
      </c>
      <c r="W64" s="134" t="str">
        <f>IF(B64&gt;Coverage,"",VLOOKUP(MIN($C64,10),Assumption!$M$18:$N$28,2,0)*$I64+T64)</f>
        <v/>
      </c>
      <c r="X64" s="134" t="str">
        <f>IF(B64&gt;Coverage,"",SUM(Calc_Annual!V64,Calc_Annual!Y64,Calc_Annual!AB64,Calc_Annual!AE64))</f>
        <v/>
      </c>
      <c r="Y64" s="134" t="str">
        <f>IF(B64&gt;Coverage,"",SUM(Calc_Annual!AH64,Calc_Annual!AK64,Calc_Annual!AN64,Calc_Annual!AQ64))</f>
        <v/>
      </c>
      <c r="Z64" s="134" t="str">
        <f>IF(B64&gt;Coverage,"",SUM(Calc_Annual!AT64,Calc_Annual!AW64,Calc_Annual!AZ64,Calc_Annual!BC64))</f>
        <v/>
      </c>
    </row>
    <row r="65" ht="14.25" customHeight="1">
      <c r="A65" s="126">
        <v>58.0</v>
      </c>
      <c r="B65" s="129" t="str">
        <f>+IF(A65&gt;Coverage,"",A65)</f>
        <v/>
      </c>
      <c r="C65" s="134" t="str">
        <f>+IF(B65&gt;Coverage,"",IF(B65=1,Insured_Age,C64+1))</f>
        <v/>
      </c>
      <c r="D65" s="134" t="str">
        <f>+Calc_Annual!E65</f>
        <v/>
      </c>
      <c r="E65" s="134" t="str">
        <f>+Calc_Annual!F65</f>
        <v/>
      </c>
      <c r="F65" s="134" t="str">
        <f>+Calc_Annual!G65</f>
        <v/>
      </c>
      <c r="G65" s="134" t="str">
        <f>+Calc_Annual!H65</f>
        <v/>
      </c>
      <c r="H65" s="134" t="str">
        <f>+IF(B65&gt;Coverage,"",SUM(E$8:E65)+SUM(F$8:F65)-SUM(G$8:G65))</f>
        <v/>
      </c>
      <c r="I65" s="66" t="str">
        <f>+IF($B65&gt;Coverage,"",Calc_Annual!I65)</f>
        <v/>
      </c>
      <c r="J65" s="134" t="str">
        <f>+Calc_Annual!K65</f>
        <v/>
      </c>
      <c r="K65" s="134" t="str">
        <f>Calc_Annual!L65</f>
        <v/>
      </c>
      <c r="L65" s="134" t="str">
        <f>+Calc_Annual!Q65</f>
        <v/>
      </c>
      <c r="M65" s="134" t="str">
        <f>+Calc_Annual!R65</f>
        <v/>
      </c>
      <c r="N65" s="134" t="str">
        <f>+Calc_Annual!S65</f>
        <v/>
      </c>
      <c r="O65" s="134" t="str">
        <f>IF(B65&gt;Coverage,"",SUM(Calc_Annual!T65,Calc_Annual!W65,Calc_Annual!Z65,Calc_Annual!AC65))</f>
        <v/>
      </c>
      <c r="P65" s="134" t="str">
        <f>IF(B65&gt;Coverage,"",SUM(Calc_Annual!U65,Calc_Annual!X65,Calc_Annual!AA65,Calc_Annual!AD65))</f>
        <v/>
      </c>
      <c r="Q65" s="134" t="str">
        <f>IF(B65&gt;Coverage,"",SUM(Calc_Annual!AF65,Calc_Annual!AI65,Calc_Annual!AL65,Calc_Annual!AO65))</f>
        <v/>
      </c>
      <c r="R65" s="134" t="str">
        <f>IF(B65&gt;Coverage,"",SUM(Calc_Annual!AG65,Calc_Annual!AJ65,Calc_Annual!AM65,Calc_Annual!AP65))</f>
        <v/>
      </c>
      <c r="S65" s="134" t="str">
        <f>IF(B65&gt;Coverage,"",SUM(Calc_Annual!AR65,Calc_Annual!AU65,Calc_Annual!AX65,Calc_Annual!BA65))</f>
        <v/>
      </c>
      <c r="T65" s="134" t="str">
        <f>IF(B65&gt;Coverage,"",SUM(Calc_Annual!AS65,Calc_Annual!AV65,Calc_Annual!AY65,Calc_Annual!BB65))</f>
        <v/>
      </c>
      <c r="U65" s="134" t="str">
        <f>IF(B65&gt;Coverage,"",VLOOKUP(MIN($C65,10),Assumption!$M$18:$N$28,2,0)*$I65+P65)</f>
        <v/>
      </c>
      <c r="V65" s="134" t="str">
        <f>IF(B65&gt;Coverage,"",VLOOKUP(MIN($C65,10),Assumption!$M$18:$N$28,2,0)*$I65+R65)</f>
        <v/>
      </c>
      <c r="W65" s="134" t="str">
        <f>IF(B65&gt;Coverage,"",VLOOKUP(MIN($C65,10),Assumption!$M$18:$N$28,2,0)*$I65+T65)</f>
        <v/>
      </c>
      <c r="X65" s="134" t="str">
        <f>IF(B65&gt;Coverage,"",SUM(Calc_Annual!V65,Calc_Annual!Y65,Calc_Annual!AB65,Calc_Annual!AE65))</f>
        <v/>
      </c>
      <c r="Y65" s="134" t="str">
        <f>IF(B65&gt;Coverage,"",SUM(Calc_Annual!AH65,Calc_Annual!AK65,Calc_Annual!AN65,Calc_Annual!AQ65))</f>
        <v/>
      </c>
      <c r="Z65" s="134" t="str">
        <f>IF(B65&gt;Coverage,"",SUM(Calc_Annual!AT65,Calc_Annual!AW65,Calc_Annual!AZ65,Calc_Annual!BC65))</f>
        <v/>
      </c>
    </row>
    <row r="66" ht="14.25" customHeight="1">
      <c r="A66" s="126">
        <v>59.0</v>
      </c>
      <c r="B66" s="129" t="str">
        <f>+IF(A66&gt;Coverage,"",A66)</f>
        <v/>
      </c>
      <c r="C66" s="134" t="str">
        <f>+IF(B66&gt;Coverage,"",IF(B66=1,Insured_Age,C65+1))</f>
        <v/>
      </c>
      <c r="D66" s="134" t="str">
        <f>+Calc_Annual!E66</f>
        <v/>
      </c>
      <c r="E66" s="134" t="str">
        <f>+Calc_Annual!F66</f>
        <v/>
      </c>
      <c r="F66" s="134" t="str">
        <f>+Calc_Annual!G66</f>
        <v/>
      </c>
      <c r="G66" s="134" t="str">
        <f>+Calc_Annual!H66</f>
        <v/>
      </c>
      <c r="H66" s="134" t="str">
        <f>+IF(B66&gt;Coverage,"",SUM(E$8:E66)+SUM(F$8:F66)-SUM(G$8:G66))</f>
        <v/>
      </c>
      <c r="I66" s="66" t="str">
        <f>+IF($B66&gt;Coverage,"",Calc_Annual!I66)</f>
        <v/>
      </c>
      <c r="J66" s="134" t="str">
        <f>+Calc_Annual!K66</f>
        <v/>
      </c>
      <c r="K66" s="134" t="str">
        <f>Calc_Annual!L66</f>
        <v/>
      </c>
      <c r="L66" s="134" t="str">
        <f>+Calc_Annual!Q66</f>
        <v/>
      </c>
      <c r="M66" s="134" t="str">
        <f>+Calc_Annual!R66</f>
        <v/>
      </c>
      <c r="N66" s="134" t="str">
        <f>+Calc_Annual!S66</f>
        <v/>
      </c>
      <c r="O66" s="134" t="str">
        <f>IF(B66&gt;Coverage,"",SUM(Calc_Annual!T66,Calc_Annual!W66,Calc_Annual!Z66,Calc_Annual!AC66))</f>
        <v/>
      </c>
      <c r="P66" s="134" t="str">
        <f>IF(B66&gt;Coverage,"",SUM(Calc_Annual!U66,Calc_Annual!X66,Calc_Annual!AA66,Calc_Annual!AD66))</f>
        <v/>
      </c>
      <c r="Q66" s="134" t="str">
        <f>IF(B66&gt;Coverage,"",SUM(Calc_Annual!AF66,Calc_Annual!AI66,Calc_Annual!AL66,Calc_Annual!AO66))</f>
        <v/>
      </c>
      <c r="R66" s="134" t="str">
        <f>IF(B66&gt;Coverage,"",SUM(Calc_Annual!AG66,Calc_Annual!AJ66,Calc_Annual!AM66,Calc_Annual!AP66))</f>
        <v/>
      </c>
      <c r="S66" s="134" t="str">
        <f>IF(B66&gt;Coverage,"",SUM(Calc_Annual!AR66,Calc_Annual!AU66,Calc_Annual!AX66,Calc_Annual!BA66))</f>
        <v/>
      </c>
      <c r="T66" s="134" t="str">
        <f>IF(B66&gt;Coverage,"",SUM(Calc_Annual!AS66,Calc_Annual!AV66,Calc_Annual!AY66,Calc_Annual!BB66))</f>
        <v/>
      </c>
      <c r="U66" s="134" t="str">
        <f>IF(B66&gt;Coverage,"",VLOOKUP(MIN($C66,10),Assumption!$M$18:$N$28,2,0)*$I66+P66)</f>
        <v/>
      </c>
      <c r="V66" s="134" t="str">
        <f>IF(B66&gt;Coverage,"",VLOOKUP(MIN($C66,10),Assumption!$M$18:$N$28,2,0)*$I66+R66)</f>
        <v/>
      </c>
      <c r="W66" s="134" t="str">
        <f>IF(B66&gt;Coverage,"",VLOOKUP(MIN($C66,10),Assumption!$M$18:$N$28,2,0)*$I66+T66)</f>
        <v/>
      </c>
      <c r="X66" s="134" t="str">
        <f>IF(B66&gt;Coverage,"",SUM(Calc_Annual!V66,Calc_Annual!Y66,Calc_Annual!AB66,Calc_Annual!AE66))</f>
        <v/>
      </c>
      <c r="Y66" s="134" t="str">
        <f>IF(B66&gt;Coverage,"",SUM(Calc_Annual!AH66,Calc_Annual!AK66,Calc_Annual!AN66,Calc_Annual!AQ66))</f>
        <v/>
      </c>
      <c r="Z66" s="134" t="str">
        <f>IF(B66&gt;Coverage,"",SUM(Calc_Annual!AT66,Calc_Annual!AW66,Calc_Annual!AZ66,Calc_Annual!BC66))</f>
        <v/>
      </c>
    </row>
    <row r="67" ht="14.25" customHeight="1">
      <c r="A67" s="126">
        <v>60.0</v>
      </c>
      <c r="B67" s="129" t="str">
        <f>+IF(A67&gt;Coverage,"",A67)</f>
        <v/>
      </c>
      <c r="C67" s="134" t="str">
        <f>+IF(B67&gt;Coverage,"",IF(B67=1,Insured_Age,C66+1))</f>
        <v/>
      </c>
      <c r="D67" s="134" t="str">
        <f>+Calc_Annual!E67</f>
        <v/>
      </c>
      <c r="E67" s="134" t="str">
        <f>+Calc_Annual!F67</f>
        <v/>
      </c>
      <c r="F67" s="134" t="str">
        <f>+Calc_Annual!G67</f>
        <v/>
      </c>
      <c r="G67" s="134" t="str">
        <f>+Calc_Annual!H67</f>
        <v/>
      </c>
      <c r="H67" s="134" t="str">
        <f>+IF(B67&gt;Coverage,"",SUM(E$8:E67)+SUM(F$8:F67)-SUM(G$8:G67))</f>
        <v/>
      </c>
      <c r="I67" s="66" t="str">
        <f>+IF($B67&gt;Coverage,"",Calc_Annual!I67)</f>
        <v/>
      </c>
      <c r="J67" s="134" t="str">
        <f>+Calc_Annual!K67</f>
        <v/>
      </c>
      <c r="K67" s="134" t="str">
        <f>Calc_Annual!L67</f>
        <v/>
      </c>
      <c r="L67" s="134" t="str">
        <f>+Calc_Annual!Q67</f>
        <v/>
      </c>
      <c r="M67" s="134" t="str">
        <f>+Calc_Annual!R67</f>
        <v/>
      </c>
      <c r="N67" s="134" t="str">
        <f>+Calc_Annual!S67</f>
        <v/>
      </c>
      <c r="O67" s="134" t="str">
        <f>IF(B67&gt;Coverage,"",SUM(Calc_Annual!T67,Calc_Annual!W67,Calc_Annual!Z67,Calc_Annual!AC67))</f>
        <v/>
      </c>
      <c r="P67" s="134" t="str">
        <f>IF(B67&gt;Coverage,"",SUM(Calc_Annual!U67,Calc_Annual!X67,Calc_Annual!AA67,Calc_Annual!AD67))</f>
        <v/>
      </c>
      <c r="Q67" s="134" t="str">
        <f>IF(B67&gt;Coverage,"",SUM(Calc_Annual!AF67,Calc_Annual!AI67,Calc_Annual!AL67,Calc_Annual!AO67))</f>
        <v/>
      </c>
      <c r="R67" s="134" t="str">
        <f>IF(B67&gt;Coverage,"",SUM(Calc_Annual!AG67,Calc_Annual!AJ67,Calc_Annual!AM67,Calc_Annual!AP67))</f>
        <v/>
      </c>
      <c r="S67" s="134" t="str">
        <f>IF(B67&gt;Coverage,"",SUM(Calc_Annual!AR67,Calc_Annual!AU67,Calc_Annual!AX67,Calc_Annual!BA67))</f>
        <v/>
      </c>
      <c r="T67" s="134" t="str">
        <f>IF(B67&gt;Coverage,"",SUM(Calc_Annual!AS67,Calc_Annual!AV67,Calc_Annual!AY67,Calc_Annual!BB67))</f>
        <v/>
      </c>
      <c r="U67" s="134" t="str">
        <f>IF(B67&gt;Coverage,"",VLOOKUP(MIN($C67,10),Assumption!$M$18:$N$28,2,0)*$I67+P67)</f>
        <v/>
      </c>
      <c r="V67" s="134" t="str">
        <f>IF(B67&gt;Coverage,"",VLOOKUP(MIN($C67,10),Assumption!$M$18:$N$28,2,0)*$I67+R67)</f>
        <v/>
      </c>
      <c r="W67" s="134" t="str">
        <f>IF(B67&gt;Coverage,"",VLOOKUP(MIN($C67,10),Assumption!$M$18:$N$28,2,0)*$I67+T67)</f>
        <v/>
      </c>
      <c r="X67" s="134" t="str">
        <f>IF(B67&gt;Coverage,"",SUM(Calc_Annual!V67,Calc_Annual!Y67,Calc_Annual!AB67,Calc_Annual!AE67))</f>
        <v/>
      </c>
      <c r="Y67" s="134" t="str">
        <f>IF(B67&gt;Coverage,"",SUM(Calc_Annual!AH67,Calc_Annual!AK67,Calc_Annual!AN67,Calc_Annual!AQ67))</f>
        <v/>
      </c>
      <c r="Z67" s="134" t="str">
        <f>IF(B67&gt;Coverage,"",SUM(Calc_Annual!AT67,Calc_Annual!AW67,Calc_Annual!AZ67,Calc_Annual!BC67))</f>
        <v/>
      </c>
    </row>
    <row r="68" ht="14.25" customHeight="1">
      <c r="A68" s="126">
        <v>61.0</v>
      </c>
      <c r="B68" s="129" t="str">
        <f>+IF(A68&gt;Coverage,"",A68)</f>
        <v/>
      </c>
      <c r="C68" s="134" t="str">
        <f>+IF(B68&gt;Coverage,"",IF(B68=1,Insured_Age,C67+1))</f>
        <v/>
      </c>
      <c r="D68" s="134" t="str">
        <f>+Calc_Annual!E68</f>
        <v/>
      </c>
      <c r="E68" s="134" t="str">
        <f>+Calc_Annual!F68</f>
        <v/>
      </c>
      <c r="F68" s="134" t="str">
        <f>+Calc_Annual!G68</f>
        <v/>
      </c>
      <c r="G68" s="134" t="str">
        <f>+Calc_Annual!H68</f>
        <v/>
      </c>
      <c r="H68" s="134" t="str">
        <f>+IF(B68&gt;Coverage,"",SUM(E$8:E68)+SUM(F$8:F68)-SUM(G$8:G68))</f>
        <v/>
      </c>
      <c r="I68" s="66" t="str">
        <f>+IF($B68&gt;Coverage,"",Calc_Annual!I68)</f>
        <v/>
      </c>
      <c r="J68" s="134" t="str">
        <f>+Calc_Annual!K68</f>
        <v/>
      </c>
      <c r="K68" s="134" t="str">
        <f>Calc_Annual!L68</f>
        <v/>
      </c>
      <c r="L68" s="134" t="str">
        <f>+Calc_Annual!Q68</f>
        <v/>
      </c>
      <c r="M68" s="134" t="str">
        <f>+Calc_Annual!R68</f>
        <v/>
      </c>
      <c r="N68" s="134" t="str">
        <f>+Calc_Annual!S68</f>
        <v/>
      </c>
      <c r="O68" s="134" t="str">
        <f>IF(B68&gt;Coverage,"",SUM(Calc_Annual!T68,Calc_Annual!W68,Calc_Annual!Z68,Calc_Annual!AC68))</f>
        <v/>
      </c>
      <c r="P68" s="134" t="str">
        <f>IF(B68&gt;Coverage,"",SUM(Calc_Annual!U68,Calc_Annual!X68,Calc_Annual!AA68,Calc_Annual!AD68))</f>
        <v/>
      </c>
      <c r="Q68" s="134" t="str">
        <f>IF(B68&gt;Coverage,"",SUM(Calc_Annual!AF68,Calc_Annual!AI68,Calc_Annual!AL68,Calc_Annual!AO68))</f>
        <v/>
      </c>
      <c r="R68" s="134" t="str">
        <f>IF(B68&gt;Coverage,"",SUM(Calc_Annual!AG68,Calc_Annual!AJ68,Calc_Annual!AM68,Calc_Annual!AP68))</f>
        <v/>
      </c>
      <c r="S68" s="134" t="str">
        <f>IF(B68&gt;Coverage,"",SUM(Calc_Annual!AR68,Calc_Annual!AU68,Calc_Annual!AX68,Calc_Annual!BA68))</f>
        <v/>
      </c>
      <c r="T68" s="134" t="str">
        <f>IF(B68&gt;Coverage,"",SUM(Calc_Annual!AS68,Calc_Annual!AV68,Calc_Annual!AY68,Calc_Annual!BB68))</f>
        <v/>
      </c>
      <c r="U68" s="134" t="str">
        <f>IF(B68&gt;Coverage,"",VLOOKUP(MIN($C68,10),Assumption!$M$18:$N$28,2,0)*$I68+P68)</f>
        <v/>
      </c>
      <c r="V68" s="134" t="str">
        <f>IF(B68&gt;Coverage,"",VLOOKUP(MIN($C68,10),Assumption!$M$18:$N$28,2,0)*$I68+R68)</f>
        <v/>
      </c>
      <c r="W68" s="134" t="str">
        <f>IF(B68&gt;Coverage,"",VLOOKUP(MIN($C68,10),Assumption!$M$18:$N$28,2,0)*$I68+T68)</f>
        <v/>
      </c>
      <c r="X68" s="134" t="str">
        <f>IF(B68&gt;Coverage,"",SUM(Calc_Annual!V68,Calc_Annual!Y68,Calc_Annual!AB68,Calc_Annual!AE68))</f>
        <v/>
      </c>
      <c r="Y68" s="134" t="str">
        <f>IF(B68&gt;Coverage,"",SUM(Calc_Annual!AH68,Calc_Annual!AK68,Calc_Annual!AN68,Calc_Annual!AQ68))</f>
        <v/>
      </c>
      <c r="Z68" s="134" t="str">
        <f>IF(B68&gt;Coverage,"",SUM(Calc_Annual!AT68,Calc_Annual!AW68,Calc_Annual!AZ68,Calc_Annual!BC68))</f>
        <v/>
      </c>
    </row>
    <row r="69" ht="14.25" customHeight="1">
      <c r="A69" s="126">
        <v>62.0</v>
      </c>
      <c r="B69" s="129" t="str">
        <f>+IF(A69&gt;Coverage,"",A69)</f>
        <v/>
      </c>
      <c r="C69" s="134" t="str">
        <f>+IF(B69&gt;Coverage,"",IF(B69=1,Insured_Age,C68+1))</f>
        <v/>
      </c>
      <c r="D69" s="134" t="str">
        <f>+Calc_Annual!E69</f>
        <v/>
      </c>
      <c r="E69" s="134" t="str">
        <f>+Calc_Annual!F69</f>
        <v/>
      </c>
      <c r="F69" s="134" t="str">
        <f>+Calc_Annual!G69</f>
        <v/>
      </c>
      <c r="G69" s="134" t="str">
        <f>+Calc_Annual!H69</f>
        <v/>
      </c>
      <c r="H69" s="134" t="str">
        <f>+IF(B69&gt;Coverage,"",SUM(E$8:E69)+SUM(F$8:F69)-SUM(G$8:G69))</f>
        <v/>
      </c>
      <c r="I69" s="66" t="str">
        <f>+IF($B69&gt;Coverage,"",Calc_Annual!I69)</f>
        <v/>
      </c>
      <c r="J69" s="134" t="str">
        <f>+Calc_Annual!K69</f>
        <v/>
      </c>
      <c r="K69" s="134" t="str">
        <f>Calc_Annual!L69</f>
        <v/>
      </c>
      <c r="L69" s="134" t="str">
        <f>+Calc_Annual!Q69</f>
        <v/>
      </c>
      <c r="M69" s="134" t="str">
        <f>+Calc_Annual!R69</f>
        <v/>
      </c>
      <c r="N69" s="134" t="str">
        <f>+Calc_Annual!S69</f>
        <v/>
      </c>
      <c r="O69" s="134" t="str">
        <f>IF(B69&gt;Coverage,"",SUM(Calc_Annual!T69,Calc_Annual!W69,Calc_Annual!Z69,Calc_Annual!AC69))</f>
        <v/>
      </c>
      <c r="P69" s="134" t="str">
        <f>IF(B69&gt;Coverage,"",SUM(Calc_Annual!U69,Calc_Annual!X69,Calc_Annual!AA69,Calc_Annual!AD69))</f>
        <v/>
      </c>
      <c r="Q69" s="134" t="str">
        <f>IF(B69&gt;Coverage,"",SUM(Calc_Annual!AF69,Calc_Annual!AI69,Calc_Annual!AL69,Calc_Annual!AO69))</f>
        <v/>
      </c>
      <c r="R69" s="134" t="str">
        <f>IF(B69&gt;Coverage,"",SUM(Calc_Annual!AG69,Calc_Annual!AJ69,Calc_Annual!AM69,Calc_Annual!AP69))</f>
        <v/>
      </c>
      <c r="S69" s="134" t="str">
        <f>IF(B69&gt;Coverage,"",SUM(Calc_Annual!AR69,Calc_Annual!AU69,Calc_Annual!AX69,Calc_Annual!BA69))</f>
        <v/>
      </c>
      <c r="T69" s="134" t="str">
        <f>IF(B69&gt;Coverage,"",SUM(Calc_Annual!AS69,Calc_Annual!AV69,Calc_Annual!AY69,Calc_Annual!BB69))</f>
        <v/>
      </c>
      <c r="U69" s="134" t="str">
        <f>IF(B69&gt;Coverage,"",VLOOKUP(MIN($C69,10),Assumption!$M$18:$N$28,2,0)*$I69+P69)</f>
        <v/>
      </c>
      <c r="V69" s="134" t="str">
        <f>IF(B69&gt;Coverage,"",VLOOKUP(MIN($C69,10),Assumption!$M$18:$N$28,2,0)*$I69+R69)</f>
        <v/>
      </c>
      <c r="W69" s="134" t="str">
        <f>IF(B69&gt;Coverage,"",VLOOKUP(MIN($C69,10),Assumption!$M$18:$N$28,2,0)*$I69+T69)</f>
        <v/>
      </c>
      <c r="X69" s="134" t="str">
        <f>IF(B69&gt;Coverage,"",SUM(Calc_Annual!V69,Calc_Annual!Y69,Calc_Annual!AB69,Calc_Annual!AE69))</f>
        <v/>
      </c>
      <c r="Y69" s="134" t="str">
        <f>IF(B69&gt;Coverage,"",SUM(Calc_Annual!AH69,Calc_Annual!AK69,Calc_Annual!AN69,Calc_Annual!AQ69))</f>
        <v/>
      </c>
      <c r="Z69" s="134" t="str">
        <f>IF(B69&gt;Coverage,"",SUM(Calc_Annual!AT69,Calc_Annual!AW69,Calc_Annual!AZ69,Calc_Annual!BC69))</f>
        <v/>
      </c>
    </row>
    <row r="70" ht="14.25" customHeight="1">
      <c r="A70" s="126">
        <v>63.0</v>
      </c>
      <c r="B70" s="129" t="str">
        <f>+IF(A70&gt;Coverage,"",A70)</f>
        <v/>
      </c>
      <c r="C70" s="134" t="str">
        <f>+IF(B70&gt;Coverage,"",IF(B70=1,Insured_Age,C69+1))</f>
        <v/>
      </c>
      <c r="D70" s="134" t="str">
        <f>+Calc_Annual!E70</f>
        <v/>
      </c>
      <c r="E70" s="134" t="str">
        <f>+Calc_Annual!F70</f>
        <v/>
      </c>
      <c r="F70" s="134" t="str">
        <f>+Calc_Annual!G70</f>
        <v/>
      </c>
      <c r="G70" s="134" t="str">
        <f>+Calc_Annual!H70</f>
        <v/>
      </c>
      <c r="H70" s="134" t="str">
        <f>+IF(B70&gt;Coverage,"",SUM(E$8:E70)+SUM(F$8:F70)-SUM(G$8:G70))</f>
        <v/>
      </c>
      <c r="I70" s="66" t="str">
        <f>+IF($B70&gt;Coverage,"",Calc_Annual!I70)</f>
        <v/>
      </c>
      <c r="J70" s="134" t="str">
        <f>+Calc_Annual!K70</f>
        <v/>
      </c>
      <c r="K70" s="134" t="str">
        <f>Calc_Annual!L70</f>
        <v/>
      </c>
      <c r="L70" s="134" t="str">
        <f>+Calc_Annual!Q70</f>
        <v/>
      </c>
      <c r="M70" s="134" t="str">
        <f>+Calc_Annual!R70</f>
        <v/>
      </c>
      <c r="N70" s="134" t="str">
        <f>+Calc_Annual!S70</f>
        <v/>
      </c>
      <c r="O70" s="134" t="str">
        <f>IF(B70&gt;Coverage,"",SUM(Calc_Annual!T70,Calc_Annual!W70,Calc_Annual!Z70,Calc_Annual!AC70))</f>
        <v/>
      </c>
      <c r="P70" s="134" t="str">
        <f>IF(B70&gt;Coverage,"",SUM(Calc_Annual!U70,Calc_Annual!X70,Calc_Annual!AA70,Calc_Annual!AD70))</f>
        <v/>
      </c>
      <c r="Q70" s="134" t="str">
        <f>IF(B70&gt;Coverage,"",SUM(Calc_Annual!AF70,Calc_Annual!AI70,Calc_Annual!AL70,Calc_Annual!AO70))</f>
        <v/>
      </c>
      <c r="R70" s="134" t="str">
        <f>IF(B70&gt;Coverage,"",SUM(Calc_Annual!AG70,Calc_Annual!AJ70,Calc_Annual!AM70,Calc_Annual!AP70))</f>
        <v/>
      </c>
      <c r="S70" s="134" t="str">
        <f>IF(B70&gt;Coverage,"",SUM(Calc_Annual!AR70,Calc_Annual!AU70,Calc_Annual!AX70,Calc_Annual!BA70))</f>
        <v/>
      </c>
      <c r="T70" s="134" t="str">
        <f>IF(B70&gt;Coverage,"",SUM(Calc_Annual!AS70,Calc_Annual!AV70,Calc_Annual!AY70,Calc_Annual!BB70))</f>
        <v/>
      </c>
      <c r="U70" s="134" t="str">
        <f>IF(B70&gt;Coverage,"",VLOOKUP(MIN($C70,10),Assumption!$M$18:$N$28,2,0)*$I70+P70)</f>
        <v/>
      </c>
      <c r="V70" s="134" t="str">
        <f>IF(B70&gt;Coverage,"",VLOOKUP(MIN($C70,10),Assumption!$M$18:$N$28,2,0)*$I70+R70)</f>
        <v/>
      </c>
      <c r="W70" s="134" t="str">
        <f>IF(B70&gt;Coverage,"",VLOOKUP(MIN($C70,10),Assumption!$M$18:$N$28,2,0)*$I70+T70)</f>
        <v/>
      </c>
      <c r="X70" s="134" t="str">
        <f>IF(B70&gt;Coverage,"",SUM(Calc_Annual!V70,Calc_Annual!Y70,Calc_Annual!AB70,Calc_Annual!AE70))</f>
        <v/>
      </c>
      <c r="Y70" s="134" t="str">
        <f>IF(B70&gt;Coverage,"",SUM(Calc_Annual!AH70,Calc_Annual!AK70,Calc_Annual!AN70,Calc_Annual!AQ70))</f>
        <v/>
      </c>
      <c r="Z70" s="134" t="str">
        <f>IF(B70&gt;Coverage,"",SUM(Calc_Annual!AT70,Calc_Annual!AW70,Calc_Annual!AZ70,Calc_Annual!BC70))</f>
        <v/>
      </c>
    </row>
    <row r="71" ht="14.25" customHeight="1">
      <c r="A71" s="126">
        <v>64.0</v>
      </c>
      <c r="B71" s="129" t="str">
        <f>+IF(A71&gt;Coverage,"",A71)</f>
        <v/>
      </c>
      <c r="C71" s="134" t="str">
        <f>+IF(B71&gt;Coverage,"",IF(B71=1,Insured_Age,C70+1))</f>
        <v/>
      </c>
      <c r="D71" s="134" t="str">
        <f>+Calc_Annual!E71</f>
        <v/>
      </c>
      <c r="E71" s="134" t="str">
        <f>+Calc_Annual!F71</f>
        <v/>
      </c>
      <c r="F71" s="134" t="str">
        <f>+Calc_Annual!G71</f>
        <v/>
      </c>
      <c r="G71" s="134" t="str">
        <f>+Calc_Annual!H71</f>
        <v/>
      </c>
      <c r="H71" s="134" t="str">
        <f>+IF(B71&gt;Coverage,"",SUM(E$8:E71)+SUM(F$8:F71)-SUM(G$8:G71))</f>
        <v/>
      </c>
      <c r="I71" s="66" t="str">
        <f>+IF($B71&gt;Coverage,"",Calc_Annual!I71)</f>
        <v/>
      </c>
      <c r="J71" s="134" t="str">
        <f>+Calc_Annual!K71</f>
        <v/>
      </c>
      <c r="K71" s="134" t="str">
        <f>Calc_Annual!L71</f>
        <v/>
      </c>
      <c r="L71" s="134" t="str">
        <f>+Calc_Annual!Q71</f>
        <v/>
      </c>
      <c r="M71" s="134" t="str">
        <f>+Calc_Annual!R71</f>
        <v/>
      </c>
      <c r="N71" s="134" t="str">
        <f>+Calc_Annual!S71</f>
        <v/>
      </c>
      <c r="O71" s="134" t="str">
        <f>IF(B71&gt;Coverage,"",SUM(Calc_Annual!T71,Calc_Annual!W71,Calc_Annual!Z71,Calc_Annual!AC71))</f>
        <v/>
      </c>
      <c r="P71" s="134" t="str">
        <f>IF(B71&gt;Coverage,"",SUM(Calc_Annual!U71,Calc_Annual!X71,Calc_Annual!AA71,Calc_Annual!AD71))</f>
        <v/>
      </c>
      <c r="Q71" s="134" t="str">
        <f>IF(B71&gt;Coverage,"",SUM(Calc_Annual!AF71,Calc_Annual!AI71,Calc_Annual!AL71,Calc_Annual!AO71))</f>
        <v/>
      </c>
      <c r="R71" s="134" t="str">
        <f>IF(B71&gt;Coverage,"",SUM(Calc_Annual!AG71,Calc_Annual!AJ71,Calc_Annual!AM71,Calc_Annual!AP71))</f>
        <v/>
      </c>
      <c r="S71" s="134" t="str">
        <f>IF(B71&gt;Coverage,"",SUM(Calc_Annual!AR71,Calc_Annual!AU71,Calc_Annual!AX71,Calc_Annual!BA71))</f>
        <v/>
      </c>
      <c r="T71" s="134" t="str">
        <f>IF(B71&gt;Coverage,"",SUM(Calc_Annual!AS71,Calc_Annual!AV71,Calc_Annual!AY71,Calc_Annual!BB71))</f>
        <v/>
      </c>
      <c r="U71" s="134" t="str">
        <f>IF(B71&gt;Coverage,"",VLOOKUP(MIN($C71,10),Assumption!$M$18:$N$28,2,0)*$I71+P71)</f>
        <v/>
      </c>
      <c r="V71" s="134" t="str">
        <f>IF(B71&gt;Coverage,"",VLOOKUP(MIN($C71,10),Assumption!$M$18:$N$28,2,0)*$I71+R71)</f>
        <v/>
      </c>
      <c r="W71" s="134" t="str">
        <f>IF(B71&gt;Coverage,"",VLOOKUP(MIN($C71,10),Assumption!$M$18:$N$28,2,0)*$I71+T71)</f>
        <v/>
      </c>
      <c r="X71" s="134" t="str">
        <f>IF(B71&gt;Coverage,"",SUM(Calc_Annual!V71,Calc_Annual!Y71,Calc_Annual!AB71,Calc_Annual!AE71))</f>
        <v/>
      </c>
      <c r="Y71" s="134" t="str">
        <f>IF(B71&gt;Coverage,"",SUM(Calc_Annual!AH71,Calc_Annual!AK71,Calc_Annual!AN71,Calc_Annual!AQ71))</f>
        <v/>
      </c>
      <c r="Z71" s="134" t="str">
        <f>IF(B71&gt;Coverage,"",SUM(Calc_Annual!AT71,Calc_Annual!AW71,Calc_Annual!AZ71,Calc_Annual!BC71))</f>
        <v/>
      </c>
    </row>
    <row r="72" ht="14.25" customHeight="1">
      <c r="A72" s="126">
        <v>65.0</v>
      </c>
      <c r="B72" s="129" t="str">
        <f>+IF(A72&gt;Coverage,"",A72)</f>
        <v/>
      </c>
      <c r="C72" s="134" t="str">
        <f>+IF(B72&gt;Coverage,"",IF(B72=1,Insured_Age,C71+1))</f>
        <v/>
      </c>
      <c r="D72" s="134" t="str">
        <f>+Calc_Annual!E72</f>
        <v/>
      </c>
      <c r="E72" s="134" t="str">
        <f>+Calc_Annual!F72</f>
        <v/>
      </c>
      <c r="F72" s="134" t="str">
        <f>+Calc_Annual!G72</f>
        <v/>
      </c>
      <c r="G72" s="134" t="str">
        <f>+Calc_Annual!H72</f>
        <v/>
      </c>
      <c r="H72" s="134" t="str">
        <f>+IF(B72&gt;Coverage,"",SUM(E$8:E72)+SUM(F$8:F72)-SUM(G$8:G72))</f>
        <v/>
      </c>
      <c r="I72" s="66" t="str">
        <f>+IF($B72&gt;Coverage,"",Calc_Annual!I72)</f>
        <v/>
      </c>
      <c r="J72" s="134" t="str">
        <f>+Calc_Annual!K72</f>
        <v/>
      </c>
      <c r="K72" s="134" t="str">
        <f>Calc_Annual!L72</f>
        <v/>
      </c>
      <c r="L72" s="134" t="str">
        <f>+Calc_Annual!Q72</f>
        <v/>
      </c>
      <c r="M72" s="134" t="str">
        <f>+Calc_Annual!R72</f>
        <v/>
      </c>
      <c r="N72" s="134" t="str">
        <f>+Calc_Annual!S72</f>
        <v/>
      </c>
      <c r="O72" s="134" t="str">
        <f>IF(B72&gt;Coverage,"",SUM(Calc_Annual!T72,Calc_Annual!W72,Calc_Annual!Z72,Calc_Annual!AC72))</f>
        <v/>
      </c>
      <c r="P72" s="134" t="str">
        <f>IF(B72&gt;Coverage,"",SUM(Calc_Annual!U72,Calc_Annual!X72,Calc_Annual!AA72,Calc_Annual!AD72))</f>
        <v/>
      </c>
      <c r="Q72" s="134" t="str">
        <f>IF(B72&gt;Coverage,"",SUM(Calc_Annual!AF72,Calc_Annual!AI72,Calc_Annual!AL72,Calc_Annual!AO72))</f>
        <v/>
      </c>
      <c r="R72" s="134" t="str">
        <f>IF(B72&gt;Coverage,"",SUM(Calc_Annual!AG72,Calc_Annual!AJ72,Calc_Annual!AM72,Calc_Annual!AP72))</f>
        <v/>
      </c>
      <c r="S72" s="134" t="str">
        <f>IF(B72&gt;Coverage,"",SUM(Calc_Annual!AR72,Calc_Annual!AU72,Calc_Annual!AX72,Calc_Annual!BA72))</f>
        <v/>
      </c>
      <c r="T72" s="134" t="str">
        <f>IF(B72&gt;Coverage,"",SUM(Calc_Annual!AS72,Calc_Annual!AV72,Calc_Annual!AY72,Calc_Annual!BB72))</f>
        <v/>
      </c>
      <c r="U72" s="134" t="str">
        <f>IF(B72&gt;Coverage,"",VLOOKUP(MIN($C72,10),Assumption!$M$18:$N$28,2,0)*$I72+P72)</f>
        <v/>
      </c>
      <c r="V72" s="134" t="str">
        <f>IF(B72&gt;Coverage,"",VLOOKUP(MIN($C72,10),Assumption!$M$18:$N$28,2,0)*$I72+R72)</f>
        <v/>
      </c>
      <c r="W72" s="134" t="str">
        <f>IF(B72&gt;Coverage,"",VLOOKUP(MIN($C72,10),Assumption!$M$18:$N$28,2,0)*$I72+T72)</f>
        <v/>
      </c>
      <c r="X72" s="134" t="str">
        <f>IF(B72&gt;Coverage,"",SUM(Calc_Annual!V72,Calc_Annual!Y72,Calc_Annual!AB72,Calc_Annual!AE72))</f>
        <v/>
      </c>
      <c r="Y72" s="134" t="str">
        <f>IF(B72&gt;Coverage,"",SUM(Calc_Annual!AH72,Calc_Annual!AK72,Calc_Annual!AN72,Calc_Annual!AQ72))</f>
        <v/>
      </c>
      <c r="Z72" s="134" t="str">
        <f>IF(B72&gt;Coverage,"",SUM(Calc_Annual!AT72,Calc_Annual!AW72,Calc_Annual!AZ72,Calc_Annual!BC72))</f>
        <v/>
      </c>
    </row>
    <row r="73" ht="14.25" customHeight="1">
      <c r="A73" s="126">
        <v>66.0</v>
      </c>
      <c r="B73" s="129" t="str">
        <f>+IF(A73&gt;Coverage,"",A73)</f>
        <v/>
      </c>
      <c r="C73" s="134" t="str">
        <f>+IF(B73&gt;Coverage,"",IF(B73=1,Insured_Age,C72+1))</f>
        <v/>
      </c>
      <c r="D73" s="134" t="str">
        <f>+Calc_Annual!E73</f>
        <v/>
      </c>
      <c r="E73" s="134" t="str">
        <f>+Calc_Annual!F73</f>
        <v/>
      </c>
      <c r="F73" s="134" t="str">
        <f>+Calc_Annual!G73</f>
        <v/>
      </c>
      <c r="G73" s="134" t="str">
        <f>+Calc_Annual!H73</f>
        <v/>
      </c>
      <c r="H73" s="134" t="str">
        <f>+IF(B73&gt;Coverage,"",SUM(E$8:E73)+SUM(F$8:F73)-SUM(G$8:G73))</f>
        <v/>
      </c>
      <c r="I73" s="66" t="str">
        <f>+IF($B73&gt;Coverage,"",Calc_Annual!I73)</f>
        <v/>
      </c>
      <c r="J73" s="134" t="str">
        <f>+Calc_Annual!K73</f>
        <v/>
      </c>
      <c r="K73" s="134" t="str">
        <f>Calc_Annual!L73</f>
        <v/>
      </c>
      <c r="L73" s="134" t="str">
        <f>+Calc_Annual!Q73</f>
        <v/>
      </c>
      <c r="M73" s="134" t="str">
        <f>+Calc_Annual!R73</f>
        <v/>
      </c>
      <c r="N73" s="134" t="str">
        <f>+Calc_Annual!S73</f>
        <v/>
      </c>
      <c r="O73" s="134" t="str">
        <f>IF(B73&gt;Coverage,"",SUM(Calc_Annual!T73,Calc_Annual!W73,Calc_Annual!Z73,Calc_Annual!AC73))</f>
        <v/>
      </c>
      <c r="P73" s="134" t="str">
        <f>IF(B73&gt;Coverage,"",SUM(Calc_Annual!U73,Calc_Annual!X73,Calc_Annual!AA73,Calc_Annual!AD73))</f>
        <v/>
      </c>
      <c r="Q73" s="134" t="str">
        <f>IF(B73&gt;Coverage,"",SUM(Calc_Annual!AF73,Calc_Annual!AI73,Calc_Annual!AL73,Calc_Annual!AO73))</f>
        <v/>
      </c>
      <c r="R73" s="134" t="str">
        <f>IF(B73&gt;Coverage,"",SUM(Calc_Annual!AG73,Calc_Annual!AJ73,Calc_Annual!AM73,Calc_Annual!AP73))</f>
        <v/>
      </c>
      <c r="S73" s="134" t="str">
        <f>IF(B73&gt;Coverage,"",SUM(Calc_Annual!AR73,Calc_Annual!AU73,Calc_Annual!AX73,Calc_Annual!BA73))</f>
        <v/>
      </c>
      <c r="T73" s="134" t="str">
        <f>IF(B73&gt;Coverage,"",SUM(Calc_Annual!AS73,Calc_Annual!AV73,Calc_Annual!AY73,Calc_Annual!BB73))</f>
        <v/>
      </c>
      <c r="U73" s="134" t="str">
        <f>IF(B73&gt;Coverage,"",VLOOKUP(MIN($C73,10),Assumption!$M$18:$N$28,2,0)*$I73+P73)</f>
        <v/>
      </c>
      <c r="V73" s="134" t="str">
        <f>IF(B73&gt;Coverage,"",VLOOKUP(MIN($C73,10),Assumption!$M$18:$N$28,2,0)*$I73+R73)</f>
        <v/>
      </c>
      <c r="W73" s="134" t="str">
        <f>IF(B73&gt;Coverage,"",VLOOKUP(MIN($C73,10),Assumption!$M$18:$N$28,2,0)*$I73+T73)</f>
        <v/>
      </c>
      <c r="X73" s="134" t="str">
        <f>IF(B73&gt;Coverage,"",SUM(Calc_Annual!V73,Calc_Annual!Y73,Calc_Annual!AB73,Calc_Annual!AE73))</f>
        <v/>
      </c>
      <c r="Y73" s="134" t="str">
        <f>IF(B73&gt;Coverage,"",SUM(Calc_Annual!AH73,Calc_Annual!AK73,Calc_Annual!AN73,Calc_Annual!AQ73))</f>
        <v/>
      </c>
      <c r="Z73" s="134" t="str">
        <f>IF(B73&gt;Coverage,"",SUM(Calc_Annual!AT73,Calc_Annual!AW73,Calc_Annual!AZ73,Calc_Annual!BC73))</f>
        <v/>
      </c>
    </row>
    <row r="74" ht="14.25" customHeight="1">
      <c r="A74" s="126">
        <v>67.0</v>
      </c>
      <c r="B74" s="129" t="str">
        <f>+IF(A74&gt;Coverage,"",A74)</f>
        <v/>
      </c>
      <c r="C74" s="134" t="str">
        <f>+IF(B74&gt;Coverage,"",IF(B74=1,Insured_Age,C73+1))</f>
        <v/>
      </c>
      <c r="D74" s="134" t="str">
        <f>+Calc_Annual!E74</f>
        <v/>
      </c>
      <c r="E74" s="134" t="str">
        <f>+Calc_Annual!F74</f>
        <v/>
      </c>
      <c r="F74" s="134" t="str">
        <f>+Calc_Annual!G74</f>
        <v/>
      </c>
      <c r="G74" s="134" t="str">
        <f>+Calc_Annual!H74</f>
        <v/>
      </c>
      <c r="H74" s="134" t="str">
        <f>+IF(B74&gt;Coverage,"",SUM(E$8:E74)+SUM(F$8:F74)-SUM(G$8:G74))</f>
        <v/>
      </c>
      <c r="I74" s="66" t="str">
        <f>+IF($B74&gt;Coverage,"",Calc_Annual!I74)</f>
        <v/>
      </c>
      <c r="J74" s="134" t="str">
        <f>+Calc_Annual!K74</f>
        <v/>
      </c>
      <c r="K74" s="134" t="str">
        <f>Calc_Annual!L74</f>
        <v/>
      </c>
      <c r="L74" s="134" t="str">
        <f>+Calc_Annual!Q74</f>
        <v/>
      </c>
      <c r="M74" s="134" t="str">
        <f>+Calc_Annual!R74</f>
        <v/>
      </c>
      <c r="N74" s="134" t="str">
        <f>+Calc_Annual!S74</f>
        <v/>
      </c>
      <c r="O74" s="134" t="str">
        <f>IF(B74&gt;Coverage,"",SUM(Calc_Annual!T74,Calc_Annual!W74,Calc_Annual!Z74,Calc_Annual!AC74))</f>
        <v/>
      </c>
      <c r="P74" s="134" t="str">
        <f>IF(B74&gt;Coverage,"",SUM(Calc_Annual!U74,Calc_Annual!X74,Calc_Annual!AA74,Calc_Annual!AD74))</f>
        <v/>
      </c>
      <c r="Q74" s="134" t="str">
        <f>IF(B74&gt;Coverage,"",SUM(Calc_Annual!AF74,Calc_Annual!AI74,Calc_Annual!AL74,Calc_Annual!AO74))</f>
        <v/>
      </c>
      <c r="R74" s="134" t="str">
        <f>IF(B74&gt;Coverage,"",SUM(Calc_Annual!AG74,Calc_Annual!AJ74,Calc_Annual!AM74,Calc_Annual!AP74))</f>
        <v/>
      </c>
      <c r="S74" s="134" t="str">
        <f>IF(B74&gt;Coverage,"",SUM(Calc_Annual!AR74,Calc_Annual!AU74,Calc_Annual!AX74,Calc_Annual!BA74))</f>
        <v/>
      </c>
      <c r="T74" s="134" t="str">
        <f>IF(B74&gt;Coverage,"",SUM(Calc_Annual!AS74,Calc_Annual!AV74,Calc_Annual!AY74,Calc_Annual!BB74))</f>
        <v/>
      </c>
      <c r="U74" s="134" t="str">
        <f>IF(B74&gt;Coverage,"",VLOOKUP(MIN($C74,10),Assumption!$M$18:$N$28,2,0)*$I74+P74)</f>
        <v/>
      </c>
      <c r="V74" s="134" t="str">
        <f>IF(B74&gt;Coverage,"",VLOOKUP(MIN($C74,10),Assumption!$M$18:$N$28,2,0)*$I74+R74)</f>
        <v/>
      </c>
      <c r="W74" s="134" t="str">
        <f>IF(B74&gt;Coverage,"",VLOOKUP(MIN($C74,10),Assumption!$M$18:$N$28,2,0)*$I74+T74)</f>
        <v/>
      </c>
      <c r="X74" s="134" t="str">
        <f>IF(B74&gt;Coverage,"",SUM(Calc_Annual!V74,Calc_Annual!Y74,Calc_Annual!AB74,Calc_Annual!AE74))</f>
        <v/>
      </c>
      <c r="Y74" s="134" t="str">
        <f>IF(B74&gt;Coverage,"",SUM(Calc_Annual!AH74,Calc_Annual!AK74,Calc_Annual!AN74,Calc_Annual!AQ74))</f>
        <v/>
      </c>
      <c r="Z74" s="134" t="str">
        <f>IF(B74&gt;Coverage,"",SUM(Calc_Annual!AT74,Calc_Annual!AW74,Calc_Annual!AZ74,Calc_Annual!BC74))</f>
        <v/>
      </c>
    </row>
    <row r="75" ht="14.25" customHeight="1">
      <c r="A75" s="126">
        <v>68.0</v>
      </c>
      <c r="B75" s="129" t="str">
        <f>+IF(A75&gt;Coverage,"",A75)</f>
        <v/>
      </c>
      <c r="C75" s="134" t="str">
        <f>+IF(B75&gt;Coverage,"",IF(B75=1,Insured_Age,C74+1))</f>
        <v/>
      </c>
      <c r="D75" s="134" t="str">
        <f>+Calc_Annual!E75</f>
        <v/>
      </c>
      <c r="E75" s="134" t="str">
        <f>+Calc_Annual!F75</f>
        <v/>
      </c>
      <c r="F75" s="134" t="str">
        <f>+Calc_Annual!G75</f>
        <v/>
      </c>
      <c r="G75" s="134" t="str">
        <f>+Calc_Annual!H75</f>
        <v/>
      </c>
      <c r="H75" s="134" t="str">
        <f>+IF(B75&gt;Coverage,"",SUM(E$8:E75)+SUM(F$8:F75)-SUM(G$8:G75))</f>
        <v/>
      </c>
      <c r="I75" s="66" t="str">
        <f>+IF($B75&gt;Coverage,"",Calc_Annual!I75)</f>
        <v/>
      </c>
      <c r="J75" s="134" t="str">
        <f>+Calc_Annual!K75</f>
        <v/>
      </c>
      <c r="K75" s="134" t="str">
        <f>Calc_Annual!L75</f>
        <v/>
      </c>
      <c r="L75" s="134" t="str">
        <f>+Calc_Annual!Q75</f>
        <v/>
      </c>
      <c r="M75" s="134" t="str">
        <f>+Calc_Annual!R75</f>
        <v/>
      </c>
      <c r="N75" s="134" t="str">
        <f>+Calc_Annual!S75</f>
        <v/>
      </c>
      <c r="O75" s="134" t="str">
        <f>IF(B75&gt;Coverage,"",SUM(Calc_Annual!T75,Calc_Annual!W75,Calc_Annual!Z75,Calc_Annual!AC75))</f>
        <v/>
      </c>
      <c r="P75" s="134" t="str">
        <f>IF(B75&gt;Coverage,"",SUM(Calc_Annual!U75,Calc_Annual!X75,Calc_Annual!AA75,Calc_Annual!AD75))</f>
        <v/>
      </c>
      <c r="Q75" s="134" t="str">
        <f>IF(B75&gt;Coverage,"",SUM(Calc_Annual!AF75,Calc_Annual!AI75,Calc_Annual!AL75,Calc_Annual!AO75))</f>
        <v/>
      </c>
      <c r="R75" s="134" t="str">
        <f>IF(B75&gt;Coverage,"",SUM(Calc_Annual!AG75,Calc_Annual!AJ75,Calc_Annual!AM75,Calc_Annual!AP75))</f>
        <v/>
      </c>
      <c r="S75" s="134" t="str">
        <f>IF(B75&gt;Coverage,"",SUM(Calc_Annual!AR75,Calc_Annual!AU75,Calc_Annual!AX75,Calc_Annual!BA75))</f>
        <v/>
      </c>
      <c r="T75" s="134" t="str">
        <f>IF(B75&gt;Coverage,"",SUM(Calc_Annual!AS75,Calc_Annual!AV75,Calc_Annual!AY75,Calc_Annual!BB75))</f>
        <v/>
      </c>
      <c r="U75" s="134" t="str">
        <f>IF(B75&gt;Coverage,"",VLOOKUP(MIN($C75,10),Assumption!$M$18:$N$28,2,0)*$I75+P75)</f>
        <v/>
      </c>
      <c r="V75" s="134" t="str">
        <f>IF(B75&gt;Coverage,"",VLOOKUP(MIN($C75,10),Assumption!$M$18:$N$28,2,0)*$I75+R75)</f>
        <v/>
      </c>
      <c r="W75" s="134" t="str">
        <f>IF(B75&gt;Coverage,"",VLOOKUP(MIN($C75,10),Assumption!$M$18:$N$28,2,0)*$I75+T75)</f>
        <v/>
      </c>
      <c r="X75" s="134" t="str">
        <f>IF(B75&gt;Coverage,"",SUM(Calc_Annual!V75,Calc_Annual!Y75,Calc_Annual!AB75,Calc_Annual!AE75))</f>
        <v/>
      </c>
      <c r="Y75" s="134" t="str">
        <f>IF(B75&gt;Coverage,"",SUM(Calc_Annual!AH75,Calc_Annual!AK75,Calc_Annual!AN75,Calc_Annual!AQ75))</f>
        <v/>
      </c>
      <c r="Z75" s="134" t="str">
        <f>IF(B75&gt;Coverage,"",SUM(Calc_Annual!AT75,Calc_Annual!AW75,Calc_Annual!AZ75,Calc_Annual!BC75))</f>
        <v/>
      </c>
    </row>
    <row r="76" ht="14.25" customHeight="1">
      <c r="A76" s="126">
        <v>69.0</v>
      </c>
      <c r="B76" s="129" t="str">
        <f>+IF(A76&gt;Coverage,"",A76)</f>
        <v/>
      </c>
      <c r="C76" s="134" t="str">
        <f>+IF(B76&gt;Coverage,"",IF(B76=1,Insured_Age,C75+1))</f>
        <v/>
      </c>
      <c r="D76" s="134" t="str">
        <f>+Calc_Annual!E76</f>
        <v/>
      </c>
      <c r="E76" s="134" t="str">
        <f>+Calc_Annual!F76</f>
        <v/>
      </c>
      <c r="F76" s="134" t="str">
        <f>+Calc_Annual!G76</f>
        <v/>
      </c>
      <c r="G76" s="134" t="str">
        <f>+Calc_Annual!H76</f>
        <v/>
      </c>
      <c r="H76" s="134" t="str">
        <f>+IF(B76&gt;Coverage,"",SUM(E$8:E76)+SUM(F$8:F76)-SUM(G$8:G76))</f>
        <v/>
      </c>
      <c r="I76" s="66" t="str">
        <f>+IF($B76&gt;Coverage,"",Calc_Annual!I76)</f>
        <v/>
      </c>
      <c r="J76" s="134" t="str">
        <f>+Calc_Annual!K76</f>
        <v/>
      </c>
      <c r="K76" s="134" t="str">
        <f>Calc_Annual!L76</f>
        <v/>
      </c>
      <c r="L76" s="134" t="str">
        <f>+Calc_Annual!Q76</f>
        <v/>
      </c>
      <c r="M76" s="134" t="str">
        <f>+Calc_Annual!R76</f>
        <v/>
      </c>
      <c r="N76" s="134" t="str">
        <f>+Calc_Annual!S76</f>
        <v/>
      </c>
      <c r="O76" s="134" t="str">
        <f>IF(B76&gt;Coverage,"",SUM(Calc_Annual!T76,Calc_Annual!W76,Calc_Annual!Z76,Calc_Annual!AC76))</f>
        <v/>
      </c>
      <c r="P76" s="134" t="str">
        <f>IF(B76&gt;Coverage,"",SUM(Calc_Annual!U76,Calc_Annual!X76,Calc_Annual!AA76,Calc_Annual!AD76))</f>
        <v/>
      </c>
      <c r="Q76" s="134" t="str">
        <f>IF(B76&gt;Coverage,"",SUM(Calc_Annual!AF76,Calc_Annual!AI76,Calc_Annual!AL76,Calc_Annual!AO76))</f>
        <v/>
      </c>
      <c r="R76" s="134" t="str">
        <f>IF(B76&gt;Coverage,"",SUM(Calc_Annual!AG76,Calc_Annual!AJ76,Calc_Annual!AM76,Calc_Annual!AP76))</f>
        <v/>
      </c>
      <c r="S76" s="134" t="str">
        <f>IF(B76&gt;Coverage,"",SUM(Calc_Annual!AR76,Calc_Annual!AU76,Calc_Annual!AX76,Calc_Annual!BA76))</f>
        <v/>
      </c>
      <c r="T76" s="134" t="str">
        <f>IF(B76&gt;Coverage,"",SUM(Calc_Annual!AS76,Calc_Annual!AV76,Calc_Annual!AY76,Calc_Annual!BB76))</f>
        <v/>
      </c>
      <c r="U76" s="134" t="str">
        <f>IF(B76&gt;Coverage,"",VLOOKUP(MIN($C76,10),Assumption!$M$18:$N$28,2,0)*$I76+P76)</f>
        <v/>
      </c>
      <c r="V76" s="134" t="str">
        <f>IF(B76&gt;Coverage,"",VLOOKUP(MIN($C76,10),Assumption!$M$18:$N$28,2,0)*$I76+R76)</f>
        <v/>
      </c>
      <c r="W76" s="134" t="str">
        <f>IF(B76&gt;Coverage,"",VLOOKUP(MIN($C76,10),Assumption!$M$18:$N$28,2,0)*$I76+T76)</f>
        <v/>
      </c>
      <c r="X76" s="134" t="str">
        <f>IF(B76&gt;Coverage,"",SUM(Calc_Annual!V76,Calc_Annual!Y76,Calc_Annual!AB76,Calc_Annual!AE76))</f>
        <v/>
      </c>
      <c r="Y76" s="134" t="str">
        <f>IF(B76&gt;Coverage,"",SUM(Calc_Annual!AH76,Calc_Annual!AK76,Calc_Annual!AN76,Calc_Annual!AQ76))</f>
        <v/>
      </c>
      <c r="Z76" s="134" t="str">
        <f>IF(B76&gt;Coverage,"",SUM(Calc_Annual!AT76,Calc_Annual!AW76,Calc_Annual!AZ76,Calc_Annual!BC76))</f>
        <v/>
      </c>
    </row>
    <row r="77" ht="14.25" customHeight="1">
      <c r="A77" s="126">
        <v>70.0</v>
      </c>
      <c r="B77" s="129" t="str">
        <f>+IF(A77&gt;Coverage,"",A77)</f>
        <v/>
      </c>
      <c r="C77" s="134" t="str">
        <f>+IF(B77&gt;Coverage,"",IF(B77=1,Insured_Age,C76+1))</f>
        <v/>
      </c>
      <c r="D77" s="134" t="str">
        <f>+Calc_Annual!E77</f>
        <v/>
      </c>
      <c r="E77" s="134" t="str">
        <f>+Calc_Annual!F77</f>
        <v/>
      </c>
      <c r="F77" s="134" t="str">
        <f>+Calc_Annual!G77</f>
        <v/>
      </c>
      <c r="G77" s="134" t="str">
        <f>+Calc_Annual!H77</f>
        <v/>
      </c>
      <c r="H77" s="134" t="str">
        <f>+IF(B77&gt;Coverage,"",SUM(E$8:E77)+SUM(F$8:F77)-SUM(G$8:G77))</f>
        <v/>
      </c>
      <c r="I77" s="66" t="str">
        <f>+IF($B77&gt;Coverage,"",Calc_Annual!I77)</f>
        <v/>
      </c>
      <c r="J77" s="134" t="str">
        <f>+Calc_Annual!K77</f>
        <v/>
      </c>
      <c r="K77" s="134" t="str">
        <f>Calc_Annual!L77</f>
        <v/>
      </c>
      <c r="L77" s="134" t="str">
        <f>+Calc_Annual!Q77</f>
        <v/>
      </c>
      <c r="M77" s="134" t="str">
        <f>+Calc_Annual!R77</f>
        <v/>
      </c>
      <c r="N77" s="134" t="str">
        <f>+Calc_Annual!S77</f>
        <v/>
      </c>
      <c r="O77" s="134" t="str">
        <f>IF(B77&gt;Coverage,"",SUM(Calc_Annual!T77,Calc_Annual!W77,Calc_Annual!Z77,Calc_Annual!AC77))</f>
        <v/>
      </c>
      <c r="P77" s="134" t="str">
        <f>IF(B77&gt;Coverage,"",SUM(Calc_Annual!U77,Calc_Annual!X77,Calc_Annual!AA77,Calc_Annual!AD77))</f>
        <v/>
      </c>
      <c r="Q77" s="134" t="str">
        <f>IF(B77&gt;Coverage,"",SUM(Calc_Annual!AF77,Calc_Annual!AI77,Calc_Annual!AL77,Calc_Annual!AO77))</f>
        <v/>
      </c>
      <c r="R77" s="134" t="str">
        <f>IF(B77&gt;Coverage,"",SUM(Calc_Annual!AG77,Calc_Annual!AJ77,Calc_Annual!AM77,Calc_Annual!AP77))</f>
        <v/>
      </c>
      <c r="S77" s="134" t="str">
        <f>IF(B77&gt;Coverage,"",SUM(Calc_Annual!AR77,Calc_Annual!AU77,Calc_Annual!AX77,Calc_Annual!BA77))</f>
        <v/>
      </c>
      <c r="T77" s="134" t="str">
        <f>IF(B77&gt;Coverage,"",SUM(Calc_Annual!AS77,Calc_Annual!AV77,Calc_Annual!AY77,Calc_Annual!BB77))</f>
        <v/>
      </c>
      <c r="U77" s="134" t="str">
        <f>IF(B77&gt;Coverage,"",VLOOKUP(MIN($C77,10),Assumption!$M$18:$N$28,2,0)*$I77+P77)</f>
        <v/>
      </c>
      <c r="V77" s="134" t="str">
        <f>IF(B77&gt;Coverage,"",VLOOKUP(MIN($C77,10),Assumption!$M$18:$N$28,2,0)*$I77+R77)</f>
        <v/>
      </c>
      <c r="W77" s="134" t="str">
        <f>IF(B77&gt;Coverage,"",VLOOKUP(MIN($C77,10),Assumption!$M$18:$N$28,2,0)*$I77+T77)</f>
        <v/>
      </c>
      <c r="X77" s="134" t="str">
        <f>IF(B77&gt;Coverage,"",SUM(Calc_Annual!V77,Calc_Annual!Y77,Calc_Annual!AB77,Calc_Annual!AE77))</f>
        <v/>
      </c>
      <c r="Y77" s="134" t="str">
        <f>IF(B77&gt;Coverage,"",SUM(Calc_Annual!AH77,Calc_Annual!AK77,Calc_Annual!AN77,Calc_Annual!AQ77))</f>
        <v/>
      </c>
      <c r="Z77" s="134" t="str">
        <f>IF(B77&gt;Coverage,"",SUM(Calc_Annual!AT77,Calc_Annual!AW77,Calc_Annual!AZ77,Calc_Annual!BC77))</f>
        <v/>
      </c>
    </row>
    <row r="78" ht="14.25" customHeight="1">
      <c r="A78" s="126">
        <v>71.0</v>
      </c>
      <c r="B78" s="129" t="str">
        <f>+IF(A78&gt;Coverage,"",A78)</f>
        <v/>
      </c>
      <c r="C78" s="134" t="str">
        <f>+IF(B78&gt;Coverage,"",IF(B78=1,Insured_Age,C77+1))</f>
        <v/>
      </c>
      <c r="D78" s="134" t="str">
        <f>+Calc_Annual!E78</f>
        <v/>
      </c>
      <c r="E78" s="134" t="str">
        <f>+Calc_Annual!F78</f>
        <v/>
      </c>
      <c r="F78" s="134" t="str">
        <f>+Calc_Annual!G78</f>
        <v/>
      </c>
      <c r="G78" s="134" t="str">
        <f>+Calc_Annual!H78</f>
        <v/>
      </c>
      <c r="H78" s="134" t="str">
        <f>+IF(B78&gt;Coverage,"",SUM(E$8:E78)+SUM(F$8:F78)-SUM(G$8:G78))</f>
        <v/>
      </c>
      <c r="I78" s="66" t="str">
        <f>+IF($B78&gt;Coverage,"",Calc_Annual!I78)</f>
        <v/>
      </c>
      <c r="J78" s="134" t="str">
        <f>+Calc_Annual!K78</f>
        <v/>
      </c>
      <c r="K78" s="134" t="str">
        <f>Calc_Annual!L78</f>
        <v/>
      </c>
      <c r="L78" s="134" t="str">
        <f>+Calc_Annual!Q78</f>
        <v/>
      </c>
      <c r="M78" s="134" t="str">
        <f>+Calc_Annual!R78</f>
        <v/>
      </c>
      <c r="N78" s="134" t="str">
        <f>+Calc_Annual!S78</f>
        <v/>
      </c>
      <c r="O78" s="134" t="str">
        <f>IF(B78&gt;Coverage,"",SUM(Calc_Annual!T78,Calc_Annual!W78,Calc_Annual!Z78,Calc_Annual!AC78))</f>
        <v/>
      </c>
      <c r="P78" s="134" t="str">
        <f>IF(B78&gt;Coverage,"",SUM(Calc_Annual!U78,Calc_Annual!X78,Calc_Annual!AA78,Calc_Annual!AD78))</f>
        <v/>
      </c>
      <c r="Q78" s="134" t="str">
        <f>IF(B78&gt;Coverage,"",SUM(Calc_Annual!AF78,Calc_Annual!AI78,Calc_Annual!AL78,Calc_Annual!AO78))</f>
        <v/>
      </c>
      <c r="R78" s="134" t="str">
        <f>IF(B78&gt;Coverage,"",SUM(Calc_Annual!AG78,Calc_Annual!AJ78,Calc_Annual!AM78,Calc_Annual!AP78))</f>
        <v/>
      </c>
      <c r="S78" s="134" t="str">
        <f>IF(B78&gt;Coverage,"",SUM(Calc_Annual!AR78,Calc_Annual!AU78,Calc_Annual!AX78,Calc_Annual!BA78))</f>
        <v/>
      </c>
      <c r="T78" s="134" t="str">
        <f>IF(B78&gt;Coverage,"",SUM(Calc_Annual!AS78,Calc_Annual!AV78,Calc_Annual!AY78,Calc_Annual!BB78))</f>
        <v/>
      </c>
      <c r="U78" s="134" t="str">
        <f>IF(B78&gt;Coverage,"",VLOOKUP(MIN($C78,10),Assumption!$M$18:$N$28,2,0)*$I78+P78)</f>
        <v/>
      </c>
      <c r="V78" s="134" t="str">
        <f>IF(B78&gt;Coverage,"",VLOOKUP(MIN($C78,10),Assumption!$M$18:$N$28,2,0)*$I78+R78)</f>
        <v/>
      </c>
      <c r="W78" s="134" t="str">
        <f>IF(B78&gt;Coverage,"",VLOOKUP(MIN($C78,10),Assumption!$M$18:$N$28,2,0)*$I78+T78)</f>
        <v/>
      </c>
      <c r="X78" s="134" t="str">
        <f>IF(B78&gt;Coverage,"",SUM(Calc_Annual!V78,Calc_Annual!Y78,Calc_Annual!AB78,Calc_Annual!AE78))</f>
        <v/>
      </c>
      <c r="Y78" s="134" t="str">
        <f>IF(B78&gt;Coverage,"",SUM(Calc_Annual!AH78,Calc_Annual!AK78,Calc_Annual!AN78,Calc_Annual!AQ78))</f>
        <v/>
      </c>
      <c r="Z78" s="134" t="str">
        <f>IF(B78&gt;Coverage,"",SUM(Calc_Annual!AT78,Calc_Annual!AW78,Calc_Annual!AZ78,Calc_Annual!BC78))</f>
        <v/>
      </c>
    </row>
    <row r="79" ht="14.25" customHeight="1">
      <c r="A79" s="126">
        <v>72.0</v>
      </c>
      <c r="B79" s="129" t="str">
        <f>+IF(A79&gt;Coverage,"",A79)</f>
        <v/>
      </c>
      <c r="C79" s="134" t="str">
        <f>+IF(B79&gt;Coverage,"",IF(B79=1,Insured_Age,C78+1))</f>
        <v/>
      </c>
      <c r="D79" s="134" t="str">
        <f>+Calc_Annual!E79</f>
        <v/>
      </c>
      <c r="E79" s="134" t="str">
        <f>+Calc_Annual!F79</f>
        <v/>
      </c>
      <c r="F79" s="134" t="str">
        <f>+Calc_Annual!G79</f>
        <v/>
      </c>
      <c r="G79" s="134" t="str">
        <f>+Calc_Annual!H79</f>
        <v/>
      </c>
      <c r="H79" s="134" t="str">
        <f>+IF(B79&gt;Coverage,"",SUM(E$8:E79)+SUM(F$8:F79)-SUM(G$8:G79))</f>
        <v/>
      </c>
      <c r="I79" s="66" t="str">
        <f>+IF($B79&gt;Coverage,"",Calc_Annual!I79)</f>
        <v/>
      </c>
      <c r="J79" s="134" t="str">
        <f>+Calc_Annual!K79</f>
        <v/>
      </c>
      <c r="K79" s="134" t="str">
        <f>Calc_Annual!L79</f>
        <v/>
      </c>
      <c r="L79" s="134" t="str">
        <f>+Calc_Annual!Q79</f>
        <v/>
      </c>
      <c r="M79" s="134" t="str">
        <f>+Calc_Annual!R79</f>
        <v/>
      </c>
      <c r="N79" s="134" t="str">
        <f>+Calc_Annual!S79</f>
        <v/>
      </c>
      <c r="O79" s="134" t="str">
        <f>IF(B79&gt;Coverage,"",SUM(Calc_Annual!T79,Calc_Annual!W79,Calc_Annual!Z79,Calc_Annual!AC79))</f>
        <v/>
      </c>
      <c r="P79" s="134" t="str">
        <f>IF(B79&gt;Coverage,"",SUM(Calc_Annual!U79,Calc_Annual!X79,Calc_Annual!AA79,Calc_Annual!AD79))</f>
        <v/>
      </c>
      <c r="Q79" s="134" t="str">
        <f>IF(B79&gt;Coverage,"",SUM(Calc_Annual!AF79,Calc_Annual!AI79,Calc_Annual!AL79,Calc_Annual!AO79))</f>
        <v/>
      </c>
      <c r="R79" s="134" t="str">
        <f>IF(B79&gt;Coverage,"",SUM(Calc_Annual!AG79,Calc_Annual!AJ79,Calc_Annual!AM79,Calc_Annual!AP79))</f>
        <v/>
      </c>
      <c r="S79" s="134" t="str">
        <f>IF(B79&gt;Coverage,"",SUM(Calc_Annual!AR79,Calc_Annual!AU79,Calc_Annual!AX79,Calc_Annual!BA79))</f>
        <v/>
      </c>
      <c r="T79" s="134" t="str">
        <f>IF(B79&gt;Coverage,"",SUM(Calc_Annual!AS79,Calc_Annual!AV79,Calc_Annual!AY79,Calc_Annual!BB79))</f>
        <v/>
      </c>
      <c r="U79" s="134" t="str">
        <f>IF(B79&gt;Coverage,"",VLOOKUP(MIN($C79,10),Assumption!$M$18:$N$28,2,0)*$I79+P79)</f>
        <v/>
      </c>
      <c r="V79" s="134" t="str">
        <f>IF(B79&gt;Coverage,"",VLOOKUP(MIN($C79,10),Assumption!$M$18:$N$28,2,0)*$I79+R79)</f>
        <v/>
      </c>
      <c r="W79" s="134" t="str">
        <f>IF(B79&gt;Coverage,"",VLOOKUP(MIN($C79,10),Assumption!$M$18:$N$28,2,0)*$I79+T79)</f>
        <v/>
      </c>
      <c r="X79" s="134" t="str">
        <f>IF(B79&gt;Coverage,"",SUM(Calc_Annual!V79,Calc_Annual!Y79,Calc_Annual!AB79,Calc_Annual!AE79))</f>
        <v/>
      </c>
      <c r="Y79" s="134" t="str">
        <f>IF(B79&gt;Coverage,"",SUM(Calc_Annual!AH79,Calc_Annual!AK79,Calc_Annual!AN79,Calc_Annual!AQ79))</f>
        <v/>
      </c>
      <c r="Z79" s="134" t="str">
        <f>IF(B79&gt;Coverage,"",SUM(Calc_Annual!AT79,Calc_Annual!AW79,Calc_Annual!AZ79,Calc_Annual!BC79))</f>
        <v/>
      </c>
    </row>
    <row r="80" ht="14.25" customHeight="1">
      <c r="A80" s="126">
        <v>73.0</v>
      </c>
      <c r="B80" s="129" t="str">
        <f>+IF(A80&gt;Coverage,"",A80)</f>
        <v/>
      </c>
      <c r="C80" s="134" t="str">
        <f>+IF(B80&gt;Coverage,"",IF(B80=1,Insured_Age,C79+1))</f>
        <v/>
      </c>
      <c r="D80" s="134" t="str">
        <f>+Calc_Annual!E80</f>
        <v/>
      </c>
      <c r="E80" s="134" t="str">
        <f>+Calc_Annual!F80</f>
        <v/>
      </c>
      <c r="F80" s="134" t="str">
        <f>+Calc_Annual!G80</f>
        <v/>
      </c>
      <c r="G80" s="134" t="str">
        <f>+Calc_Annual!H80</f>
        <v/>
      </c>
      <c r="H80" s="134" t="str">
        <f>+IF(B80&gt;Coverage,"",SUM(E$8:E80)+SUM(F$8:F80)-SUM(G$8:G80))</f>
        <v/>
      </c>
      <c r="I80" s="66" t="str">
        <f>+IF($B80&gt;Coverage,"",Calc_Annual!I80)</f>
        <v/>
      </c>
      <c r="J80" s="134" t="str">
        <f>+Calc_Annual!K80</f>
        <v/>
      </c>
      <c r="K80" s="134" t="str">
        <f>Calc_Annual!L80</f>
        <v/>
      </c>
      <c r="L80" s="134" t="str">
        <f>+Calc_Annual!Q80</f>
        <v/>
      </c>
      <c r="M80" s="134" t="str">
        <f>+Calc_Annual!R80</f>
        <v/>
      </c>
      <c r="N80" s="134" t="str">
        <f>+Calc_Annual!S80</f>
        <v/>
      </c>
      <c r="O80" s="134" t="str">
        <f>IF(B80&gt;Coverage,"",SUM(Calc_Annual!T80,Calc_Annual!W80,Calc_Annual!Z80,Calc_Annual!AC80))</f>
        <v/>
      </c>
      <c r="P80" s="134" t="str">
        <f>IF(B80&gt;Coverage,"",SUM(Calc_Annual!U80,Calc_Annual!X80,Calc_Annual!AA80,Calc_Annual!AD80))</f>
        <v/>
      </c>
      <c r="Q80" s="134" t="str">
        <f>IF(B80&gt;Coverage,"",SUM(Calc_Annual!AF80,Calc_Annual!AI80,Calc_Annual!AL80,Calc_Annual!AO80))</f>
        <v/>
      </c>
      <c r="R80" s="134" t="str">
        <f>IF(B80&gt;Coverage,"",SUM(Calc_Annual!AG80,Calc_Annual!AJ80,Calc_Annual!AM80,Calc_Annual!AP80))</f>
        <v/>
      </c>
      <c r="S80" s="134" t="str">
        <f>IF(B80&gt;Coverage,"",SUM(Calc_Annual!AR80,Calc_Annual!AU80,Calc_Annual!AX80,Calc_Annual!BA80))</f>
        <v/>
      </c>
      <c r="T80" s="134" t="str">
        <f>IF(B80&gt;Coverage,"",SUM(Calc_Annual!AS80,Calc_Annual!AV80,Calc_Annual!AY80,Calc_Annual!BB80))</f>
        <v/>
      </c>
      <c r="U80" s="134" t="str">
        <f>IF(B80&gt;Coverage,"",VLOOKUP(MIN($C80,10),Assumption!$M$18:$N$28,2,0)*$I80+P80)</f>
        <v/>
      </c>
      <c r="V80" s="134" t="str">
        <f>IF(B80&gt;Coverage,"",VLOOKUP(MIN($C80,10),Assumption!$M$18:$N$28,2,0)*$I80+R80)</f>
        <v/>
      </c>
      <c r="W80" s="134" t="str">
        <f>IF(B80&gt;Coverage,"",VLOOKUP(MIN($C80,10),Assumption!$M$18:$N$28,2,0)*$I80+T80)</f>
        <v/>
      </c>
      <c r="X80" s="134" t="str">
        <f>IF(B80&gt;Coverage,"",SUM(Calc_Annual!V80,Calc_Annual!Y80,Calc_Annual!AB80,Calc_Annual!AE80))</f>
        <v/>
      </c>
      <c r="Y80" s="134" t="str">
        <f>IF(B80&gt;Coverage,"",SUM(Calc_Annual!AH80,Calc_Annual!AK80,Calc_Annual!AN80,Calc_Annual!AQ80))</f>
        <v/>
      </c>
      <c r="Z80" s="134" t="str">
        <f>IF(B80&gt;Coverage,"",SUM(Calc_Annual!AT80,Calc_Annual!AW80,Calc_Annual!AZ80,Calc_Annual!BC80))</f>
        <v/>
      </c>
    </row>
    <row r="81" ht="14.25" customHeight="1">
      <c r="A81" s="126">
        <v>74.0</v>
      </c>
      <c r="B81" s="129" t="str">
        <f>+IF(A81&gt;Coverage,"",A81)</f>
        <v/>
      </c>
      <c r="C81" s="134" t="str">
        <f>+IF(B81&gt;Coverage,"",IF(B81=1,Insured_Age,C80+1))</f>
        <v/>
      </c>
      <c r="D81" s="134" t="str">
        <f>+Calc_Annual!E81</f>
        <v/>
      </c>
      <c r="E81" s="134" t="str">
        <f>+Calc_Annual!F81</f>
        <v/>
      </c>
      <c r="F81" s="134" t="str">
        <f>+Calc_Annual!G81</f>
        <v/>
      </c>
      <c r="G81" s="134" t="str">
        <f>+Calc_Annual!H81</f>
        <v/>
      </c>
      <c r="H81" s="134" t="str">
        <f>+IF(B81&gt;Coverage,"",SUM(E$8:E81)+SUM(F$8:F81)-SUM(G$8:G81))</f>
        <v/>
      </c>
      <c r="I81" s="66" t="str">
        <f>+IF($B81&gt;Coverage,"",Calc_Annual!I81)</f>
        <v/>
      </c>
      <c r="J81" s="134" t="str">
        <f>+Calc_Annual!K81</f>
        <v/>
      </c>
      <c r="K81" s="134" t="str">
        <f>Calc_Annual!L81</f>
        <v/>
      </c>
      <c r="L81" s="134" t="str">
        <f>+Calc_Annual!Q81</f>
        <v/>
      </c>
      <c r="M81" s="134" t="str">
        <f>+Calc_Annual!R81</f>
        <v/>
      </c>
      <c r="N81" s="134" t="str">
        <f>+Calc_Annual!S81</f>
        <v/>
      </c>
      <c r="O81" s="134" t="str">
        <f>IF(B81&gt;Coverage,"",SUM(Calc_Annual!T81,Calc_Annual!W81,Calc_Annual!Z81,Calc_Annual!AC81))</f>
        <v/>
      </c>
      <c r="P81" s="134" t="str">
        <f>IF(B81&gt;Coverage,"",SUM(Calc_Annual!U81,Calc_Annual!X81,Calc_Annual!AA81,Calc_Annual!AD81))</f>
        <v/>
      </c>
      <c r="Q81" s="134" t="str">
        <f>IF(B81&gt;Coverage,"",SUM(Calc_Annual!AF81,Calc_Annual!AI81,Calc_Annual!AL81,Calc_Annual!AO81))</f>
        <v/>
      </c>
      <c r="R81" s="134" t="str">
        <f>IF(B81&gt;Coverage,"",SUM(Calc_Annual!AG81,Calc_Annual!AJ81,Calc_Annual!AM81,Calc_Annual!AP81))</f>
        <v/>
      </c>
      <c r="S81" s="134" t="str">
        <f>IF(B81&gt;Coverage,"",SUM(Calc_Annual!AR81,Calc_Annual!AU81,Calc_Annual!AX81,Calc_Annual!BA81))</f>
        <v/>
      </c>
      <c r="T81" s="134" t="str">
        <f>IF(B81&gt;Coverage,"",SUM(Calc_Annual!AS81,Calc_Annual!AV81,Calc_Annual!AY81,Calc_Annual!BB81))</f>
        <v/>
      </c>
      <c r="U81" s="134" t="str">
        <f>IF(B81&gt;Coverage,"",VLOOKUP(MIN($C81,10),Assumption!$M$18:$N$28,2,0)*$I81+P81)</f>
        <v/>
      </c>
      <c r="V81" s="134" t="str">
        <f>IF(B81&gt;Coverage,"",VLOOKUP(MIN($C81,10),Assumption!$M$18:$N$28,2,0)*$I81+R81)</f>
        <v/>
      </c>
      <c r="W81" s="134" t="str">
        <f>IF(B81&gt;Coverage,"",VLOOKUP(MIN($C81,10),Assumption!$M$18:$N$28,2,0)*$I81+T81)</f>
        <v/>
      </c>
      <c r="X81" s="134" t="str">
        <f>IF(B81&gt;Coverage,"",SUM(Calc_Annual!V81,Calc_Annual!Y81,Calc_Annual!AB81,Calc_Annual!AE81))</f>
        <v/>
      </c>
      <c r="Y81" s="134" t="str">
        <f>IF(B81&gt;Coverage,"",SUM(Calc_Annual!AH81,Calc_Annual!AK81,Calc_Annual!AN81,Calc_Annual!AQ81))</f>
        <v/>
      </c>
      <c r="Z81" s="134" t="str">
        <f>IF(B81&gt;Coverage,"",SUM(Calc_Annual!AT81,Calc_Annual!AW81,Calc_Annual!AZ81,Calc_Annual!BC81))</f>
        <v/>
      </c>
    </row>
    <row r="82" ht="14.25" customHeight="1">
      <c r="A82" s="126">
        <v>75.0</v>
      </c>
      <c r="B82" s="129" t="str">
        <f>+IF(A82&gt;Coverage,"",A82)</f>
        <v/>
      </c>
      <c r="C82" s="134" t="str">
        <f>+IF(B82&gt;Coverage,"",IF(B82=1,Insured_Age,C81+1))</f>
        <v/>
      </c>
      <c r="D82" s="134" t="str">
        <f>+Calc_Annual!E82</f>
        <v/>
      </c>
      <c r="E82" s="134" t="str">
        <f>+Calc_Annual!F82</f>
        <v/>
      </c>
      <c r="F82" s="134" t="str">
        <f>+Calc_Annual!G82</f>
        <v/>
      </c>
      <c r="G82" s="134" t="str">
        <f>+Calc_Annual!H82</f>
        <v/>
      </c>
      <c r="H82" s="134" t="str">
        <f>+IF(B82&gt;Coverage,"",SUM(E$8:E82)+SUM(F$8:F82)-SUM(G$8:G82))</f>
        <v/>
      </c>
      <c r="I82" s="66" t="str">
        <f>+IF($B82&gt;Coverage,"",Calc_Annual!I82)</f>
        <v/>
      </c>
      <c r="J82" s="134" t="str">
        <f>+Calc_Annual!K82</f>
        <v/>
      </c>
      <c r="K82" s="134" t="str">
        <f>Calc_Annual!L82</f>
        <v/>
      </c>
      <c r="L82" s="134" t="str">
        <f>+Calc_Annual!Q82</f>
        <v/>
      </c>
      <c r="M82" s="134" t="str">
        <f>+Calc_Annual!R82</f>
        <v/>
      </c>
      <c r="N82" s="134" t="str">
        <f>+Calc_Annual!S82</f>
        <v/>
      </c>
      <c r="O82" s="134" t="str">
        <f>IF(B82&gt;Coverage,"",SUM(Calc_Annual!T82,Calc_Annual!W82,Calc_Annual!Z82,Calc_Annual!AC82))</f>
        <v/>
      </c>
      <c r="P82" s="134" t="str">
        <f>IF(B82&gt;Coverage,"",SUM(Calc_Annual!U82,Calc_Annual!X82,Calc_Annual!AA82,Calc_Annual!AD82))</f>
        <v/>
      </c>
      <c r="Q82" s="134" t="str">
        <f>IF(B82&gt;Coverage,"",SUM(Calc_Annual!AF82,Calc_Annual!AI82,Calc_Annual!AL82,Calc_Annual!AO82))</f>
        <v/>
      </c>
      <c r="R82" s="134" t="str">
        <f>IF(B82&gt;Coverage,"",SUM(Calc_Annual!AG82,Calc_Annual!AJ82,Calc_Annual!AM82,Calc_Annual!AP82))</f>
        <v/>
      </c>
      <c r="S82" s="134" t="str">
        <f>IF(B82&gt;Coverage,"",SUM(Calc_Annual!AR82,Calc_Annual!AU82,Calc_Annual!AX82,Calc_Annual!BA82))</f>
        <v/>
      </c>
      <c r="T82" s="134" t="str">
        <f>IF(B82&gt;Coverage,"",SUM(Calc_Annual!AS82,Calc_Annual!AV82,Calc_Annual!AY82,Calc_Annual!BB82))</f>
        <v/>
      </c>
      <c r="U82" s="134" t="str">
        <f>IF(B82&gt;Coverage,"",VLOOKUP(MIN($C82,10),Assumption!$M$18:$N$28,2,0)*$I82+P82)</f>
        <v/>
      </c>
      <c r="V82" s="134" t="str">
        <f>IF(B82&gt;Coverage,"",VLOOKUP(MIN($C82,10),Assumption!$M$18:$N$28,2,0)*$I82+R82)</f>
        <v/>
      </c>
      <c r="W82" s="134" t="str">
        <f>IF(B82&gt;Coverage,"",VLOOKUP(MIN($C82,10),Assumption!$M$18:$N$28,2,0)*$I82+T82)</f>
        <v/>
      </c>
      <c r="X82" s="134" t="str">
        <f>IF(B82&gt;Coverage,"",SUM(Calc_Annual!V82,Calc_Annual!Y82,Calc_Annual!AB82,Calc_Annual!AE82))</f>
        <v/>
      </c>
      <c r="Y82" s="134" t="str">
        <f>IF(B82&gt;Coverage,"",SUM(Calc_Annual!AH82,Calc_Annual!AK82,Calc_Annual!AN82,Calc_Annual!AQ82))</f>
        <v/>
      </c>
      <c r="Z82" s="134" t="str">
        <f>IF(B82&gt;Coverage,"",SUM(Calc_Annual!AT82,Calc_Annual!AW82,Calc_Annual!AZ82,Calc_Annual!BC82))</f>
        <v/>
      </c>
    </row>
    <row r="83" ht="14.25" customHeight="1">
      <c r="A83" s="126">
        <v>76.0</v>
      </c>
      <c r="B83" s="129" t="str">
        <f>+IF(A83&gt;Coverage,"",A83)</f>
        <v/>
      </c>
      <c r="C83" s="134" t="str">
        <f>+IF(B83&gt;Coverage,"",IF(B83=1,Insured_Age,C82+1))</f>
        <v/>
      </c>
      <c r="D83" s="134" t="str">
        <f>+Calc_Annual!E83</f>
        <v/>
      </c>
      <c r="E83" s="134" t="str">
        <f>+Calc_Annual!F83</f>
        <v/>
      </c>
      <c r="F83" s="134" t="str">
        <f>+Calc_Annual!G83</f>
        <v/>
      </c>
      <c r="G83" s="134" t="str">
        <f>+Calc_Annual!H83</f>
        <v/>
      </c>
      <c r="H83" s="134" t="str">
        <f>+IF(B83&gt;Coverage,"",SUM(E$8:E83)+SUM(F$8:F83)-SUM(G$8:G83))</f>
        <v/>
      </c>
      <c r="I83" s="66" t="str">
        <f>+IF($B83&gt;Coverage,"",Calc_Annual!I83)</f>
        <v/>
      </c>
      <c r="J83" s="134" t="str">
        <f>+Calc_Annual!K83</f>
        <v/>
      </c>
      <c r="K83" s="134" t="str">
        <f>Calc_Annual!L83</f>
        <v/>
      </c>
      <c r="L83" s="134" t="str">
        <f>+Calc_Annual!Q83</f>
        <v/>
      </c>
      <c r="M83" s="134" t="str">
        <f>+Calc_Annual!R83</f>
        <v/>
      </c>
      <c r="N83" s="134" t="str">
        <f>+Calc_Annual!S83</f>
        <v/>
      </c>
      <c r="O83" s="134" t="str">
        <f>IF(B83&gt;Coverage,"",SUM(Calc_Annual!T83,Calc_Annual!W83,Calc_Annual!Z83,Calc_Annual!AC83))</f>
        <v/>
      </c>
      <c r="P83" s="134" t="str">
        <f>IF(B83&gt;Coverage,"",SUM(Calc_Annual!U83,Calc_Annual!X83,Calc_Annual!AA83,Calc_Annual!AD83))</f>
        <v/>
      </c>
      <c r="Q83" s="134" t="str">
        <f>IF(B83&gt;Coverage,"",SUM(Calc_Annual!AF83,Calc_Annual!AI83,Calc_Annual!AL83,Calc_Annual!AO83))</f>
        <v/>
      </c>
      <c r="R83" s="134" t="str">
        <f>IF(B83&gt;Coverage,"",SUM(Calc_Annual!AG83,Calc_Annual!AJ83,Calc_Annual!AM83,Calc_Annual!AP83))</f>
        <v/>
      </c>
      <c r="S83" s="134" t="str">
        <f>IF(B83&gt;Coverage,"",SUM(Calc_Annual!AR83,Calc_Annual!AU83,Calc_Annual!AX83,Calc_Annual!BA83))</f>
        <v/>
      </c>
      <c r="T83" s="134" t="str">
        <f>IF(B83&gt;Coverage,"",SUM(Calc_Annual!AS83,Calc_Annual!AV83,Calc_Annual!AY83,Calc_Annual!BB83))</f>
        <v/>
      </c>
      <c r="U83" s="134" t="str">
        <f>IF(B83&gt;Coverage,"",VLOOKUP(MIN($C83,10),Assumption!$M$18:$N$28,2,0)*$I83+P83)</f>
        <v/>
      </c>
      <c r="V83" s="134" t="str">
        <f>IF(B83&gt;Coverage,"",VLOOKUP(MIN($C83,10),Assumption!$M$18:$N$28,2,0)*$I83+R83)</f>
        <v/>
      </c>
      <c r="W83" s="134" t="str">
        <f>IF(B83&gt;Coverage,"",VLOOKUP(MIN($C83,10),Assumption!$M$18:$N$28,2,0)*$I83+T83)</f>
        <v/>
      </c>
      <c r="X83" s="134" t="str">
        <f>IF(B83&gt;Coverage,"",SUM(Calc_Annual!V83,Calc_Annual!Y83,Calc_Annual!AB83,Calc_Annual!AE83))</f>
        <v/>
      </c>
      <c r="Y83" s="134" t="str">
        <f>IF(B83&gt;Coverage,"",SUM(Calc_Annual!AH83,Calc_Annual!AK83,Calc_Annual!AN83,Calc_Annual!AQ83))</f>
        <v/>
      </c>
      <c r="Z83" s="134" t="str">
        <f>IF(B83&gt;Coverage,"",SUM(Calc_Annual!AT83,Calc_Annual!AW83,Calc_Annual!AZ83,Calc_Annual!BC83))</f>
        <v/>
      </c>
    </row>
    <row r="84" ht="14.25" customHeight="1">
      <c r="A84" s="126">
        <v>77.0</v>
      </c>
      <c r="B84" s="129" t="str">
        <f>+IF(A84&gt;Coverage,"",A84)</f>
        <v/>
      </c>
      <c r="C84" s="134" t="str">
        <f>+IF(B84&gt;Coverage,"",IF(B84=1,Insured_Age,C83+1))</f>
        <v/>
      </c>
      <c r="D84" s="134" t="str">
        <f>+Calc_Annual!E84</f>
        <v/>
      </c>
      <c r="E84" s="134" t="str">
        <f>+Calc_Annual!F84</f>
        <v/>
      </c>
      <c r="F84" s="134" t="str">
        <f>+Calc_Annual!G84</f>
        <v/>
      </c>
      <c r="G84" s="134" t="str">
        <f>+Calc_Annual!H84</f>
        <v/>
      </c>
      <c r="H84" s="134" t="str">
        <f>+IF(B84&gt;Coverage,"",SUM(E$8:E84)+SUM(F$8:F84)-SUM(G$8:G84))</f>
        <v/>
      </c>
      <c r="I84" s="66" t="str">
        <f>+IF($B84&gt;Coverage,"",Calc_Annual!I84)</f>
        <v/>
      </c>
      <c r="J84" s="134" t="str">
        <f>+Calc_Annual!K84</f>
        <v/>
      </c>
      <c r="K84" s="134" t="str">
        <f>Calc_Annual!L84</f>
        <v/>
      </c>
      <c r="L84" s="134" t="str">
        <f>+Calc_Annual!Q84</f>
        <v/>
      </c>
      <c r="M84" s="134" t="str">
        <f>+Calc_Annual!R84</f>
        <v/>
      </c>
      <c r="N84" s="134" t="str">
        <f>+Calc_Annual!S84</f>
        <v/>
      </c>
      <c r="O84" s="134" t="str">
        <f>IF(B84&gt;Coverage,"",SUM(Calc_Annual!T84,Calc_Annual!W84,Calc_Annual!Z84,Calc_Annual!AC84))</f>
        <v/>
      </c>
      <c r="P84" s="134" t="str">
        <f>IF(B84&gt;Coverage,"",SUM(Calc_Annual!U84,Calc_Annual!X84,Calc_Annual!AA84,Calc_Annual!AD84))</f>
        <v/>
      </c>
      <c r="Q84" s="134" t="str">
        <f>IF(B84&gt;Coverage,"",SUM(Calc_Annual!AF84,Calc_Annual!AI84,Calc_Annual!AL84,Calc_Annual!AO84))</f>
        <v/>
      </c>
      <c r="R84" s="134" t="str">
        <f>IF(B84&gt;Coverage,"",SUM(Calc_Annual!AG84,Calc_Annual!AJ84,Calc_Annual!AM84,Calc_Annual!AP84))</f>
        <v/>
      </c>
      <c r="S84" s="134" t="str">
        <f>IF(B84&gt;Coverage,"",SUM(Calc_Annual!AR84,Calc_Annual!AU84,Calc_Annual!AX84,Calc_Annual!BA84))</f>
        <v/>
      </c>
      <c r="T84" s="134" t="str">
        <f>IF(B84&gt;Coverage,"",SUM(Calc_Annual!AS84,Calc_Annual!AV84,Calc_Annual!AY84,Calc_Annual!BB84))</f>
        <v/>
      </c>
      <c r="U84" s="134" t="str">
        <f>IF(B84&gt;Coverage,"",VLOOKUP(MIN($C84,10),Assumption!$M$18:$N$28,2,0)*$I84+P84)</f>
        <v/>
      </c>
      <c r="V84" s="134" t="str">
        <f>IF(B84&gt;Coverage,"",VLOOKUP(MIN($C84,10),Assumption!$M$18:$N$28,2,0)*$I84+R84)</f>
        <v/>
      </c>
      <c r="W84" s="134" t="str">
        <f>IF(B84&gt;Coverage,"",VLOOKUP(MIN($C84,10),Assumption!$M$18:$N$28,2,0)*$I84+T84)</f>
        <v/>
      </c>
      <c r="X84" s="134" t="str">
        <f>IF(B84&gt;Coverage,"",SUM(Calc_Annual!V84,Calc_Annual!Y84,Calc_Annual!AB84,Calc_Annual!AE84))</f>
        <v/>
      </c>
      <c r="Y84" s="134" t="str">
        <f>IF(B84&gt;Coverage,"",SUM(Calc_Annual!AH84,Calc_Annual!AK84,Calc_Annual!AN84,Calc_Annual!AQ84))</f>
        <v/>
      </c>
      <c r="Z84" s="134" t="str">
        <f>IF(B84&gt;Coverage,"",SUM(Calc_Annual!AT84,Calc_Annual!AW84,Calc_Annual!AZ84,Calc_Annual!BC84))</f>
        <v/>
      </c>
    </row>
    <row r="85" ht="14.25" customHeight="1">
      <c r="A85" s="126">
        <v>78.0</v>
      </c>
      <c r="B85" s="129" t="str">
        <f>+IF(A85&gt;Coverage,"",A85)</f>
        <v/>
      </c>
      <c r="C85" s="134" t="str">
        <f>+IF(B85&gt;Coverage,"",IF(B85=1,Insured_Age,C84+1))</f>
        <v/>
      </c>
      <c r="D85" s="134" t="str">
        <f>+Calc_Annual!E85</f>
        <v/>
      </c>
      <c r="E85" s="134" t="str">
        <f>+Calc_Annual!F85</f>
        <v/>
      </c>
      <c r="F85" s="134" t="str">
        <f>+Calc_Annual!G85</f>
        <v/>
      </c>
      <c r="G85" s="134" t="str">
        <f>+Calc_Annual!H85</f>
        <v/>
      </c>
      <c r="H85" s="134" t="str">
        <f>+IF(B85&gt;Coverage,"",SUM(E$8:E85)+SUM(F$8:F85)-SUM(G$8:G85))</f>
        <v/>
      </c>
      <c r="I85" s="66" t="str">
        <f>+IF($B85&gt;Coverage,"",Calc_Annual!I85)</f>
        <v/>
      </c>
      <c r="J85" s="134" t="str">
        <f>+Calc_Annual!K85</f>
        <v/>
      </c>
      <c r="K85" s="134" t="str">
        <f>Calc_Annual!L85</f>
        <v/>
      </c>
      <c r="L85" s="134" t="str">
        <f>+Calc_Annual!Q85</f>
        <v/>
      </c>
      <c r="M85" s="134" t="str">
        <f>+Calc_Annual!R85</f>
        <v/>
      </c>
      <c r="N85" s="134" t="str">
        <f>+Calc_Annual!S85</f>
        <v/>
      </c>
      <c r="O85" s="134" t="str">
        <f>IF(B85&gt;Coverage,"",SUM(Calc_Annual!T85,Calc_Annual!W85,Calc_Annual!Z85,Calc_Annual!AC85))</f>
        <v/>
      </c>
      <c r="P85" s="134" t="str">
        <f>IF(B85&gt;Coverage,"",SUM(Calc_Annual!U85,Calc_Annual!X85,Calc_Annual!AA85,Calc_Annual!AD85))</f>
        <v/>
      </c>
      <c r="Q85" s="134" t="str">
        <f>IF(B85&gt;Coverage,"",SUM(Calc_Annual!AF85,Calc_Annual!AI85,Calc_Annual!AL85,Calc_Annual!AO85))</f>
        <v/>
      </c>
      <c r="R85" s="134" t="str">
        <f>IF(B85&gt;Coverage,"",SUM(Calc_Annual!AG85,Calc_Annual!AJ85,Calc_Annual!AM85,Calc_Annual!AP85))</f>
        <v/>
      </c>
      <c r="S85" s="134" t="str">
        <f>IF(B85&gt;Coverage,"",SUM(Calc_Annual!AR85,Calc_Annual!AU85,Calc_Annual!AX85,Calc_Annual!BA85))</f>
        <v/>
      </c>
      <c r="T85" s="134" t="str">
        <f>IF(B85&gt;Coverage,"",SUM(Calc_Annual!AS85,Calc_Annual!AV85,Calc_Annual!AY85,Calc_Annual!BB85))</f>
        <v/>
      </c>
      <c r="U85" s="134" t="str">
        <f>IF(B85&gt;Coverage,"",VLOOKUP(MIN($C85,10),Assumption!$M$18:$N$28,2,0)*$I85+P85)</f>
        <v/>
      </c>
      <c r="V85" s="134" t="str">
        <f>IF(B85&gt;Coverage,"",VLOOKUP(MIN($C85,10),Assumption!$M$18:$N$28,2,0)*$I85+R85)</f>
        <v/>
      </c>
      <c r="W85" s="134" t="str">
        <f>IF(B85&gt;Coverage,"",VLOOKUP(MIN($C85,10),Assumption!$M$18:$N$28,2,0)*$I85+T85)</f>
        <v/>
      </c>
      <c r="X85" s="134" t="str">
        <f>IF(B85&gt;Coverage,"",SUM(Calc_Annual!V85,Calc_Annual!Y85,Calc_Annual!AB85,Calc_Annual!AE85))</f>
        <v/>
      </c>
      <c r="Y85" s="134" t="str">
        <f>IF(B85&gt;Coverage,"",SUM(Calc_Annual!AH85,Calc_Annual!AK85,Calc_Annual!AN85,Calc_Annual!AQ85))</f>
        <v/>
      </c>
      <c r="Z85" s="134" t="str">
        <f>IF(B85&gt;Coverage,"",SUM(Calc_Annual!AT85,Calc_Annual!AW85,Calc_Annual!AZ85,Calc_Annual!BC85))</f>
        <v/>
      </c>
    </row>
    <row r="86" ht="14.25" customHeight="1">
      <c r="A86" s="126">
        <v>79.0</v>
      </c>
      <c r="B86" s="129" t="str">
        <f>+IF(A86&gt;Coverage,"",A86)</f>
        <v/>
      </c>
      <c r="C86" s="134" t="str">
        <f>+IF(B86&gt;Coverage,"",IF(B86=1,Insured_Age,C85+1))</f>
        <v/>
      </c>
      <c r="D86" s="134" t="str">
        <f>+Calc_Annual!E86</f>
        <v/>
      </c>
      <c r="E86" s="134" t="str">
        <f>+Calc_Annual!F86</f>
        <v/>
      </c>
      <c r="F86" s="134" t="str">
        <f>+Calc_Annual!G86</f>
        <v/>
      </c>
      <c r="G86" s="134" t="str">
        <f>+Calc_Annual!H86</f>
        <v/>
      </c>
      <c r="H86" s="134" t="str">
        <f>+IF(B86&gt;Coverage,"",SUM(E$8:E86)+SUM(F$8:F86)-SUM(G$8:G86))</f>
        <v/>
      </c>
      <c r="I86" s="66" t="str">
        <f>+IF($B86&gt;Coverage,"",Calc_Annual!I86)</f>
        <v/>
      </c>
      <c r="J86" s="134" t="str">
        <f>+Calc_Annual!K86</f>
        <v/>
      </c>
      <c r="K86" s="134" t="str">
        <f>Calc_Annual!L86</f>
        <v/>
      </c>
      <c r="L86" s="134" t="str">
        <f>+Calc_Annual!Q86</f>
        <v/>
      </c>
      <c r="M86" s="134" t="str">
        <f>+Calc_Annual!R86</f>
        <v/>
      </c>
      <c r="N86" s="134" t="str">
        <f>+Calc_Annual!S86</f>
        <v/>
      </c>
      <c r="O86" s="134" t="str">
        <f>IF(B86&gt;Coverage,"",SUM(Calc_Annual!T86,Calc_Annual!W86,Calc_Annual!Z86,Calc_Annual!AC86))</f>
        <v/>
      </c>
      <c r="P86" s="134" t="str">
        <f>IF(B86&gt;Coverage,"",SUM(Calc_Annual!U86,Calc_Annual!X86,Calc_Annual!AA86,Calc_Annual!AD86))</f>
        <v/>
      </c>
      <c r="Q86" s="134" t="str">
        <f>IF(B86&gt;Coverage,"",SUM(Calc_Annual!AF86,Calc_Annual!AI86,Calc_Annual!AL86,Calc_Annual!AO86))</f>
        <v/>
      </c>
      <c r="R86" s="134" t="str">
        <f>IF(B86&gt;Coverage,"",SUM(Calc_Annual!AG86,Calc_Annual!AJ86,Calc_Annual!AM86,Calc_Annual!AP86))</f>
        <v/>
      </c>
      <c r="S86" s="134" t="str">
        <f>IF(B86&gt;Coverage,"",SUM(Calc_Annual!AR86,Calc_Annual!AU86,Calc_Annual!AX86,Calc_Annual!BA86))</f>
        <v/>
      </c>
      <c r="T86" s="134" t="str">
        <f>IF(B86&gt;Coverage,"",SUM(Calc_Annual!AS86,Calc_Annual!AV86,Calc_Annual!AY86,Calc_Annual!BB86))</f>
        <v/>
      </c>
      <c r="U86" s="134" t="str">
        <f>IF(B86&gt;Coverage,"",VLOOKUP(MIN($C86,10),Assumption!$M$18:$N$28,2,0)*$I86+P86)</f>
        <v/>
      </c>
      <c r="V86" s="134" t="str">
        <f>IF(B86&gt;Coverage,"",VLOOKUP(MIN($C86,10),Assumption!$M$18:$N$28,2,0)*$I86+R86)</f>
        <v/>
      </c>
      <c r="W86" s="134" t="str">
        <f>IF(B86&gt;Coverage,"",VLOOKUP(MIN($C86,10),Assumption!$M$18:$N$28,2,0)*$I86+T86)</f>
        <v/>
      </c>
      <c r="X86" s="134" t="str">
        <f>IF(B86&gt;Coverage,"",SUM(Calc_Annual!V86,Calc_Annual!Y86,Calc_Annual!AB86,Calc_Annual!AE86))</f>
        <v/>
      </c>
      <c r="Y86" s="134" t="str">
        <f>IF(B86&gt;Coverage,"",SUM(Calc_Annual!AH86,Calc_Annual!AK86,Calc_Annual!AN86,Calc_Annual!AQ86))</f>
        <v/>
      </c>
      <c r="Z86" s="134" t="str">
        <f>IF(B86&gt;Coverage,"",SUM(Calc_Annual!AT86,Calc_Annual!AW86,Calc_Annual!AZ86,Calc_Annual!BC86))</f>
        <v/>
      </c>
    </row>
    <row r="87" ht="14.25" customHeight="1">
      <c r="A87" s="126">
        <v>80.0</v>
      </c>
      <c r="B87" s="129" t="str">
        <f>+IF(A87&gt;Coverage,"",A87)</f>
        <v/>
      </c>
      <c r="C87" s="134" t="str">
        <f>+IF(B87&gt;Coverage,"",IF(B87=1,Insured_Age,C86+1))</f>
        <v/>
      </c>
      <c r="D87" s="134" t="str">
        <f>+Calc_Annual!E87</f>
        <v/>
      </c>
      <c r="E87" s="134" t="str">
        <f>+Calc_Annual!F87</f>
        <v/>
      </c>
      <c r="F87" s="134" t="str">
        <f>+Calc_Annual!G87</f>
        <v/>
      </c>
      <c r="G87" s="134" t="str">
        <f>+Calc_Annual!H87</f>
        <v/>
      </c>
      <c r="H87" s="134" t="str">
        <f>+IF(B87&gt;Coverage,"",SUM(E$8:E87)+SUM(F$8:F87)-SUM(G$8:G87))</f>
        <v/>
      </c>
      <c r="I87" s="66" t="str">
        <f>+IF($B87&gt;Coverage,"",Calc_Annual!I87)</f>
        <v/>
      </c>
      <c r="J87" s="134" t="str">
        <f>+Calc_Annual!K87</f>
        <v/>
      </c>
      <c r="K87" s="134" t="str">
        <f>Calc_Annual!L87</f>
        <v/>
      </c>
      <c r="L87" s="134" t="str">
        <f>+Calc_Annual!Q87</f>
        <v/>
      </c>
      <c r="M87" s="134" t="str">
        <f>+Calc_Annual!R87</f>
        <v/>
      </c>
      <c r="N87" s="134" t="str">
        <f>+Calc_Annual!S87</f>
        <v/>
      </c>
      <c r="O87" s="134" t="str">
        <f>IF(B87&gt;Coverage,"",SUM(Calc_Annual!T87,Calc_Annual!W87,Calc_Annual!Z87,Calc_Annual!AC87))</f>
        <v/>
      </c>
      <c r="P87" s="134" t="str">
        <f>IF(B87&gt;Coverage,"",SUM(Calc_Annual!U87,Calc_Annual!X87,Calc_Annual!AA87,Calc_Annual!AD87))</f>
        <v/>
      </c>
      <c r="Q87" s="134" t="str">
        <f>IF(B87&gt;Coverage,"",SUM(Calc_Annual!AF87,Calc_Annual!AI87,Calc_Annual!AL87,Calc_Annual!AO87))</f>
        <v/>
      </c>
      <c r="R87" s="134" t="str">
        <f>IF(B87&gt;Coverage,"",SUM(Calc_Annual!AG87,Calc_Annual!AJ87,Calc_Annual!AM87,Calc_Annual!AP87))</f>
        <v/>
      </c>
      <c r="S87" s="134" t="str">
        <f>IF(B87&gt;Coverage,"",SUM(Calc_Annual!AR87,Calc_Annual!AU87,Calc_Annual!AX87,Calc_Annual!BA87))</f>
        <v/>
      </c>
      <c r="T87" s="134" t="str">
        <f>IF(B87&gt;Coverage,"",SUM(Calc_Annual!AS87,Calc_Annual!AV87,Calc_Annual!AY87,Calc_Annual!BB87))</f>
        <v/>
      </c>
      <c r="U87" s="134" t="str">
        <f>IF(B87&gt;Coverage,"",VLOOKUP(MIN($C87,10),Assumption!$M$18:$N$28,2,0)*$I87+P87)</f>
        <v/>
      </c>
      <c r="V87" s="134" t="str">
        <f>IF(B87&gt;Coverage,"",VLOOKUP(MIN($C87,10),Assumption!$M$18:$N$28,2,0)*$I87+R87)</f>
        <v/>
      </c>
      <c r="W87" s="134" t="str">
        <f>IF(B87&gt;Coverage,"",VLOOKUP(MIN($C87,10),Assumption!$M$18:$N$28,2,0)*$I87+T87)</f>
        <v/>
      </c>
      <c r="X87" s="134" t="str">
        <f>IF(B87&gt;Coverage,"",SUM(Calc_Annual!V87,Calc_Annual!Y87,Calc_Annual!AB87,Calc_Annual!AE87))</f>
        <v/>
      </c>
      <c r="Y87" s="134" t="str">
        <f>IF(B87&gt;Coverage,"",SUM(Calc_Annual!AH87,Calc_Annual!AK87,Calc_Annual!AN87,Calc_Annual!AQ87))</f>
        <v/>
      </c>
      <c r="Z87" s="134" t="str">
        <f>IF(B87&gt;Coverage,"",SUM(Calc_Annual!AT87,Calc_Annual!AW87,Calc_Annual!AZ87,Calc_Annual!BC87))</f>
        <v/>
      </c>
    </row>
    <row r="88" ht="14.25" customHeight="1">
      <c r="A88" s="126">
        <v>81.0</v>
      </c>
      <c r="B88" s="129" t="str">
        <f>+IF(A88&gt;Coverage,"",A88)</f>
        <v/>
      </c>
      <c r="C88" s="134" t="str">
        <f>+IF(B88&gt;Coverage,"",IF(B88=1,Insured_Age,C87+1))</f>
        <v/>
      </c>
      <c r="D88" s="134" t="str">
        <f>+Calc_Annual!E88</f>
        <v/>
      </c>
      <c r="E88" s="134" t="str">
        <f>+Calc_Annual!F88</f>
        <v/>
      </c>
      <c r="F88" s="134" t="str">
        <f>+Calc_Annual!G88</f>
        <v/>
      </c>
      <c r="G88" s="134" t="str">
        <f>+Calc_Annual!H88</f>
        <v/>
      </c>
      <c r="H88" s="134" t="str">
        <f>+IF(B88&gt;Coverage,"",SUM(E$8:E88)+SUM(F$8:F88)-SUM(G$8:G88))</f>
        <v/>
      </c>
      <c r="I88" s="66" t="str">
        <f>+IF($B88&gt;Coverage,"",Calc_Annual!I88)</f>
        <v/>
      </c>
      <c r="J88" s="134" t="str">
        <f>+Calc_Annual!K88</f>
        <v/>
      </c>
      <c r="K88" s="134" t="str">
        <f>Calc_Annual!L88</f>
        <v/>
      </c>
      <c r="L88" s="134" t="str">
        <f>+Calc_Annual!Q88</f>
        <v/>
      </c>
      <c r="M88" s="134" t="str">
        <f>+Calc_Annual!R88</f>
        <v/>
      </c>
      <c r="N88" s="134" t="str">
        <f>+Calc_Annual!S88</f>
        <v/>
      </c>
      <c r="O88" s="134" t="str">
        <f>IF(B88&gt;Coverage,"",SUM(Calc_Annual!T88,Calc_Annual!W88,Calc_Annual!Z88,Calc_Annual!AC88))</f>
        <v/>
      </c>
      <c r="P88" s="134" t="str">
        <f>IF(B88&gt;Coverage,"",SUM(Calc_Annual!U88,Calc_Annual!X88,Calc_Annual!AA88,Calc_Annual!AD88))</f>
        <v/>
      </c>
      <c r="Q88" s="134" t="str">
        <f>IF(B88&gt;Coverage,"",SUM(Calc_Annual!AF88,Calc_Annual!AI88,Calc_Annual!AL88,Calc_Annual!AO88))</f>
        <v/>
      </c>
      <c r="R88" s="134" t="str">
        <f>IF(B88&gt;Coverage,"",SUM(Calc_Annual!AG88,Calc_Annual!AJ88,Calc_Annual!AM88,Calc_Annual!AP88))</f>
        <v/>
      </c>
      <c r="S88" s="134" t="str">
        <f>IF(B88&gt;Coverage,"",SUM(Calc_Annual!AR88,Calc_Annual!AU88,Calc_Annual!AX88,Calc_Annual!BA88))</f>
        <v/>
      </c>
      <c r="T88" s="134" t="str">
        <f>IF(B88&gt;Coverage,"",SUM(Calc_Annual!AS88,Calc_Annual!AV88,Calc_Annual!AY88,Calc_Annual!BB88))</f>
        <v/>
      </c>
      <c r="U88" s="134" t="str">
        <f>IF(B88&gt;Coverage,"",VLOOKUP(MIN($C88,10),Assumption!$M$18:$N$28,2,0)*$I88+P88)</f>
        <v/>
      </c>
      <c r="V88" s="134" t="str">
        <f>IF(B88&gt;Coverage,"",VLOOKUP(MIN($C88,10),Assumption!$M$18:$N$28,2,0)*$I88+R88)</f>
        <v/>
      </c>
      <c r="W88" s="134" t="str">
        <f>IF(B88&gt;Coverage,"",VLOOKUP(MIN($C88,10),Assumption!$M$18:$N$28,2,0)*$I88+T88)</f>
        <v/>
      </c>
      <c r="X88" s="134" t="str">
        <f>IF(B88&gt;Coverage,"",SUM(Calc_Annual!V88,Calc_Annual!Y88,Calc_Annual!AB88,Calc_Annual!AE88))</f>
        <v/>
      </c>
      <c r="Y88" s="134" t="str">
        <f>IF(B88&gt;Coverage,"",SUM(Calc_Annual!AH88,Calc_Annual!AK88,Calc_Annual!AN88,Calc_Annual!AQ88))</f>
        <v/>
      </c>
      <c r="Z88" s="134" t="str">
        <f>IF(B88&gt;Coverage,"",SUM(Calc_Annual!AT88,Calc_Annual!AW88,Calc_Annual!AZ88,Calc_Annual!BC88))</f>
        <v/>
      </c>
    </row>
    <row r="89" ht="14.25" customHeight="1">
      <c r="A89" s="126">
        <v>82.0</v>
      </c>
      <c r="B89" s="129" t="str">
        <f>+IF(A89&gt;Coverage,"",A89)</f>
        <v/>
      </c>
      <c r="C89" s="134" t="str">
        <f>+IF(B89&gt;Coverage,"",IF(B89=1,Insured_Age,C88+1))</f>
        <v/>
      </c>
      <c r="D89" s="134" t="str">
        <f>+Calc_Annual!E89</f>
        <v/>
      </c>
      <c r="E89" s="134" t="str">
        <f>+Calc_Annual!F89</f>
        <v/>
      </c>
      <c r="F89" s="134" t="str">
        <f>+Calc_Annual!G89</f>
        <v/>
      </c>
      <c r="G89" s="134" t="str">
        <f>+Calc_Annual!H89</f>
        <v/>
      </c>
      <c r="H89" s="134" t="str">
        <f>+IF(B89&gt;Coverage,"",SUM(E$8:E89)+SUM(F$8:F89)-SUM(G$8:G89))</f>
        <v/>
      </c>
      <c r="I89" s="66" t="str">
        <f>+IF($B89&gt;Coverage,"",Calc_Annual!I89)</f>
        <v/>
      </c>
      <c r="J89" s="134" t="str">
        <f>+Calc_Annual!K89</f>
        <v/>
      </c>
      <c r="K89" s="134" t="str">
        <f>Calc_Annual!L89</f>
        <v/>
      </c>
      <c r="L89" s="134" t="str">
        <f>+Calc_Annual!Q89</f>
        <v/>
      </c>
      <c r="M89" s="134" t="str">
        <f>+Calc_Annual!R89</f>
        <v/>
      </c>
      <c r="N89" s="134" t="str">
        <f>+Calc_Annual!S89</f>
        <v/>
      </c>
      <c r="O89" s="134" t="str">
        <f>IF(B89&gt;Coverage,"",SUM(Calc_Annual!T89,Calc_Annual!W89,Calc_Annual!Z89,Calc_Annual!AC89))</f>
        <v/>
      </c>
      <c r="P89" s="134" t="str">
        <f>IF(B89&gt;Coverage,"",SUM(Calc_Annual!U89,Calc_Annual!X89,Calc_Annual!AA89,Calc_Annual!AD89))</f>
        <v/>
      </c>
      <c r="Q89" s="134" t="str">
        <f>IF(B89&gt;Coverage,"",SUM(Calc_Annual!AF89,Calc_Annual!AI89,Calc_Annual!AL89,Calc_Annual!AO89))</f>
        <v/>
      </c>
      <c r="R89" s="134" t="str">
        <f>IF(B89&gt;Coverage,"",SUM(Calc_Annual!AG89,Calc_Annual!AJ89,Calc_Annual!AM89,Calc_Annual!AP89))</f>
        <v/>
      </c>
      <c r="S89" s="134" t="str">
        <f>IF(B89&gt;Coverage,"",SUM(Calc_Annual!AR89,Calc_Annual!AU89,Calc_Annual!AX89,Calc_Annual!BA89))</f>
        <v/>
      </c>
      <c r="T89" s="134" t="str">
        <f>IF(B89&gt;Coverage,"",SUM(Calc_Annual!AS89,Calc_Annual!AV89,Calc_Annual!AY89,Calc_Annual!BB89))</f>
        <v/>
      </c>
      <c r="U89" s="134" t="str">
        <f>IF(B89&gt;Coverage,"",VLOOKUP(MIN($C89,10),Assumption!$M$18:$N$28,2,0)*$I89+P89)</f>
        <v/>
      </c>
      <c r="V89" s="134" t="str">
        <f>IF(B89&gt;Coverage,"",VLOOKUP(MIN($C89,10),Assumption!$M$18:$N$28,2,0)*$I89+R89)</f>
        <v/>
      </c>
      <c r="W89" s="134" t="str">
        <f>IF(B89&gt;Coverage,"",VLOOKUP(MIN($C89,10),Assumption!$M$18:$N$28,2,0)*$I89+T89)</f>
        <v/>
      </c>
      <c r="X89" s="134" t="str">
        <f>IF(B89&gt;Coverage,"",SUM(Calc_Annual!V89,Calc_Annual!Y89,Calc_Annual!AB89,Calc_Annual!AE89))</f>
        <v/>
      </c>
      <c r="Y89" s="134" t="str">
        <f>IF(B89&gt;Coverage,"",SUM(Calc_Annual!AH89,Calc_Annual!AK89,Calc_Annual!AN89,Calc_Annual!AQ89))</f>
        <v/>
      </c>
      <c r="Z89" s="134" t="str">
        <f>IF(B89&gt;Coverage,"",SUM(Calc_Annual!AT89,Calc_Annual!AW89,Calc_Annual!AZ89,Calc_Annual!BC89))</f>
        <v/>
      </c>
    </row>
    <row r="90" ht="14.25" customHeight="1">
      <c r="A90" s="126">
        <v>83.0</v>
      </c>
      <c r="B90" s="129" t="str">
        <f>+IF(A90&gt;Coverage,"",A90)</f>
        <v/>
      </c>
      <c r="C90" s="134" t="str">
        <f>+IF(B90&gt;Coverage,"",IF(B90=1,Insured_Age,C89+1))</f>
        <v/>
      </c>
      <c r="D90" s="134" t="str">
        <f>+Calc_Annual!E90</f>
        <v/>
      </c>
      <c r="E90" s="134" t="str">
        <f>+Calc_Annual!F90</f>
        <v/>
      </c>
      <c r="F90" s="134" t="str">
        <f>+Calc_Annual!G90</f>
        <v/>
      </c>
      <c r="G90" s="134" t="str">
        <f>+Calc_Annual!H90</f>
        <v/>
      </c>
      <c r="H90" s="134" t="str">
        <f>+IF(B90&gt;Coverage,"",SUM(E$8:E90)+SUM(F$8:F90)-SUM(G$8:G90))</f>
        <v/>
      </c>
      <c r="I90" s="66" t="str">
        <f>+IF($B90&gt;Coverage,"",Calc_Annual!I90)</f>
        <v/>
      </c>
      <c r="J90" s="134" t="str">
        <f>+Calc_Annual!K90</f>
        <v/>
      </c>
      <c r="K90" s="134" t="str">
        <f>Calc_Annual!L90</f>
        <v/>
      </c>
      <c r="L90" s="134" t="str">
        <f>+Calc_Annual!Q90</f>
        <v/>
      </c>
      <c r="M90" s="134" t="str">
        <f>+Calc_Annual!R90</f>
        <v/>
      </c>
      <c r="N90" s="134" t="str">
        <f>+Calc_Annual!S90</f>
        <v/>
      </c>
      <c r="O90" s="134" t="str">
        <f>IF(B90&gt;Coverage,"",SUM(Calc_Annual!T90,Calc_Annual!W90,Calc_Annual!Z90,Calc_Annual!AC90))</f>
        <v/>
      </c>
      <c r="P90" s="134" t="str">
        <f>IF(B90&gt;Coverage,"",SUM(Calc_Annual!U90,Calc_Annual!X90,Calc_Annual!AA90,Calc_Annual!AD90))</f>
        <v/>
      </c>
      <c r="Q90" s="134" t="str">
        <f>IF(B90&gt;Coverage,"",SUM(Calc_Annual!AF90,Calc_Annual!AI90,Calc_Annual!AL90,Calc_Annual!AO90))</f>
        <v/>
      </c>
      <c r="R90" s="134" t="str">
        <f>IF(B90&gt;Coverage,"",SUM(Calc_Annual!AG90,Calc_Annual!AJ90,Calc_Annual!AM90,Calc_Annual!AP90))</f>
        <v/>
      </c>
      <c r="S90" s="134" t="str">
        <f>IF(B90&gt;Coverage,"",SUM(Calc_Annual!AR90,Calc_Annual!AU90,Calc_Annual!AX90,Calc_Annual!BA90))</f>
        <v/>
      </c>
      <c r="T90" s="134" t="str">
        <f>IF(B90&gt;Coverage,"",SUM(Calc_Annual!AS90,Calc_Annual!AV90,Calc_Annual!AY90,Calc_Annual!BB90))</f>
        <v/>
      </c>
      <c r="U90" s="134" t="str">
        <f>IF(B90&gt;Coverage,"",VLOOKUP(MIN($C90,10),Assumption!$M$18:$N$28,2,0)*$I90+P90)</f>
        <v/>
      </c>
      <c r="V90" s="134" t="str">
        <f>IF(B90&gt;Coverage,"",VLOOKUP(MIN($C90,10),Assumption!$M$18:$N$28,2,0)*$I90+R90)</f>
        <v/>
      </c>
      <c r="W90" s="134" t="str">
        <f>IF(B90&gt;Coverage,"",VLOOKUP(MIN($C90,10),Assumption!$M$18:$N$28,2,0)*$I90+T90)</f>
        <v/>
      </c>
      <c r="X90" s="134" t="str">
        <f>IF(B90&gt;Coverage,"",SUM(Calc_Annual!V90,Calc_Annual!Y90,Calc_Annual!AB90,Calc_Annual!AE90))</f>
        <v/>
      </c>
      <c r="Y90" s="134" t="str">
        <f>IF(B90&gt;Coverage,"",SUM(Calc_Annual!AH90,Calc_Annual!AK90,Calc_Annual!AN90,Calc_Annual!AQ90))</f>
        <v/>
      </c>
      <c r="Z90" s="134" t="str">
        <f>IF(B90&gt;Coverage,"",SUM(Calc_Annual!AT90,Calc_Annual!AW90,Calc_Annual!AZ90,Calc_Annual!BC90))</f>
        <v/>
      </c>
    </row>
    <row r="91" ht="14.25" customHeight="1">
      <c r="A91" s="126">
        <v>84.0</v>
      </c>
      <c r="B91" s="129" t="str">
        <f>+IF(A91&gt;Coverage,"",A91)</f>
        <v/>
      </c>
      <c r="C91" s="134" t="str">
        <f>+IF(B91&gt;Coverage,"",IF(B91=1,Insured_Age,C90+1))</f>
        <v/>
      </c>
      <c r="D91" s="134" t="str">
        <f>+Calc_Annual!E91</f>
        <v/>
      </c>
      <c r="E91" s="134" t="str">
        <f>+Calc_Annual!F91</f>
        <v/>
      </c>
      <c r="F91" s="134" t="str">
        <f>+Calc_Annual!G91</f>
        <v/>
      </c>
      <c r="G91" s="134" t="str">
        <f>+Calc_Annual!H91</f>
        <v/>
      </c>
      <c r="H91" s="134" t="str">
        <f>+IF(B91&gt;Coverage,"",SUM(E$8:E91)+SUM(F$8:F91)-SUM(G$8:G91))</f>
        <v/>
      </c>
      <c r="I91" s="66" t="str">
        <f>+IF($B91&gt;Coverage,"",Calc_Annual!I91)</f>
        <v/>
      </c>
      <c r="J91" s="134" t="str">
        <f>+Calc_Annual!K91</f>
        <v/>
      </c>
      <c r="K91" s="134" t="str">
        <f>Calc_Annual!L91</f>
        <v/>
      </c>
      <c r="L91" s="134" t="str">
        <f>+Calc_Annual!Q91</f>
        <v/>
      </c>
      <c r="M91" s="134" t="str">
        <f>+Calc_Annual!R91</f>
        <v/>
      </c>
      <c r="N91" s="134" t="str">
        <f>+Calc_Annual!S91</f>
        <v/>
      </c>
      <c r="O91" s="134" t="str">
        <f>IF(B91&gt;Coverage,"",SUM(Calc_Annual!T91,Calc_Annual!W91,Calc_Annual!Z91,Calc_Annual!AC91))</f>
        <v/>
      </c>
      <c r="P91" s="134" t="str">
        <f>IF(B91&gt;Coverage,"",SUM(Calc_Annual!U91,Calc_Annual!X91,Calc_Annual!AA91,Calc_Annual!AD91))</f>
        <v/>
      </c>
      <c r="Q91" s="134" t="str">
        <f>IF(B91&gt;Coverage,"",SUM(Calc_Annual!AF91,Calc_Annual!AI91,Calc_Annual!AL91,Calc_Annual!AO91))</f>
        <v/>
      </c>
      <c r="R91" s="134" t="str">
        <f>IF(B91&gt;Coverage,"",SUM(Calc_Annual!AG91,Calc_Annual!AJ91,Calc_Annual!AM91,Calc_Annual!AP91))</f>
        <v/>
      </c>
      <c r="S91" s="134" t="str">
        <f>IF(B91&gt;Coverage,"",SUM(Calc_Annual!AR91,Calc_Annual!AU91,Calc_Annual!AX91,Calc_Annual!BA91))</f>
        <v/>
      </c>
      <c r="T91" s="134" t="str">
        <f>IF(B91&gt;Coverage,"",SUM(Calc_Annual!AS91,Calc_Annual!AV91,Calc_Annual!AY91,Calc_Annual!BB91))</f>
        <v/>
      </c>
      <c r="U91" s="134" t="str">
        <f>IF(B91&gt;Coverage,"",VLOOKUP(MIN($C91,10),Assumption!$M$18:$N$28,2,0)*$I91+P91)</f>
        <v/>
      </c>
      <c r="V91" s="134" t="str">
        <f>IF(B91&gt;Coverage,"",VLOOKUP(MIN($C91,10),Assumption!$M$18:$N$28,2,0)*$I91+R91)</f>
        <v/>
      </c>
      <c r="W91" s="134" t="str">
        <f>IF(B91&gt;Coverage,"",VLOOKUP(MIN($C91,10),Assumption!$M$18:$N$28,2,0)*$I91+T91)</f>
        <v/>
      </c>
      <c r="X91" s="134" t="str">
        <f>IF(B91&gt;Coverage,"",SUM(Calc_Annual!V91,Calc_Annual!Y91,Calc_Annual!AB91,Calc_Annual!AE91))</f>
        <v/>
      </c>
      <c r="Y91" s="134" t="str">
        <f>IF(B91&gt;Coverage,"",SUM(Calc_Annual!AH91,Calc_Annual!AK91,Calc_Annual!AN91,Calc_Annual!AQ91))</f>
        <v/>
      </c>
      <c r="Z91" s="134" t="str">
        <f>IF(B91&gt;Coverage,"",SUM(Calc_Annual!AT91,Calc_Annual!AW91,Calc_Annual!AZ91,Calc_Annual!BC91))</f>
        <v/>
      </c>
    </row>
    <row r="92" ht="14.25" customHeight="1">
      <c r="A92" s="126">
        <v>85.0</v>
      </c>
      <c r="B92" s="129" t="str">
        <f>+IF(A92&gt;Coverage,"",A92)</f>
        <v/>
      </c>
      <c r="C92" s="134" t="str">
        <f>+IF(B92&gt;Coverage,"",IF(B92=1,Insured_Age,C91+1))</f>
        <v/>
      </c>
      <c r="D92" s="134" t="str">
        <f>+Calc_Annual!E92</f>
        <v/>
      </c>
      <c r="E92" s="134" t="str">
        <f>+Calc_Annual!F92</f>
        <v/>
      </c>
      <c r="F92" s="134" t="str">
        <f>+Calc_Annual!G92</f>
        <v/>
      </c>
      <c r="G92" s="134" t="str">
        <f>+Calc_Annual!H92</f>
        <v/>
      </c>
      <c r="H92" s="134" t="str">
        <f>+IF(B92&gt;Coverage,"",SUM(E$8:E92)+SUM(F$8:F92)-SUM(G$8:G92))</f>
        <v/>
      </c>
      <c r="I92" s="66" t="str">
        <f>+IF($B92&gt;Coverage,"",Calc_Annual!I92)</f>
        <v/>
      </c>
      <c r="J92" s="134" t="str">
        <f>+Calc_Annual!K92</f>
        <v/>
      </c>
      <c r="K92" s="134" t="str">
        <f>Calc_Annual!L92</f>
        <v/>
      </c>
      <c r="L92" s="134" t="str">
        <f>+Calc_Annual!Q92</f>
        <v/>
      </c>
      <c r="M92" s="134" t="str">
        <f>+Calc_Annual!R92</f>
        <v/>
      </c>
      <c r="N92" s="134" t="str">
        <f>+Calc_Annual!S92</f>
        <v/>
      </c>
      <c r="O92" s="134" t="str">
        <f>IF(B92&gt;Coverage,"",SUM(Calc_Annual!T92,Calc_Annual!W92,Calc_Annual!Z92,Calc_Annual!AC92))</f>
        <v/>
      </c>
      <c r="P92" s="134" t="str">
        <f>IF(B92&gt;Coverage,"",SUM(Calc_Annual!U92,Calc_Annual!X92,Calc_Annual!AA92,Calc_Annual!AD92))</f>
        <v/>
      </c>
      <c r="Q92" s="134" t="str">
        <f>IF(B92&gt;Coverage,"",SUM(Calc_Annual!AF92,Calc_Annual!AI92,Calc_Annual!AL92,Calc_Annual!AO92))</f>
        <v/>
      </c>
      <c r="R92" s="134" t="str">
        <f>IF(B92&gt;Coverage,"",SUM(Calc_Annual!AG92,Calc_Annual!AJ92,Calc_Annual!AM92,Calc_Annual!AP92))</f>
        <v/>
      </c>
      <c r="S92" s="134" t="str">
        <f>IF(B92&gt;Coverage,"",SUM(Calc_Annual!AR92,Calc_Annual!AU92,Calc_Annual!AX92,Calc_Annual!BA92))</f>
        <v/>
      </c>
      <c r="T92" s="134" t="str">
        <f>IF(B92&gt;Coverage,"",SUM(Calc_Annual!AS92,Calc_Annual!AV92,Calc_Annual!AY92,Calc_Annual!BB92))</f>
        <v/>
      </c>
      <c r="U92" s="134" t="str">
        <f>IF(B92&gt;Coverage,"",VLOOKUP(MIN($C92,10),Assumption!$M$18:$N$28,2,0)*$I92+P92)</f>
        <v/>
      </c>
      <c r="V92" s="134" t="str">
        <f>IF(B92&gt;Coverage,"",VLOOKUP(MIN($C92,10),Assumption!$M$18:$N$28,2,0)*$I92+R92)</f>
        <v/>
      </c>
      <c r="W92" s="134" t="str">
        <f>IF(B92&gt;Coverage,"",VLOOKUP(MIN($C92,10),Assumption!$M$18:$N$28,2,0)*$I92+T92)</f>
        <v/>
      </c>
      <c r="X92" s="134" t="str">
        <f>IF(B92&gt;Coverage,"",SUM(Calc_Annual!V92,Calc_Annual!Y92,Calc_Annual!AB92,Calc_Annual!AE92))</f>
        <v/>
      </c>
      <c r="Y92" s="134" t="str">
        <f>IF(B92&gt;Coverage,"",SUM(Calc_Annual!AH92,Calc_Annual!AK92,Calc_Annual!AN92,Calc_Annual!AQ92))</f>
        <v/>
      </c>
      <c r="Z92" s="134" t="str">
        <f>IF(B92&gt;Coverage,"",SUM(Calc_Annual!AT92,Calc_Annual!AW92,Calc_Annual!AZ92,Calc_Annual!BC92))</f>
        <v/>
      </c>
    </row>
    <row r="93" ht="14.25" customHeight="1">
      <c r="A93" s="126">
        <v>86.0</v>
      </c>
      <c r="B93" s="129" t="str">
        <f>+IF(A93&gt;Coverage,"",A93)</f>
        <v/>
      </c>
      <c r="C93" s="134" t="str">
        <f>+IF(B93&gt;Coverage,"",IF(B93=1,Insured_Age,C92+1))</f>
        <v/>
      </c>
      <c r="D93" s="134" t="str">
        <f>+Calc_Annual!E93</f>
        <v/>
      </c>
      <c r="E93" s="134" t="str">
        <f>+Calc_Annual!F93</f>
        <v/>
      </c>
      <c r="F93" s="134" t="str">
        <f>+Calc_Annual!G93</f>
        <v/>
      </c>
      <c r="G93" s="134" t="str">
        <f>+Calc_Annual!H93</f>
        <v/>
      </c>
      <c r="H93" s="134" t="str">
        <f>+IF(B93&gt;Coverage,"",SUM(E$8:E93)+SUM(F$8:F93)-SUM(G$8:G93))</f>
        <v/>
      </c>
      <c r="I93" s="66" t="str">
        <f>+IF($B93&gt;Coverage,"",Calc_Annual!I93)</f>
        <v/>
      </c>
      <c r="J93" s="134" t="str">
        <f>+Calc_Annual!K93</f>
        <v/>
      </c>
      <c r="K93" s="134" t="str">
        <f>Calc_Annual!L93</f>
        <v/>
      </c>
      <c r="L93" s="134" t="str">
        <f>+Calc_Annual!Q93</f>
        <v/>
      </c>
      <c r="M93" s="134" t="str">
        <f>+Calc_Annual!R93</f>
        <v/>
      </c>
      <c r="N93" s="134" t="str">
        <f>+Calc_Annual!S93</f>
        <v/>
      </c>
      <c r="O93" s="134" t="str">
        <f>IF(B93&gt;Coverage,"",SUM(Calc_Annual!T93,Calc_Annual!W93,Calc_Annual!Z93,Calc_Annual!AC93))</f>
        <v/>
      </c>
      <c r="P93" s="134" t="str">
        <f>IF(B93&gt;Coverage,"",SUM(Calc_Annual!U93,Calc_Annual!X93,Calc_Annual!AA93,Calc_Annual!AD93))</f>
        <v/>
      </c>
      <c r="Q93" s="134" t="str">
        <f>IF(B93&gt;Coverage,"",SUM(Calc_Annual!AF93,Calc_Annual!AI93,Calc_Annual!AL93,Calc_Annual!AO93))</f>
        <v/>
      </c>
      <c r="R93" s="134" t="str">
        <f>IF(B93&gt;Coverage,"",SUM(Calc_Annual!AG93,Calc_Annual!AJ93,Calc_Annual!AM93,Calc_Annual!AP93))</f>
        <v/>
      </c>
      <c r="S93" s="134" t="str">
        <f>IF(B93&gt;Coverage,"",SUM(Calc_Annual!AR93,Calc_Annual!AU93,Calc_Annual!AX93,Calc_Annual!BA93))</f>
        <v/>
      </c>
      <c r="T93" s="134" t="str">
        <f>IF(B93&gt;Coverage,"",SUM(Calc_Annual!AS93,Calc_Annual!AV93,Calc_Annual!AY93,Calc_Annual!BB93))</f>
        <v/>
      </c>
      <c r="U93" s="134" t="str">
        <f>IF(B93&gt;Coverage,"",VLOOKUP(MIN($C93,10),Assumption!$M$18:$N$28,2,0)*$I93+P93)</f>
        <v/>
      </c>
      <c r="V93" s="134" t="str">
        <f>IF(B93&gt;Coverage,"",VLOOKUP(MIN($C93,10),Assumption!$M$18:$N$28,2,0)*$I93+R93)</f>
        <v/>
      </c>
      <c r="W93" s="134" t="str">
        <f>IF(B93&gt;Coverage,"",VLOOKUP(MIN($C93,10),Assumption!$M$18:$N$28,2,0)*$I93+T93)</f>
        <v/>
      </c>
      <c r="X93" s="134" t="str">
        <f>IF(B93&gt;Coverage,"",SUM(Calc_Annual!V93,Calc_Annual!Y93,Calc_Annual!AB93,Calc_Annual!AE93))</f>
        <v/>
      </c>
      <c r="Y93" s="134" t="str">
        <f>IF(B93&gt;Coverage,"",SUM(Calc_Annual!AH93,Calc_Annual!AK93,Calc_Annual!AN93,Calc_Annual!AQ93))</f>
        <v/>
      </c>
      <c r="Z93" s="134" t="str">
        <f>IF(B93&gt;Coverage,"",SUM(Calc_Annual!AT93,Calc_Annual!AW93,Calc_Annual!AZ93,Calc_Annual!BC93))</f>
        <v/>
      </c>
    </row>
    <row r="94" ht="14.25" customHeight="1">
      <c r="A94" s="126">
        <v>87.0</v>
      </c>
      <c r="B94" s="129" t="str">
        <f>+IF(A94&gt;Coverage,"",A94)</f>
        <v/>
      </c>
      <c r="C94" s="134" t="str">
        <f>+IF(B94&gt;Coverage,"",IF(B94=1,Insured_Age,C93+1))</f>
        <v/>
      </c>
      <c r="D94" s="134" t="str">
        <f>+Calc_Annual!E94</f>
        <v/>
      </c>
      <c r="E94" s="134" t="str">
        <f>+Calc_Annual!F94</f>
        <v/>
      </c>
      <c r="F94" s="134" t="str">
        <f>+Calc_Annual!G94</f>
        <v/>
      </c>
      <c r="G94" s="134" t="str">
        <f>+Calc_Annual!H94</f>
        <v/>
      </c>
      <c r="H94" s="134" t="str">
        <f>+IF(B94&gt;Coverage,"",SUM(E$8:E94)+SUM(F$8:F94)-SUM(G$8:G94))</f>
        <v/>
      </c>
      <c r="I94" s="66" t="str">
        <f>+IF($B94&gt;Coverage,"",Calc_Annual!I94)</f>
        <v/>
      </c>
      <c r="J94" s="134" t="str">
        <f>+Calc_Annual!K94</f>
        <v/>
      </c>
      <c r="K94" s="134" t="str">
        <f>Calc_Annual!L94</f>
        <v/>
      </c>
      <c r="L94" s="134" t="str">
        <f>+Calc_Annual!Q94</f>
        <v/>
      </c>
      <c r="M94" s="134" t="str">
        <f>+Calc_Annual!R94</f>
        <v/>
      </c>
      <c r="N94" s="134" t="str">
        <f>+Calc_Annual!S94</f>
        <v/>
      </c>
      <c r="O94" s="134" t="str">
        <f>IF(B94&gt;Coverage,"",SUM(Calc_Annual!T94,Calc_Annual!W94,Calc_Annual!Z94,Calc_Annual!AC94))</f>
        <v/>
      </c>
      <c r="P94" s="134" t="str">
        <f>IF(B94&gt;Coverage,"",SUM(Calc_Annual!U94,Calc_Annual!X94,Calc_Annual!AA94,Calc_Annual!AD94))</f>
        <v/>
      </c>
      <c r="Q94" s="134" t="str">
        <f>IF(B94&gt;Coverage,"",SUM(Calc_Annual!AF94,Calc_Annual!AI94,Calc_Annual!AL94,Calc_Annual!AO94))</f>
        <v/>
      </c>
      <c r="R94" s="134" t="str">
        <f>IF(B94&gt;Coverage,"",SUM(Calc_Annual!AG94,Calc_Annual!AJ94,Calc_Annual!AM94,Calc_Annual!AP94))</f>
        <v/>
      </c>
      <c r="S94" s="134" t="str">
        <f>IF(B94&gt;Coverage,"",SUM(Calc_Annual!AR94,Calc_Annual!AU94,Calc_Annual!AX94,Calc_Annual!BA94))</f>
        <v/>
      </c>
      <c r="T94" s="134" t="str">
        <f>IF(B94&gt;Coverage,"",SUM(Calc_Annual!AS94,Calc_Annual!AV94,Calc_Annual!AY94,Calc_Annual!BB94))</f>
        <v/>
      </c>
      <c r="U94" s="134" t="str">
        <f>IF(B94&gt;Coverage,"",VLOOKUP(MIN($C94,10),Assumption!$M$18:$N$28,2,0)*$I94+P94)</f>
        <v/>
      </c>
      <c r="V94" s="134" t="str">
        <f>IF(B94&gt;Coverage,"",VLOOKUP(MIN($C94,10),Assumption!$M$18:$N$28,2,0)*$I94+R94)</f>
        <v/>
      </c>
      <c r="W94" s="134" t="str">
        <f>IF(B94&gt;Coverage,"",VLOOKUP(MIN($C94,10),Assumption!$M$18:$N$28,2,0)*$I94+T94)</f>
        <v/>
      </c>
      <c r="X94" s="134" t="str">
        <f>IF(B94&gt;Coverage,"",SUM(Calc_Annual!V94,Calc_Annual!Y94,Calc_Annual!AB94,Calc_Annual!AE94))</f>
        <v/>
      </c>
      <c r="Y94" s="134" t="str">
        <f>IF(B94&gt;Coverage,"",SUM(Calc_Annual!AH94,Calc_Annual!AK94,Calc_Annual!AN94,Calc_Annual!AQ94))</f>
        <v/>
      </c>
      <c r="Z94" s="134" t="str">
        <f>IF(B94&gt;Coverage,"",SUM(Calc_Annual!AT94,Calc_Annual!AW94,Calc_Annual!AZ94,Calc_Annual!BC94))</f>
        <v/>
      </c>
    </row>
    <row r="95" ht="14.25" customHeight="1">
      <c r="A95" s="126">
        <v>88.0</v>
      </c>
      <c r="B95" s="129" t="str">
        <f>+IF(A95&gt;Coverage,"",A95)</f>
        <v/>
      </c>
      <c r="C95" s="134" t="str">
        <f>+IF(B95&gt;Coverage,"",IF(B95=1,Insured_Age,C94+1))</f>
        <v/>
      </c>
      <c r="D95" s="134" t="str">
        <f>+Calc_Annual!E95</f>
        <v/>
      </c>
      <c r="E95" s="134" t="str">
        <f>+Calc_Annual!F95</f>
        <v/>
      </c>
      <c r="F95" s="134" t="str">
        <f>+Calc_Annual!G95</f>
        <v/>
      </c>
      <c r="G95" s="134" t="str">
        <f>+Calc_Annual!H95</f>
        <v/>
      </c>
      <c r="H95" s="134" t="str">
        <f>+IF(B95&gt;Coverage,"",SUM(E$8:E95)+SUM(F$8:F95)-SUM(G$8:G95))</f>
        <v/>
      </c>
      <c r="I95" s="66" t="str">
        <f>+IF($B95&gt;Coverage,"",Calc_Annual!I95)</f>
        <v/>
      </c>
      <c r="J95" s="134" t="str">
        <f>+Calc_Annual!K95</f>
        <v/>
      </c>
      <c r="K95" s="134" t="str">
        <f>Calc_Annual!L95</f>
        <v/>
      </c>
      <c r="L95" s="134" t="str">
        <f>+Calc_Annual!Q95</f>
        <v/>
      </c>
      <c r="M95" s="134" t="str">
        <f>+Calc_Annual!R95</f>
        <v/>
      </c>
      <c r="N95" s="134" t="str">
        <f>+Calc_Annual!S95</f>
        <v/>
      </c>
      <c r="O95" s="134" t="str">
        <f>IF(B95&gt;Coverage,"",SUM(Calc_Annual!T95,Calc_Annual!W95,Calc_Annual!Z95,Calc_Annual!AC95))</f>
        <v/>
      </c>
      <c r="P95" s="134" t="str">
        <f>IF(B95&gt;Coverage,"",SUM(Calc_Annual!U95,Calc_Annual!X95,Calc_Annual!AA95,Calc_Annual!AD95))</f>
        <v/>
      </c>
      <c r="Q95" s="134" t="str">
        <f>IF(B95&gt;Coverage,"",SUM(Calc_Annual!AF95,Calc_Annual!AI95,Calc_Annual!AL95,Calc_Annual!AO95))</f>
        <v/>
      </c>
      <c r="R95" s="134" t="str">
        <f>IF(B95&gt;Coverage,"",SUM(Calc_Annual!AG95,Calc_Annual!AJ95,Calc_Annual!AM95,Calc_Annual!AP95))</f>
        <v/>
      </c>
      <c r="S95" s="134" t="str">
        <f>IF(B95&gt;Coverage,"",SUM(Calc_Annual!AR95,Calc_Annual!AU95,Calc_Annual!AX95,Calc_Annual!BA95))</f>
        <v/>
      </c>
      <c r="T95" s="134" t="str">
        <f>IF(B95&gt;Coverage,"",SUM(Calc_Annual!AS95,Calc_Annual!AV95,Calc_Annual!AY95,Calc_Annual!BB95))</f>
        <v/>
      </c>
      <c r="U95" s="134" t="str">
        <f>IF(B95&gt;Coverage,"",VLOOKUP(MIN($C95,10),Assumption!$M$18:$N$28,2,0)*$I95+P95)</f>
        <v/>
      </c>
      <c r="V95" s="134" t="str">
        <f>IF(B95&gt;Coverage,"",VLOOKUP(MIN($C95,10),Assumption!$M$18:$N$28,2,0)*$I95+R95)</f>
        <v/>
      </c>
      <c r="W95" s="134" t="str">
        <f>IF(B95&gt;Coverage,"",VLOOKUP(MIN($C95,10),Assumption!$M$18:$N$28,2,0)*$I95+T95)</f>
        <v/>
      </c>
      <c r="X95" s="134" t="str">
        <f>IF(B95&gt;Coverage,"",SUM(Calc_Annual!V95,Calc_Annual!Y95,Calc_Annual!AB95,Calc_Annual!AE95))</f>
        <v/>
      </c>
      <c r="Y95" s="134" t="str">
        <f>IF(B95&gt;Coverage,"",SUM(Calc_Annual!AH95,Calc_Annual!AK95,Calc_Annual!AN95,Calc_Annual!AQ95))</f>
        <v/>
      </c>
      <c r="Z95" s="134" t="str">
        <f>IF(B95&gt;Coverage,"",SUM(Calc_Annual!AT95,Calc_Annual!AW95,Calc_Annual!AZ95,Calc_Annual!BC95))</f>
        <v/>
      </c>
    </row>
    <row r="96" ht="14.25" customHeight="1">
      <c r="A96" s="126">
        <v>89.0</v>
      </c>
      <c r="B96" s="129" t="str">
        <f>+IF(A96&gt;Coverage,"",A96)</f>
        <v/>
      </c>
      <c r="C96" s="134" t="str">
        <f>+IF(B96&gt;Coverage,"",IF(B96=1,Insured_Age,C95+1))</f>
        <v/>
      </c>
      <c r="D96" s="134" t="str">
        <f>+Calc_Annual!E96</f>
        <v/>
      </c>
      <c r="E96" s="134" t="str">
        <f>+Calc_Annual!F96</f>
        <v/>
      </c>
      <c r="F96" s="134" t="str">
        <f>+Calc_Annual!G96</f>
        <v/>
      </c>
      <c r="G96" s="134" t="str">
        <f>+Calc_Annual!H96</f>
        <v/>
      </c>
      <c r="H96" s="134" t="str">
        <f>+IF(B96&gt;Coverage,"",SUM(E$8:E96)+SUM(F$8:F96)-SUM(G$8:G96))</f>
        <v/>
      </c>
      <c r="I96" s="66" t="str">
        <f>+IF($B96&gt;Coverage,"",Calc_Annual!I96)</f>
        <v/>
      </c>
      <c r="J96" s="134" t="str">
        <f>+Calc_Annual!K96</f>
        <v/>
      </c>
      <c r="K96" s="134" t="str">
        <f>Calc_Annual!L96</f>
        <v/>
      </c>
      <c r="L96" s="134" t="str">
        <f>+Calc_Annual!Q96</f>
        <v/>
      </c>
      <c r="M96" s="134" t="str">
        <f>+Calc_Annual!R96</f>
        <v/>
      </c>
      <c r="N96" s="134" t="str">
        <f>+Calc_Annual!S96</f>
        <v/>
      </c>
      <c r="O96" s="134" t="str">
        <f>IF(B96&gt;Coverage,"",SUM(Calc_Annual!T96,Calc_Annual!W96,Calc_Annual!Z96,Calc_Annual!AC96))</f>
        <v/>
      </c>
      <c r="P96" s="134" t="str">
        <f>IF(B96&gt;Coverage,"",SUM(Calc_Annual!U96,Calc_Annual!X96,Calc_Annual!AA96,Calc_Annual!AD96))</f>
        <v/>
      </c>
      <c r="Q96" s="134" t="str">
        <f>IF(B96&gt;Coverage,"",SUM(Calc_Annual!AF96,Calc_Annual!AI96,Calc_Annual!AL96,Calc_Annual!AO96))</f>
        <v/>
      </c>
      <c r="R96" s="134" t="str">
        <f>IF(B96&gt;Coverage,"",SUM(Calc_Annual!AG96,Calc_Annual!AJ96,Calc_Annual!AM96,Calc_Annual!AP96))</f>
        <v/>
      </c>
      <c r="S96" s="134" t="str">
        <f>IF(B96&gt;Coverage,"",SUM(Calc_Annual!AR96,Calc_Annual!AU96,Calc_Annual!AX96,Calc_Annual!BA96))</f>
        <v/>
      </c>
      <c r="T96" s="134" t="str">
        <f>IF(B96&gt;Coverage,"",SUM(Calc_Annual!AS96,Calc_Annual!AV96,Calc_Annual!AY96,Calc_Annual!BB96))</f>
        <v/>
      </c>
      <c r="U96" s="134" t="str">
        <f>IF(B96&gt;Coverage,"",VLOOKUP(MIN($C96,10),Assumption!$M$18:$N$28,2,0)*$I96+P96)</f>
        <v/>
      </c>
      <c r="V96" s="134" t="str">
        <f>IF(B96&gt;Coverage,"",VLOOKUP(MIN($C96,10),Assumption!$M$18:$N$28,2,0)*$I96+R96)</f>
        <v/>
      </c>
      <c r="W96" s="134" t="str">
        <f>IF(B96&gt;Coverage,"",VLOOKUP(MIN($C96,10),Assumption!$M$18:$N$28,2,0)*$I96+T96)</f>
        <v/>
      </c>
      <c r="X96" s="134" t="str">
        <f>IF(B96&gt;Coverage,"",SUM(Calc_Annual!V96,Calc_Annual!Y96,Calc_Annual!AB96,Calc_Annual!AE96))</f>
        <v/>
      </c>
      <c r="Y96" s="134" t="str">
        <f>IF(B96&gt;Coverage,"",SUM(Calc_Annual!AH96,Calc_Annual!AK96,Calc_Annual!AN96,Calc_Annual!AQ96))</f>
        <v/>
      </c>
      <c r="Z96" s="134" t="str">
        <f>IF(B96&gt;Coverage,"",SUM(Calc_Annual!AT96,Calc_Annual!AW96,Calc_Annual!AZ96,Calc_Annual!BC96))</f>
        <v/>
      </c>
    </row>
    <row r="97" ht="14.25" customHeight="1">
      <c r="A97" s="126">
        <v>90.0</v>
      </c>
      <c r="B97" s="129" t="str">
        <f>+IF(A97&gt;Coverage,"",A97)</f>
        <v/>
      </c>
      <c r="C97" s="134" t="str">
        <f>+IF(B97&gt;Coverage,"",IF(B97=1,Insured_Age,C96+1))</f>
        <v/>
      </c>
      <c r="D97" s="134" t="str">
        <f>+Calc_Annual!E97</f>
        <v/>
      </c>
      <c r="E97" s="134" t="str">
        <f>+Calc_Annual!F97</f>
        <v/>
      </c>
      <c r="F97" s="134" t="str">
        <f>+Calc_Annual!G97</f>
        <v/>
      </c>
      <c r="G97" s="134" t="str">
        <f>+Calc_Annual!H97</f>
        <v/>
      </c>
      <c r="H97" s="134" t="str">
        <f>+IF(B97&gt;Coverage,"",SUM(E$8:E97)+SUM(F$8:F97)-SUM(G$8:G97))</f>
        <v/>
      </c>
      <c r="I97" s="66" t="str">
        <f>+IF($B97&gt;Coverage,"",Calc_Annual!I97)</f>
        <v/>
      </c>
      <c r="J97" s="134" t="str">
        <f>+Calc_Annual!K97</f>
        <v/>
      </c>
      <c r="K97" s="134" t="str">
        <f>Calc_Annual!L97</f>
        <v/>
      </c>
      <c r="L97" s="134" t="str">
        <f>+Calc_Annual!Q97</f>
        <v/>
      </c>
      <c r="M97" s="134" t="str">
        <f>+Calc_Annual!R97</f>
        <v/>
      </c>
      <c r="N97" s="134" t="str">
        <f>+Calc_Annual!S97</f>
        <v/>
      </c>
      <c r="O97" s="134" t="str">
        <f>IF(B97&gt;Coverage,"",SUM(Calc_Annual!T97,Calc_Annual!W97,Calc_Annual!Z97,Calc_Annual!AC97))</f>
        <v/>
      </c>
      <c r="P97" s="134" t="str">
        <f>IF(B97&gt;Coverage,"",SUM(Calc_Annual!U97,Calc_Annual!X97,Calc_Annual!AA97,Calc_Annual!AD97))</f>
        <v/>
      </c>
      <c r="Q97" s="134" t="str">
        <f>IF(B97&gt;Coverage,"",SUM(Calc_Annual!AF97,Calc_Annual!AI97,Calc_Annual!AL97,Calc_Annual!AO97))</f>
        <v/>
      </c>
      <c r="R97" s="134" t="str">
        <f>IF(B97&gt;Coverage,"",SUM(Calc_Annual!AG97,Calc_Annual!AJ97,Calc_Annual!AM97,Calc_Annual!AP97))</f>
        <v/>
      </c>
      <c r="S97" s="134" t="str">
        <f>IF(B97&gt;Coverage,"",SUM(Calc_Annual!AR97,Calc_Annual!AU97,Calc_Annual!AX97,Calc_Annual!BA97))</f>
        <v/>
      </c>
      <c r="T97" s="134" t="str">
        <f>IF(B97&gt;Coverage,"",SUM(Calc_Annual!AS97,Calc_Annual!AV97,Calc_Annual!AY97,Calc_Annual!BB97))</f>
        <v/>
      </c>
      <c r="U97" s="134" t="str">
        <f>IF(B97&gt;Coverage,"",VLOOKUP(MIN($C97,10),Assumption!$M$18:$N$28,2,0)*$I97+P97)</f>
        <v/>
      </c>
      <c r="V97" s="134" t="str">
        <f>IF(B97&gt;Coverage,"",VLOOKUP(MIN($C97,10),Assumption!$M$18:$N$28,2,0)*$I97+R97)</f>
        <v/>
      </c>
      <c r="W97" s="134" t="str">
        <f>IF(B97&gt;Coverage,"",VLOOKUP(MIN($C97,10),Assumption!$M$18:$N$28,2,0)*$I97+T97)</f>
        <v/>
      </c>
      <c r="X97" s="134" t="str">
        <f>IF(B97&gt;Coverage,"",SUM(Calc_Annual!V97,Calc_Annual!Y97,Calc_Annual!AB97,Calc_Annual!AE97))</f>
        <v/>
      </c>
      <c r="Y97" s="134" t="str">
        <f>IF(B97&gt;Coverage,"",SUM(Calc_Annual!AH97,Calc_Annual!AK97,Calc_Annual!AN97,Calc_Annual!AQ97))</f>
        <v/>
      </c>
      <c r="Z97" s="134" t="str">
        <f>IF(B97&gt;Coverage,"",SUM(Calc_Annual!AT97,Calc_Annual!AW97,Calc_Annual!AZ97,Calc_Annual!BC97))</f>
        <v/>
      </c>
    </row>
    <row r="98" ht="14.25" customHeight="1">
      <c r="A98" s="126">
        <v>91.0</v>
      </c>
      <c r="B98" s="129" t="str">
        <f>+IF(A98&gt;Coverage,"",A98)</f>
        <v/>
      </c>
      <c r="C98" s="134" t="str">
        <f>+IF(B98&gt;Coverage,"",IF(B98=1,Insured_Age,C97+1))</f>
        <v/>
      </c>
      <c r="D98" s="134" t="str">
        <f>+Calc_Annual!E98</f>
        <v/>
      </c>
      <c r="E98" s="134" t="str">
        <f>+Calc_Annual!F98</f>
        <v/>
      </c>
      <c r="F98" s="134" t="str">
        <f>+Calc_Annual!G98</f>
        <v/>
      </c>
      <c r="G98" s="134" t="str">
        <f>+Calc_Annual!H98</f>
        <v/>
      </c>
      <c r="H98" s="134" t="str">
        <f>+IF(B98&gt;Coverage,"",SUM(E$8:E98)+SUM(F$8:F98)-SUM(G$8:G98))</f>
        <v/>
      </c>
      <c r="I98" s="66" t="str">
        <f>+IF($B98&gt;Coverage,"",Calc_Annual!I98)</f>
        <v/>
      </c>
      <c r="J98" s="134" t="str">
        <f>+Calc_Annual!K98</f>
        <v/>
      </c>
      <c r="K98" s="134" t="str">
        <f>Calc_Annual!L98</f>
        <v/>
      </c>
      <c r="L98" s="134" t="str">
        <f>+Calc_Annual!Q98</f>
        <v/>
      </c>
      <c r="M98" s="134" t="str">
        <f>+Calc_Annual!R98</f>
        <v/>
      </c>
      <c r="N98" s="134" t="str">
        <f>+Calc_Annual!S98</f>
        <v/>
      </c>
      <c r="O98" s="134" t="str">
        <f>IF(B98&gt;Coverage,"",SUM(Calc_Annual!T98,Calc_Annual!W98,Calc_Annual!Z98,Calc_Annual!AC98))</f>
        <v/>
      </c>
      <c r="P98" s="134" t="str">
        <f>IF(B98&gt;Coverage,"",SUM(Calc_Annual!U98,Calc_Annual!X98,Calc_Annual!AA98,Calc_Annual!AD98))</f>
        <v/>
      </c>
      <c r="Q98" s="134" t="str">
        <f>IF(B98&gt;Coverage,"",SUM(Calc_Annual!AF98,Calc_Annual!AI98,Calc_Annual!AL98,Calc_Annual!AO98))</f>
        <v/>
      </c>
      <c r="R98" s="134" t="str">
        <f>IF(B98&gt;Coverage,"",SUM(Calc_Annual!AG98,Calc_Annual!AJ98,Calc_Annual!AM98,Calc_Annual!AP98))</f>
        <v/>
      </c>
      <c r="S98" s="134" t="str">
        <f>IF(B98&gt;Coverage,"",SUM(Calc_Annual!AR98,Calc_Annual!AU98,Calc_Annual!AX98,Calc_Annual!BA98))</f>
        <v/>
      </c>
      <c r="T98" s="134" t="str">
        <f>IF(B98&gt;Coverage,"",SUM(Calc_Annual!AS98,Calc_Annual!AV98,Calc_Annual!AY98,Calc_Annual!BB98))</f>
        <v/>
      </c>
      <c r="U98" s="134" t="str">
        <f>IF(B98&gt;Coverage,"",VLOOKUP(MIN($C98,10),Assumption!$M$18:$N$28,2,0)*$I98+P98)</f>
        <v/>
      </c>
      <c r="V98" s="134" t="str">
        <f>IF(B98&gt;Coverage,"",VLOOKUP(MIN($C98,10),Assumption!$M$18:$N$28,2,0)*$I98+R98)</f>
        <v/>
      </c>
      <c r="W98" s="134" t="str">
        <f>IF(B98&gt;Coverage,"",VLOOKUP(MIN($C98,10),Assumption!$M$18:$N$28,2,0)*$I98+T98)</f>
        <v/>
      </c>
      <c r="X98" s="134" t="str">
        <f>IF(B98&gt;Coverage,"",SUM(Calc_Annual!V98,Calc_Annual!Y98,Calc_Annual!AB98,Calc_Annual!AE98))</f>
        <v/>
      </c>
      <c r="Y98" s="134" t="str">
        <f>IF(B98&gt;Coverage,"",SUM(Calc_Annual!AH98,Calc_Annual!AK98,Calc_Annual!AN98,Calc_Annual!AQ98))</f>
        <v/>
      </c>
      <c r="Z98" s="134" t="str">
        <f>IF(B98&gt;Coverage,"",SUM(Calc_Annual!AT98,Calc_Annual!AW98,Calc_Annual!AZ98,Calc_Annual!BC98))</f>
        <v/>
      </c>
    </row>
    <row r="99" ht="14.25" customHeight="1">
      <c r="A99" s="126">
        <v>92.0</v>
      </c>
      <c r="B99" s="129" t="str">
        <f>+IF(A99&gt;Coverage,"",A99)</f>
        <v/>
      </c>
      <c r="C99" s="134" t="str">
        <f>+IF(B99&gt;Coverage,"",IF(B99=1,Insured_Age,C98+1))</f>
        <v/>
      </c>
      <c r="D99" s="134" t="str">
        <f>+Calc_Annual!E99</f>
        <v/>
      </c>
      <c r="E99" s="134" t="str">
        <f>+Calc_Annual!F99</f>
        <v/>
      </c>
      <c r="F99" s="134" t="str">
        <f>+Calc_Annual!G99</f>
        <v/>
      </c>
      <c r="G99" s="134" t="str">
        <f>+Calc_Annual!H99</f>
        <v/>
      </c>
      <c r="H99" s="134" t="str">
        <f>+IF(B99&gt;Coverage,"",SUM(E$8:E99)+SUM(F$8:F99)-SUM(G$8:G99))</f>
        <v/>
      </c>
      <c r="I99" s="66" t="str">
        <f>+IF($B99&gt;Coverage,"",Calc_Annual!I99)</f>
        <v/>
      </c>
      <c r="J99" s="134" t="str">
        <f>+Calc_Annual!K99</f>
        <v/>
      </c>
      <c r="K99" s="134" t="str">
        <f>Calc_Annual!L99</f>
        <v/>
      </c>
      <c r="L99" s="134" t="str">
        <f>+Calc_Annual!Q99</f>
        <v/>
      </c>
      <c r="M99" s="134" t="str">
        <f>+Calc_Annual!R99</f>
        <v/>
      </c>
      <c r="N99" s="134" t="str">
        <f>+Calc_Annual!S99</f>
        <v/>
      </c>
      <c r="O99" s="134" t="str">
        <f>IF(B99&gt;Coverage,"",SUM(Calc_Annual!T99,Calc_Annual!W99,Calc_Annual!Z99,Calc_Annual!AC99))</f>
        <v/>
      </c>
      <c r="P99" s="134" t="str">
        <f>IF(B99&gt;Coverage,"",SUM(Calc_Annual!U99,Calc_Annual!X99,Calc_Annual!AA99,Calc_Annual!AD99))</f>
        <v/>
      </c>
      <c r="Q99" s="134" t="str">
        <f>IF(B99&gt;Coverage,"",SUM(Calc_Annual!AF99,Calc_Annual!AI99,Calc_Annual!AL99,Calc_Annual!AO99))</f>
        <v/>
      </c>
      <c r="R99" s="134" t="str">
        <f>IF(B99&gt;Coverage,"",SUM(Calc_Annual!AG99,Calc_Annual!AJ99,Calc_Annual!AM99,Calc_Annual!AP99))</f>
        <v/>
      </c>
      <c r="S99" s="134" t="str">
        <f>IF(B99&gt;Coverage,"",SUM(Calc_Annual!AR99,Calc_Annual!AU99,Calc_Annual!AX99,Calc_Annual!BA99))</f>
        <v/>
      </c>
      <c r="T99" s="134" t="str">
        <f>IF(B99&gt;Coverage,"",SUM(Calc_Annual!AS99,Calc_Annual!AV99,Calc_Annual!AY99,Calc_Annual!BB99))</f>
        <v/>
      </c>
      <c r="U99" s="134" t="str">
        <f>IF(B99&gt;Coverage,"",VLOOKUP(MIN($C99,10),Assumption!$M$18:$N$28,2,0)*$I99+P99)</f>
        <v/>
      </c>
      <c r="V99" s="134" t="str">
        <f>IF(B99&gt;Coverage,"",VLOOKUP(MIN($C99,10),Assumption!$M$18:$N$28,2,0)*$I99+R99)</f>
        <v/>
      </c>
      <c r="W99" s="134" t="str">
        <f>IF(B99&gt;Coverage,"",VLOOKUP(MIN($C99,10),Assumption!$M$18:$N$28,2,0)*$I99+T99)</f>
        <v/>
      </c>
      <c r="X99" s="134" t="str">
        <f>IF(B99&gt;Coverage,"",SUM(Calc_Annual!V99,Calc_Annual!Y99,Calc_Annual!AB99,Calc_Annual!AE99))</f>
        <v/>
      </c>
      <c r="Y99" s="134" t="str">
        <f>IF(B99&gt;Coverage,"",SUM(Calc_Annual!AH99,Calc_Annual!AK99,Calc_Annual!AN99,Calc_Annual!AQ99))</f>
        <v/>
      </c>
      <c r="Z99" s="134" t="str">
        <f>IF(B99&gt;Coverage,"",SUM(Calc_Annual!AT99,Calc_Annual!AW99,Calc_Annual!AZ99,Calc_Annual!BC99))</f>
        <v/>
      </c>
    </row>
    <row r="100" ht="14.25" customHeight="1">
      <c r="A100" s="126">
        <v>93.0</v>
      </c>
      <c r="B100" s="129" t="str">
        <f>+IF(A100&gt;Coverage,"",A100)</f>
        <v/>
      </c>
      <c r="C100" s="134" t="str">
        <f>+IF(B100&gt;Coverage,"",IF(B100=1,Insured_Age,C99+1))</f>
        <v/>
      </c>
      <c r="D100" s="134" t="str">
        <f>+Calc_Annual!E100</f>
        <v/>
      </c>
      <c r="E100" s="134" t="str">
        <f>+Calc_Annual!F100</f>
        <v/>
      </c>
      <c r="F100" s="134" t="str">
        <f>+Calc_Annual!G100</f>
        <v/>
      </c>
      <c r="G100" s="134" t="str">
        <f>+Calc_Annual!H100</f>
        <v/>
      </c>
      <c r="H100" s="134" t="str">
        <f>+IF(B100&gt;Coverage,"",SUM(E$8:E100)+SUM(F$8:F100)-SUM(G$8:G100))</f>
        <v/>
      </c>
      <c r="I100" s="66" t="str">
        <f>+IF($B100&gt;Coverage,"",Calc_Annual!I100)</f>
        <v/>
      </c>
      <c r="J100" s="134" t="str">
        <f>+Calc_Annual!K100</f>
        <v/>
      </c>
      <c r="K100" s="134" t="str">
        <f>Calc_Annual!L100</f>
        <v/>
      </c>
      <c r="L100" s="134" t="str">
        <f>+Calc_Annual!Q100</f>
        <v/>
      </c>
      <c r="M100" s="134" t="str">
        <f>+Calc_Annual!R100</f>
        <v/>
      </c>
      <c r="N100" s="134" t="str">
        <f>+Calc_Annual!S100</f>
        <v/>
      </c>
      <c r="O100" s="134" t="str">
        <f>IF(B100&gt;Coverage,"",SUM(Calc_Annual!T100,Calc_Annual!W100,Calc_Annual!Z100,Calc_Annual!AC100))</f>
        <v/>
      </c>
      <c r="P100" s="134" t="str">
        <f>IF(B100&gt;Coverage,"",SUM(Calc_Annual!U100,Calc_Annual!X100,Calc_Annual!AA100,Calc_Annual!AD100))</f>
        <v/>
      </c>
      <c r="Q100" s="134" t="str">
        <f>IF(B100&gt;Coverage,"",SUM(Calc_Annual!AF100,Calc_Annual!AI100,Calc_Annual!AL100,Calc_Annual!AO100))</f>
        <v/>
      </c>
      <c r="R100" s="134" t="str">
        <f>IF(B100&gt;Coverage,"",SUM(Calc_Annual!AG100,Calc_Annual!AJ100,Calc_Annual!AM100,Calc_Annual!AP100))</f>
        <v/>
      </c>
      <c r="S100" s="134" t="str">
        <f>IF(B100&gt;Coverage,"",SUM(Calc_Annual!AR100,Calc_Annual!AU100,Calc_Annual!AX100,Calc_Annual!BA100))</f>
        <v/>
      </c>
      <c r="T100" s="134" t="str">
        <f>IF(B100&gt;Coverage,"",SUM(Calc_Annual!AS100,Calc_Annual!AV100,Calc_Annual!AY100,Calc_Annual!BB100))</f>
        <v/>
      </c>
      <c r="U100" s="134" t="str">
        <f>IF(B100&gt;Coverage,"",VLOOKUP(MIN($C100,10),Assumption!$M$18:$N$28,2,0)*$I100+P100)</f>
        <v/>
      </c>
      <c r="V100" s="134" t="str">
        <f>IF(B100&gt;Coverage,"",VLOOKUP(MIN($C100,10),Assumption!$M$18:$N$28,2,0)*$I100+R100)</f>
        <v/>
      </c>
      <c r="W100" s="134" t="str">
        <f>IF(B100&gt;Coverage,"",VLOOKUP(MIN($C100,10),Assumption!$M$18:$N$28,2,0)*$I100+T100)</f>
        <v/>
      </c>
      <c r="X100" s="134" t="str">
        <f>IF(B100&gt;Coverage,"",SUM(Calc_Annual!V100,Calc_Annual!Y100,Calc_Annual!AB100,Calc_Annual!AE100))</f>
        <v/>
      </c>
      <c r="Y100" s="134" t="str">
        <f>IF(B100&gt;Coverage,"",SUM(Calc_Annual!AH100,Calc_Annual!AK100,Calc_Annual!AN100,Calc_Annual!AQ100))</f>
        <v/>
      </c>
      <c r="Z100" s="134" t="str">
        <f>IF(B100&gt;Coverage,"",SUM(Calc_Annual!AT100,Calc_Annual!AW100,Calc_Annual!AZ100,Calc_Annual!BC100))</f>
        <v/>
      </c>
    </row>
    <row r="101" ht="14.25" customHeight="1">
      <c r="A101" s="126">
        <v>94.0</v>
      </c>
      <c r="B101" s="129" t="str">
        <f>+IF(A101&gt;Coverage,"",A101)</f>
        <v/>
      </c>
      <c r="C101" s="134" t="str">
        <f>+IF(B101&gt;Coverage,"",IF(B101=1,Insured_Age,C100+1))</f>
        <v/>
      </c>
      <c r="D101" s="134" t="str">
        <f>+Calc_Annual!E101</f>
        <v/>
      </c>
      <c r="E101" s="134" t="str">
        <f>+Calc_Annual!F101</f>
        <v/>
      </c>
      <c r="F101" s="134" t="str">
        <f>+Calc_Annual!G101</f>
        <v/>
      </c>
      <c r="G101" s="134" t="str">
        <f>+Calc_Annual!H101</f>
        <v/>
      </c>
      <c r="H101" s="134" t="str">
        <f>+IF(B101&gt;Coverage,"",SUM(E$8:E101)+SUM(F$8:F101)-SUM(G$8:G101))</f>
        <v/>
      </c>
      <c r="I101" s="66" t="str">
        <f>+IF($B101&gt;Coverage,"",Calc_Annual!I101)</f>
        <v/>
      </c>
      <c r="J101" s="134" t="str">
        <f>+Calc_Annual!K101</f>
        <v/>
      </c>
      <c r="K101" s="134" t="str">
        <f>Calc_Annual!L101</f>
        <v/>
      </c>
      <c r="L101" s="134" t="str">
        <f>+Calc_Annual!Q101</f>
        <v/>
      </c>
      <c r="M101" s="134" t="str">
        <f>+Calc_Annual!R101</f>
        <v/>
      </c>
      <c r="N101" s="134" t="str">
        <f>+Calc_Annual!S101</f>
        <v/>
      </c>
      <c r="O101" s="134" t="str">
        <f>IF(B101&gt;Coverage,"",SUM(Calc_Annual!T101,Calc_Annual!W101,Calc_Annual!Z101,Calc_Annual!AC101))</f>
        <v/>
      </c>
      <c r="P101" s="134" t="str">
        <f>IF(B101&gt;Coverage,"",SUM(Calc_Annual!U101,Calc_Annual!X101,Calc_Annual!AA101,Calc_Annual!AD101))</f>
        <v/>
      </c>
      <c r="Q101" s="134" t="str">
        <f>IF(B101&gt;Coverage,"",SUM(Calc_Annual!AF101,Calc_Annual!AI101,Calc_Annual!AL101,Calc_Annual!AO101))</f>
        <v/>
      </c>
      <c r="R101" s="134" t="str">
        <f>IF(B101&gt;Coverage,"",SUM(Calc_Annual!AG101,Calc_Annual!AJ101,Calc_Annual!AM101,Calc_Annual!AP101))</f>
        <v/>
      </c>
      <c r="S101" s="134" t="str">
        <f>IF(B101&gt;Coverage,"",SUM(Calc_Annual!AR101,Calc_Annual!AU101,Calc_Annual!AX101,Calc_Annual!BA101))</f>
        <v/>
      </c>
      <c r="T101" s="134" t="str">
        <f>IF(B101&gt;Coverage,"",SUM(Calc_Annual!AS101,Calc_Annual!AV101,Calc_Annual!AY101,Calc_Annual!BB101))</f>
        <v/>
      </c>
      <c r="U101" s="134" t="str">
        <f>IF(B101&gt;Coverage,"",VLOOKUP(MIN($C101,10),Assumption!$M$18:$N$28,2,0)*$I101+P101)</f>
        <v/>
      </c>
      <c r="V101" s="134" t="str">
        <f>IF(B101&gt;Coverage,"",VLOOKUP(MIN($C101,10),Assumption!$M$18:$N$28,2,0)*$I101+R101)</f>
        <v/>
      </c>
      <c r="W101" s="134" t="str">
        <f>IF(B101&gt;Coverage,"",VLOOKUP(MIN($C101,10),Assumption!$M$18:$N$28,2,0)*$I101+T101)</f>
        <v/>
      </c>
      <c r="X101" s="134" t="str">
        <f>IF(B101&gt;Coverage,"",SUM(Calc_Annual!V101,Calc_Annual!Y101,Calc_Annual!AB101,Calc_Annual!AE101))</f>
        <v/>
      </c>
      <c r="Y101" s="134" t="str">
        <f>IF(B101&gt;Coverage,"",SUM(Calc_Annual!AH101,Calc_Annual!AK101,Calc_Annual!AN101,Calc_Annual!AQ101))</f>
        <v/>
      </c>
      <c r="Z101" s="134" t="str">
        <f>IF(B101&gt;Coverage,"",SUM(Calc_Annual!AT101,Calc_Annual!AW101,Calc_Annual!AZ101,Calc_Annual!BC101))</f>
        <v/>
      </c>
    </row>
    <row r="102" ht="14.25" customHeight="1">
      <c r="A102" s="126">
        <v>95.0</v>
      </c>
      <c r="B102" s="129" t="str">
        <f>+IF(A102&gt;Coverage,"",A102)</f>
        <v/>
      </c>
      <c r="C102" s="134" t="str">
        <f>+IF(B102&gt;Coverage,"",IF(B102=1,Insured_Age,C101+1))</f>
        <v/>
      </c>
      <c r="D102" s="134" t="str">
        <f>+Calc_Annual!E102</f>
        <v/>
      </c>
      <c r="E102" s="134" t="str">
        <f>+Calc_Annual!F102</f>
        <v/>
      </c>
      <c r="F102" s="134" t="str">
        <f>+Calc_Annual!G102</f>
        <v/>
      </c>
      <c r="G102" s="134" t="str">
        <f>+Calc_Annual!H102</f>
        <v/>
      </c>
      <c r="H102" s="134" t="str">
        <f>+IF(B102&gt;Coverage,"",SUM(E$8:E102)+SUM(F$8:F102)-SUM(G$8:G102))</f>
        <v/>
      </c>
      <c r="I102" s="66" t="str">
        <f>+IF($B102&gt;Coverage,"",Calc_Annual!I102)</f>
        <v/>
      </c>
      <c r="J102" s="134" t="str">
        <f>+Calc_Annual!K102</f>
        <v/>
      </c>
      <c r="K102" s="134" t="str">
        <f>Calc_Annual!L102</f>
        <v/>
      </c>
      <c r="L102" s="134" t="str">
        <f>+Calc_Annual!Q102</f>
        <v/>
      </c>
      <c r="M102" s="134" t="str">
        <f>+Calc_Annual!R102</f>
        <v/>
      </c>
      <c r="N102" s="134" t="str">
        <f>+Calc_Annual!S102</f>
        <v/>
      </c>
      <c r="O102" s="134" t="str">
        <f>IF(B102&gt;Coverage,"",SUM(Calc_Annual!T102,Calc_Annual!W102,Calc_Annual!Z102,Calc_Annual!AC102))</f>
        <v/>
      </c>
      <c r="P102" s="134" t="str">
        <f>IF(B102&gt;Coverage,"",SUM(Calc_Annual!U102,Calc_Annual!X102,Calc_Annual!AA102,Calc_Annual!AD102))</f>
        <v/>
      </c>
      <c r="Q102" s="134" t="str">
        <f>IF(B102&gt;Coverage,"",SUM(Calc_Annual!AF102,Calc_Annual!AI102,Calc_Annual!AL102,Calc_Annual!AO102))</f>
        <v/>
      </c>
      <c r="R102" s="134" t="str">
        <f>IF(B102&gt;Coverage,"",SUM(Calc_Annual!AG102,Calc_Annual!AJ102,Calc_Annual!AM102,Calc_Annual!AP102))</f>
        <v/>
      </c>
      <c r="S102" s="134" t="str">
        <f>IF(B102&gt;Coverage,"",SUM(Calc_Annual!AR102,Calc_Annual!AU102,Calc_Annual!AX102,Calc_Annual!BA102))</f>
        <v/>
      </c>
      <c r="T102" s="134" t="str">
        <f>IF(B102&gt;Coverage,"",SUM(Calc_Annual!AS102,Calc_Annual!AV102,Calc_Annual!AY102,Calc_Annual!BB102))</f>
        <v/>
      </c>
      <c r="U102" s="134" t="str">
        <f>IF(B102&gt;Coverage,"",VLOOKUP(MIN($C102,10),Assumption!$M$18:$N$28,2,0)*$I102+P102)</f>
        <v/>
      </c>
      <c r="V102" s="134" t="str">
        <f>IF(B102&gt;Coverage,"",VLOOKUP(MIN($C102,10),Assumption!$M$18:$N$28,2,0)*$I102+R102)</f>
        <v/>
      </c>
      <c r="W102" s="134" t="str">
        <f>IF(B102&gt;Coverage,"",VLOOKUP(MIN($C102,10),Assumption!$M$18:$N$28,2,0)*$I102+T102)</f>
        <v/>
      </c>
      <c r="X102" s="134" t="str">
        <f>IF(B102&gt;Coverage,"",SUM(Calc_Annual!V102,Calc_Annual!Y102,Calc_Annual!AB102,Calc_Annual!AE102))</f>
        <v/>
      </c>
      <c r="Y102" s="134" t="str">
        <f>IF(B102&gt;Coverage,"",SUM(Calc_Annual!AH102,Calc_Annual!AK102,Calc_Annual!AN102,Calc_Annual!AQ102))</f>
        <v/>
      </c>
      <c r="Z102" s="134" t="str">
        <f>IF(B102&gt;Coverage,"",SUM(Calc_Annual!AT102,Calc_Annual!AW102,Calc_Annual!AZ102,Calc_Annual!BC102))</f>
        <v/>
      </c>
    </row>
    <row r="103" ht="14.25" customHeight="1">
      <c r="A103" s="126">
        <v>96.0</v>
      </c>
      <c r="B103" s="129" t="str">
        <f>+IF(A103&gt;Coverage,"",A103)</f>
        <v/>
      </c>
      <c r="C103" s="134" t="str">
        <f>+IF(B103&gt;Coverage,"",IF(B103=1,Insured_Age,C102+1))</f>
        <v/>
      </c>
      <c r="D103" s="134" t="str">
        <f>+Calc_Annual!E103</f>
        <v/>
      </c>
      <c r="E103" s="134" t="str">
        <f>+Calc_Annual!F103</f>
        <v/>
      </c>
      <c r="F103" s="134" t="str">
        <f>+Calc_Annual!G103</f>
        <v/>
      </c>
      <c r="G103" s="134" t="str">
        <f>+Calc_Annual!H103</f>
        <v/>
      </c>
      <c r="H103" s="134" t="str">
        <f>+IF(B103&gt;Coverage,"",SUM(E$8:E103)+SUM(F$8:F103)-SUM(G$8:G103))</f>
        <v/>
      </c>
      <c r="I103" s="66" t="str">
        <f>+IF($B103&gt;Coverage,"",Calc_Annual!I103)</f>
        <v/>
      </c>
      <c r="J103" s="134" t="str">
        <f>+Calc_Annual!K103</f>
        <v/>
      </c>
      <c r="K103" s="134" t="str">
        <f>Calc_Annual!L103</f>
        <v/>
      </c>
      <c r="L103" s="134" t="str">
        <f>+Calc_Annual!Q103</f>
        <v/>
      </c>
      <c r="M103" s="134" t="str">
        <f>+Calc_Annual!R103</f>
        <v/>
      </c>
      <c r="N103" s="134" t="str">
        <f>+Calc_Annual!S103</f>
        <v/>
      </c>
      <c r="O103" s="134" t="str">
        <f>IF(B103&gt;Coverage,"",SUM(Calc_Annual!T103,Calc_Annual!W103,Calc_Annual!Z103,Calc_Annual!AC103))</f>
        <v/>
      </c>
      <c r="P103" s="134" t="str">
        <f>IF(B103&gt;Coverage,"",SUM(Calc_Annual!U103,Calc_Annual!X103,Calc_Annual!AA103,Calc_Annual!AD103))</f>
        <v/>
      </c>
      <c r="Q103" s="134" t="str">
        <f>IF(B103&gt;Coverage,"",SUM(Calc_Annual!AF103,Calc_Annual!AI103,Calc_Annual!AL103,Calc_Annual!AO103))</f>
        <v/>
      </c>
      <c r="R103" s="134" t="str">
        <f>IF(B103&gt;Coverage,"",SUM(Calc_Annual!AG103,Calc_Annual!AJ103,Calc_Annual!AM103,Calc_Annual!AP103))</f>
        <v/>
      </c>
      <c r="S103" s="134" t="str">
        <f>IF(B103&gt;Coverage,"",SUM(Calc_Annual!AR103,Calc_Annual!AU103,Calc_Annual!AX103,Calc_Annual!BA103))</f>
        <v/>
      </c>
      <c r="T103" s="134" t="str">
        <f>IF(B103&gt;Coverage,"",SUM(Calc_Annual!AS103,Calc_Annual!AV103,Calc_Annual!AY103,Calc_Annual!BB103))</f>
        <v/>
      </c>
      <c r="U103" s="134" t="str">
        <f>IF(B103&gt;Coverage,"",VLOOKUP(MIN($C103,10),Assumption!$M$18:$N$28,2,0)*$I103+P103)</f>
        <v/>
      </c>
      <c r="V103" s="134" t="str">
        <f>IF(B103&gt;Coverage,"",VLOOKUP(MIN($C103,10),Assumption!$M$18:$N$28,2,0)*$I103+R103)</f>
        <v/>
      </c>
      <c r="W103" s="134" t="str">
        <f>IF(B103&gt;Coverage,"",VLOOKUP(MIN($C103,10),Assumption!$M$18:$N$28,2,0)*$I103+T103)</f>
        <v/>
      </c>
      <c r="X103" s="134" t="str">
        <f>IF(B103&gt;Coverage,"",SUM(Calc_Annual!V103,Calc_Annual!Y103,Calc_Annual!AB103,Calc_Annual!AE103))</f>
        <v/>
      </c>
      <c r="Y103" s="134" t="str">
        <f>IF(B103&gt;Coverage,"",SUM(Calc_Annual!AH103,Calc_Annual!AK103,Calc_Annual!AN103,Calc_Annual!AQ103))</f>
        <v/>
      </c>
      <c r="Z103" s="134" t="str">
        <f>IF(B103&gt;Coverage,"",SUM(Calc_Annual!AT103,Calc_Annual!AW103,Calc_Annual!AZ103,Calc_Annual!BC103))</f>
        <v/>
      </c>
    </row>
    <row r="104" ht="14.25" customHeight="1">
      <c r="A104" s="126">
        <v>97.0</v>
      </c>
      <c r="B104" s="129" t="str">
        <f>+IF(A104&gt;Coverage,"",A104)</f>
        <v/>
      </c>
      <c r="C104" s="134" t="str">
        <f>+IF(B104&gt;Coverage,"",IF(B104=1,Insured_Age,C103+1))</f>
        <v/>
      </c>
      <c r="D104" s="134" t="str">
        <f>+Calc_Annual!E104</f>
        <v/>
      </c>
      <c r="E104" s="134" t="str">
        <f>+Calc_Annual!F104</f>
        <v/>
      </c>
      <c r="F104" s="134" t="str">
        <f>+Calc_Annual!G104</f>
        <v/>
      </c>
      <c r="G104" s="134" t="str">
        <f>+Calc_Annual!H104</f>
        <v/>
      </c>
      <c r="H104" s="134" t="str">
        <f>+IF(B104&gt;Coverage,"",SUM(E$8:E104)+SUM(F$8:F104)-SUM(G$8:G104))</f>
        <v/>
      </c>
      <c r="I104" s="66" t="str">
        <f>+IF($B104&gt;Coverage,"",Calc_Annual!I104)</f>
        <v/>
      </c>
      <c r="J104" s="134" t="str">
        <f>+Calc_Annual!K104</f>
        <v/>
      </c>
      <c r="K104" s="134" t="str">
        <f>Calc_Annual!L104</f>
        <v/>
      </c>
      <c r="L104" s="134" t="str">
        <f>+Calc_Annual!Q104</f>
        <v/>
      </c>
      <c r="M104" s="134" t="str">
        <f>+Calc_Annual!R104</f>
        <v/>
      </c>
      <c r="N104" s="134" t="str">
        <f>+Calc_Annual!S104</f>
        <v/>
      </c>
      <c r="O104" s="134" t="str">
        <f>IF(B104&gt;Coverage,"",SUM(Calc_Annual!T104,Calc_Annual!W104,Calc_Annual!Z104,Calc_Annual!AC104))</f>
        <v/>
      </c>
      <c r="P104" s="134" t="str">
        <f>IF(B104&gt;Coverage,"",SUM(Calc_Annual!U104,Calc_Annual!X104,Calc_Annual!AA104,Calc_Annual!AD104))</f>
        <v/>
      </c>
      <c r="Q104" s="134" t="str">
        <f>IF(B104&gt;Coverage,"",SUM(Calc_Annual!AF104,Calc_Annual!AI104,Calc_Annual!AL104,Calc_Annual!AO104))</f>
        <v/>
      </c>
      <c r="R104" s="134" t="str">
        <f>IF(B104&gt;Coverage,"",SUM(Calc_Annual!AG104,Calc_Annual!AJ104,Calc_Annual!AM104,Calc_Annual!AP104))</f>
        <v/>
      </c>
      <c r="S104" s="134" t="str">
        <f>IF(B104&gt;Coverage,"",SUM(Calc_Annual!AR104,Calc_Annual!AU104,Calc_Annual!AX104,Calc_Annual!BA104))</f>
        <v/>
      </c>
      <c r="T104" s="134" t="str">
        <f>IF(B104&gt;Coverage,"",SUM(Calc_Annual!AS104,Calc_Annual!AV104,Calc_Annual!AY104,Calc_Annual!BB104))</f>
        <v/>
      </c>
      <c r="U104" s="134" t="str">
        <f>IF(B104&gt;Coverage,"",VLOOKUP(MIN($C104,10),Assumption!$M$18:$N$28,2,0)*$I104+P104)</f>
        <v/>
      </c>
      <c r="V104" s="134" t="str">
        <f>IF(B104&gt;Coverage,"",VLOOKUP(MIN($C104,10),Assumption!$M$18:$N$28,2,0)*$I104+R104)</f>
        <v/>
      </c>
      <c r="W104" s="134" t="str">
        <f>IF(B104&gt;Coverage,"",VLOOKUP(MIN($C104,10),Assumption!$M$18:$N$28,2,0)*$I104+T104)</f>
        <v/>
      </c>
      <c r="X104" s="134" t="str">
        <f>IF(B104&gt;Coverage,"",SUM(Calc_Annual!V104,Calc_Annual!Y104,Calc_Annual!AB104,Calc_Annual!AE104))</f>
        <v/>
      </c>
      <c r="Y104" s="134" t="str">
        <f>IF(B104&gt;Coverage,"",SUM(Calc_Annual!AH104,Calc_Annual!AK104,Calc_Annual!AN104,Calc_Annual!AQ104))</f>
        <v/>
      </c>
      <c r="Z104" s="134" t="str">
        <f>IF(B104&gt;Coverage,"",SUM(Calc_Annual!AT104,Calc_Annual!AW104,Calc_Annual!AZ104,Calc_Annual!BC104))</f>
        <v/>
      </c>
    </row>
    <row r="105" ht="14.25" customHeight="1">
      <c r="A105" s="126">
        <v>98.0</v>
      </c>
      <c r="B105" s="129" t="str">
        <f>+IF(A105&gt;Coverage,"",A105)</f>
        <v/>
      </c>
      <c r="C105" s="134" t="str">
        <f>+IF(B105&gt;Coverage,"",IF(B105=1,Insured_Age,C104+1))</f>
        <v/>
      </c>
      <c r="D105" s="134" t="str">
        <f>+Calc_Annual!E105</f>
        <v/>
      </c>
      <c r="E105" s="134" t="str">
        <f>+Calc_Annual!F105</f>
        <v/>
      </c>
      <c r="F105" s="134" t="str">
        <f>+Calc_Annual!G105</f>
        <v/>
      </c>
      <c r="G105" s="134" t="str">
        <f>+Calc_Annual!H105</f>
        <v/>
      </c>
      <c r="H105" s="134" t="str">
        <f>+IF(B105&gt;Coverage,"",SUM(E$8:E105)+SUM(F$8:F105)-SUM(G$8:G105))</f>
        <v/>
      </c>
      <c r="I105" s="66" t="str">
        <f>+IF($B105&gt;Coverage,"",Calc_Annual!I105)</f>
        <v/>
      </c>
      <c r="J105" s="134" t="str">
        <f>+Calc_Annual!K105</f>
        <v/>
      </c>
      <c r="K105" s="134" t="str">
        <f>Calc_Annual!L105</f>
        <v/>
      </c>
      <c r="L105" s="134" t="str">
        <f>+Calc_Annual!Q105</f>
        <v/>
      </c>
      <c r="M105" s="134" t="str">
        <f>+Calc_Annual!R105</f>
        <v/>
      </c>
      <c r="N105" s="134" t="str">
        <f>+Calc_Annual!S105</f>
        <v/>
      </c>
      <c r="O105" s="134" t="str">
        <f>IF(B105&gt;Coverage,"",SUM(Calc_Annual!T105,Calc_Annual!W105,Calc_Annual!Z105,Calc_Annual!AC105))</f>
        <v/>
      </c>
      <c r="P105" s="134" t="str">
        <f>IF(B105&gt;Coverage,"",SUM(Calc_Annual!U105,Calc_Annual!X105,Calc_Annual!AA105,Calc_Annual!AD105))</f>
        <v/>
      </c>
      <c r="Q105" s="134" t="str">
        <f>IF(B105&gt;Coverage,"",SUM(Calc_Annual!AF105,Calc_Annual!AI105,Calc_Annual!AL105,Calc_Annual!AO105))</f>
        <v/>
      </c>
      <c r="R105" s="134" t="str">
        <f>IF(B105&gt;Coverage,"",SUM(Calc_Annual!AG105,Calc_Annual!AJ105,Calc_Annual!AM105,Calc_Annual!AP105))</f>
        <v/>
      </c>
      <c r="S105" s="134" t="str">
        <f>IF(B105&gt;Coverage,"",SUM(Calc_Annual!AR105,Calc_Annual!AU105,Calc_Annual!AX105,Calc_Annual!BA105))</f>
        <v/>
      </c>
      <c r="T105" s="134" t="str">
        <f>IF(B105&gt;Coverage,"",SUM(Calc_Annual!AS105,Calc_Annual!AV105,Calc_Annual!AY105,Calc_Annual!BB105))</f>
        <v/>
      </c>
      <c r="U105" s="134" t="str">
        <f>IF(B105&gt;Coverage,"",VLOOKUP(MIN($C105,10),Assumption!$M$18:$N$28,2,0)*$I105+P105)</f>
        <v/>
      </c>
      <c r="V105" s="134" t="str">
        <f>IF(B105&gt;Coverage,"",VLOOKUP(MIN($C105,10),Assumption!$M$18:$N$28,2,0)*$I105+R105)</f>
        <v/>
      </c>
      <c r="W105" s="134" t="str">
        <f>IF(B105&gt;Coverage,"",VLOOKUP(MIN($C105,10),Assumption!$M$18:$N$28,2,0)*$I105+T105)</f>
        <v/>
      </c>
      <c r="X105" s="134" t="str">
        <f>IF(B105&gt;Coverage,"",SUM(Calc_Annual!V105,Calc_Annual!Y105,Calc_Annual!AB105,Calc_Annual!AE105))</f>
        <v/>
      </c>
      <c r="Y105" s="134" t="str">
        <f>IF(B105&gt;Coverage,"",SUM(Calc_Annual!AH105,Calc_Annual!AK105,Calc_Annual!AN105,Calc_Annual!AQ105))</f>
        <v/>
      </c>
      <c r="Z105" s="134" t="str">
        <f>IF(B105&gt;Coverage,"",SUM(Calc_Annual!AT105,Calc_Annual!AW105,Calc_Annual!AZ105,Calc_Annual!BC105))</f>
        <v/>
      </c>
    </row>
    <row r="106" ht="14.25" customHeight="1">
      <c r="A106" s="126">
        <v>99.0</v>
      </c>
      <c r="B106" s="129" t="str">
        <f>+IF(A106&gt;Coverage,"",A106)</f>
        <v/>
      </c>
      <c r="C106" s="134" t="str">
        <f>+IF(B106&gt;Coverage,"",IF(B106=1,Insured_Age,C105+1))</f>
        <v/>
      </c>
      <c r="D106" s="134" t="str">
        <f>+Calc_Annual!E106</f>
        <v/>
      </c>
      <c r="E106" s="134" t="str">
        <f>+Calc_Annual!F106</f>
        <v/>
      </c>
      <c r="F106" s="134" t="str">
        <f>+Calc_Annual!G106</f>
        <v/>
      </c>
      <c r="G106" s="134" t="str">
        <f>+Calc_Annual!H106</f>
        <v/>
      </c>
      <c r="H106" s="134" t="str">
        <f>+IF(B106&gt;Coverage,"",SUM(E$8:E106)+SUM(F$8:F106)-SUM(G$8:G106))</f>
        <v/>
      </c>
      <c r="I106" s="66" t="str">
        <f>+IF($B106&gt;Coverage,"",Calc_Annual!I106)</f>
        <v/>
      </c>
      <c r="J106" s="134" t="str">
        <f>+Calc_Annual!K106</f>
        <v/>
      </c>
      <c r="K106" s="134" t="str">
        <f>Calc_Annual!L106</f>
        <v/>
      </c>
      <c r="L106" s="134" t="str">
        <f>+Calc_Annual!Q106</f>
        <v/>
      </c>
      <c r="M106" s="134" t="str">
        <f>+Calc_Annual!R106</f>
        <v/>
      </c>
      <c r="N106" s="134" t="str">
        <f>+Calc_Annual!S106</f>
        <v/>
      </c>
      <c r="O106" s="134" t="str">
        <f>IF(B106&gt;Coverage,"",SUM(Calc_Annual!T106,Calc_Annual!W106,Calc_Annual!Z106,Calc_Annual!AC106))</f>
        <v/>
      </c>
      <c r="P106" s="134" t="str">
        <f>IF(B106&gt;Coverage,"",SUM(Calc_Annual!U106,Calc_Annual!X106,Calc_Annual!AA106,Calc_Annual!AD106))</f>
        <v/>
      </c>
      <c r="Q106" s="134" t="str">
        <f>IF(B106&gt;Coverage,"",SUM(Calc_Annual!AF106,Calc_Annual!AI106,Calc_Annual!AL106,Calc_Annual!AO106))</f>
        <v/>
      </c>
      <c r="R106" s="134" t="str">
        <f>IF(B106&gt;Coverage,"",SUM(Calc_Annual!AG106,Calc_Annual!AJ106,Calc_Annual!AM106,Calc_Annual!AP106))</f>
        <v/>
      </c>
      <c r="S106" s="134" t="str">
        <f>IF(B106&gt;Coverage,"",SUM(Calc_Annual!AR106,Calc_Annual!AU106,Calc_Annual!AX106,Calc_Annual!BA106))</f>
        <v/>
      </c>
      <c r="T106" s="134" t="str">
        <f>IF(B106&gt;Coverage,"",SUM(Calc_Annual!AS106,Calc_Annual!AV106,Calc_Annual!AY106,Calc_Annual!BB106))</f>
        <v/>
      </c>
      <c r="U106" s="134" t="str">
        <f>IF(B106&gt;Coverage,"",VLOOKUP(MIN($C106,10),Assumption!$M$18:$N$28,2,0)*$I106+P106)</f>
        <v/>
      </c>
      <c r="V106" s="134" t="str">
        <f>IF(B106&gt;Coverage,"",VLOOKUP(MIN($C106,10),Assumption!$M$18:$N$28,2,0)*$I106+R106)</f>
        <v/>
      </c>
      <c r="W106" s="134" t="str">
        <f>IF(B106&gt;Coverage,"",VLOOKUP(MIN($C106,10),Assumption!$M$18:$N$28,2,0)*$I106+T106)</f>
        <v/>
      </c>
      <c r="X106" s="134" t="str">
        <f>IF(B106&gt;Coverage,"",SUM(Calc_Annual!V106,Calc_Annual!Y106,Calc_Annual!AB106,Calc_Annual!AE106))</f>
        <v/>
      </c>
      <c r="Y106" s="134" t="str">
        <f>IF(B106&gt;Coverage,"",SUM(Calc_Annual!AH106,Calc_Annual!AK106,Calc_Annual!AN106,Calc_Annual!AQ106))</f>
        <v/>
      </c>
      <c r="Z106" s="134" t="str">
        <f>IF(B106&gt;Coverage,"",SUM(Calc_Annual!AT106,Calc_Annual!AW106,Calc_Annual!AZ106,Calc_Annual!BC106))</f>
        <v/>
      </c>
    </row>
    <row r="107" ht="14.25" customHeight="1">
      <c r="A107" s="126">
        <v>100.0</v>
      </c>
      <c r="B107" s="129" t="str">
        <f>+IF(A107&gt;Coverage,"",A107)</f>
        <v/>
      </c>
      <c r="C107" s="134" t="str">
        <f>+IF(B107&gt;Coverage,"",IF(B107=1,Insured_Age,C106+1))</f>
        <v/>
      </c>
      <c r="D107" s="134" t="str">
        <f>+Calc_Annual!E107</f>
        <v/>
      </c>
      <c r="E107" s="134" t="str">
        <f>+Calc_Annual!F107</f>
        <v/>
      </c>
      <c r="F107" s="134" t="str">
        <f>+Calc_Annual!G107</f>
        <v/>
      </c>
      <c r="G107" s="134" t="str">
        <f>+Calc_Annual!H107</f>
        <v/>
      </c>
      <c r="H107" s="134" t="str">
        <f>+IF(B107&gt;Coverage,"",SUM(E$8:E107)+SUM(F$8:F107)-SUM(G$8:G107))</f>
        <v/>
      </c>
      <c r="I107" s="66" t="str">
        <f>+IF($B107&gt;Coverage,"",Calc_Annual!I107)</f>
        <v/>
      </c>
      <c r="J107" s="134" t="str">
        <f>+Calc_Annual!K107</f>
        <v/>
      </c>
      <c r="K107" s="134" t="str">
        <f>Calc_Annual!L107</f>
        <v/>
      </c>
      <c r="L107" s="134" t="str">
        <f>+Calc_Annual!Q107</f>
        <v/>
      </c>
      <c r="M107" s="134" t="str">
        <f>+Calc_Annual!R107</f>
        <v/>
      </c>
      <c r="N107" s="134" t="str">
        <f>+Calc_Annual!S107</f>
        <v/>
      </c>
      <c r="O107" s="134" t="str">
        <f>IF(B107&gt;Coverage,"",SUM(Calc_Annual!T107,Calc_Annual!W107,Calc_Annual!Z107,Calc_Annual!AC107))</f>
        <v/>
      </c>
      <c r="P107" s="134" t="str">
        <f>IF(B107&gt;Coverage,"",SUM(Calc_Annual!U107,Calc_Annual!X107,Calc_Annual!AA107,Calc_Annual!AD107))</f>
        <v/>
      </c>
      <c r="Q107" s="134" t="str">
        <f>IF(B107&gt;Coverage,"",SUM(Calc_Annual!AF107,Calc_Annual!AI107,Calc_Annual!AL107,Calc_Annual!AO107))</f>
        <v/>
      </c>
      <c r="R107" s="134" t="str">
        <f>IF(B107&gt;Coverage,"",SUM(Calc_Annual!AG107,Calc_Annual!AJ107,Calc_Annual!AM107,Calc_Annual!AP107))</f>
        <v/>
      </c>
      <c r="S107" s="134" t="str">
        <f>IF(B107&gt;Coverage,"",SUM(Calc_Annual!AR107,Calc_Annual!AU107,Calc_Annual!AX107,Calc_Annual!BA107))</f>
        <v/>
      </c>
      <c r="T107" s="134" t="str">
        <f>IF(B107&gt;Coverage,"",SUM(Calc_Annual!AS107,Calc_Annual!AV107,Calc_Annual!AY107,Calc_Annual!BB107))</f>
        <v/>
      </c>
      <c r="U107" s="134" t="str">
        <f>IF(B107&gt;Coverage,"",VLOOKUP(MIN($C107,10),Assumption!$M$18:$N$28,2,0)*$I107+P107)</f>
        <v/>
      </c>
      <c r="V107" s="134" t="str">
        <f>IF(B107&gt;Coverage,"",VLOOKUP(MIN($C107,10),Assumption!$M$18:$N$28,2,0)*$I107+R107)</f>
        <v/>
      </c>
      <c r="W107" s="134" t="str">
        <f>IF(B107&gt;Coverage,"",VLOOKUP(MIN($C107,10),Assumption!$M$18:$N$28,2,0)*$I107+T107)</f>
        <v/>
      </c>
      <c r="X107" s="134" t="str">
        <f>IF(B107&gt;Coverage,"",SUM(Calc_Annual!V107,Calc_Annual!Y107,Calc_Annual!AB107,Calc_Annual!AE107))</f>
        <v/>
      </c>
      <c r="Y107" s="134" t="str">
        <f>IF(B107&gt;Coverage,"",SUM(Calc_Annual!AH107,Calc_Annual!AK107,Calc_Annual!AN107,Calc_Annual!AQ107))</f>
        <v/>
      </c>
      <c r="Z107" s="134" t="str">
        <f>IF(B107&gt;Coverage,"",SUM(Calc_Annual!AT107,Calc_Annual!AW107,Calc_Annual!AZ107,Calc_Annual!BC107))</f>
        <v/>
      </c>
    </row>
    <row r="108" ht="14.25" customHeight="1">
      <c r="A108" s="7"/>
      <c r="B108" s="7"/>
      <c r="C108" s="7"/>
      <c r="D108" s="7"/>
      <c r="E108" s="7"/>
      <c r="F108" s="7"/>
      <c r="G108" s="7"/>
      <c r="H108" s="7"/>
      <c r="I108" s="7"/>
      <c r="J108" s="7"/>
      <c r="K108" s="7"/>
      <c r="L108" s="7"/>
      <c r="M108" s="7"/>
      <c r="N108" s="7"/>
      <c r="O108" s="7"/>
      <c r="P108" s="7"/>
      <c r="Q108" s="7"/>
      <c r="R108" s="7"/>
      <c r="S108" s="7"/>
      <c r="T108" s="7"/>
    </row>
    <row r="109" ht="14.25" customHeight="1">
      <c r="A109" s="7"/>
      <c r="B109" s="7"/>
      <c r="C109" s="7"/>
      <c r="D109" s="7"/>
      <c r="E109" s="7"/>
      <c r="F109" s="7"/>
      <c r="G109" s="7"/>
      <c r="H109" s="7"/>
      <c r="I109" s="7"/>
      <c r="J109" s="7"/>
      <c r="K109" s="7"/>
      <c r="L109" s="7"/>
      <c r="M109" s="7"/>
      <c r="N109" s="7"/>
      <c r="O109" s="7"/>
      <c r="P109" s="7"/>
      <c r="Q109" s="7"/>
      <c r="R109" s="7"/>
      <c r="S109" s="7"/>
      <c r="T109" s="7"/>
    </row>
    <row r="110" ht="14.25" customHeight="1">
      <c r="A110" s="7"/>
      <c r="B110" s="7"/>
      <c r="C110" s="7"/>
      <c r="D110" s="7"/>
      <c r="E110" s="7"/>
      <c r="F110" s="7"/>
      <c r="G110" s="7"/>
      <c r="H110" s="7"/>
      <c r="I110" s="7"/>
      <c r="J110" s="7"/>
      <c r="K110" s="7"/>
      <c r="L110" s="7"/>
      <c r="M110" s="7"/>
      <c r="N110" s="7"/>
      <c r="O110" s="7"/>
      <c r="P110" s="7"/>
      <c r="Q110" s="7"/>
      <c r="R110" s="7"/>
      <c r="S110" s="7"/>
      <c r="T110" s="7"/>
    </row>
    <row r="111" ht="14.25" customHeight="1">
      <c r="A111" s="7"/>
      <c r="B111" s="7"/>
      <c r="C111" s="7"/>
      <c r="D111" s="7"/>
      <c r="E111" s="7"/>
      <c r="F111" s="7"/>
      <c r="G111" s="7"/>
      <c r="H111" s="7"/>
      <c r="I111" s="7"/>
      <c r="J111" s="7"/>
      <c r="K111" s="7"/>
      <c r="L111" s="7"/>
      <c r="M111" s="7"/>
      <c r="N111" s="7"/>
      <c r="O111" s="7"/>
      <c r="P111" s="7"/>
      <c r="Q111" s="7"/>
      <c r="R111" s="7"/>
      <c r="S111" s="7"/>
      <c r="T111" s="7"/>
    </row>
    <row r="112" ht="14.25" customHeight="1">
      <c r="A112" s="7"/>
      <c r="B112" s="7"/>
      <c r="C112" s="7"/>
      <c r="D112" s="7"/>
      <c r="E112" s="7"/>
      <c r="F112" s="7"/>
      <c r="G112" s="7"/>
      <c r="H112" s="7"/>
      <c r="I112" s="7"/>
      <c r="J112" s="7"/>
      <c r="K112" s="7"/>
      <c r="L112" s="7"/>
      <c r="M112" s="7"/>
      <c r="N112" s="7"/>
      <c r="O112" s="7"/>
      <c r="P112" s="7"/>
      <c r="Q112" s="7"/>
      <c r="R112" s="7"/>
      <c r="S112" s="7"/>
      <c r="T112" s="7"/>
    </row>
    <row r="113" ht="14.25" customHeight="1">
      <c r="A113" s="7"/>
      <c r="B113" s="7"/>
      <c r="C113" s="7"/>
      <c r="D113" s="7"/>
      <c r="E113" s="7"/>
      <c r="F113" s="7"/>
      <c r="G113" s="7"/>
      <c r="H113" s="7"/>
      <c r="I113" s="7"/>
      <c r="J113" s="7"/>
      <c r="K113" s="7"/>
      <c r="L113" s="7"/>
      <c r="M113" s="7"/>
      <c r="N113" s="7"/>
      <c r="O113" s="7"/>
      <c r="P113" s="7"/>
      <c r="Q113" s="7"/>
      <c r="R113" s="7"/>
      <c r="S113" s="7"/>
      <c r="T113" s="7"/>
    </row>
    <row r="114" ht="14.25" customHeight="1">
      <c r="A114" s="7"/>
      <c r="B114" s="7"/>
      <c r="C114" s="7"/>
      <c r="D114" s="7"/>
      <c r="E114" s="7"/>
      <c r="F114" s="7"/>
      <c r="G114" s="7"/>
      <c r="H114" s="7"/>
      <c r="I114" s="7"/>
      <c r="J114" s="7"/>
      <c r="K114" s="7"/>
      <c r="L114" s="7"/>
      <c r="M114" s="7"/>
      <c r="N114" s="7"/>
      <c r="O114" s="7"/>
      <c r="P114" s="7"/>
      <c r="Q114" s="7"/>
      <c r="R114" s="7"/>
      <c r="S114" s="7"/>
      <c r="T114" s="7"/>
    </row>
    <row r="115" ht="14.25" customHeight="1">
      <c r="A115" s="7"/>
      <c r="B115" s="7"/>
      <c r="C115" s="7"/>
      <c r="D115" s="7"/>
      <c r="E115" s="7"/>
      <c r="F115" s="7"/>
      <c r="G115" s="7"/>
      <c r="H115" s="7"/>
      <c r="I115" s="7"/>
      <c r="J115" s="7"/>
      <c r="K115" s="7"/>
      <c r="L115" s="7"/>
      <c r="M115" s="7"/>
      <c r="N115" s="7"/>
      <c r="O115" s="7"/>
      <c r="P115" s="7"/>
      <c r="Q115" s="7"/>
      <c r="R115" s="7"/>
      <c r="S115" s="7"/>
      <c r="T115" s="7"/>
    </row>
    <row r="116" ht="14.25" customHeight="1">
      <c r="A116" s="7"/>
      <c r="B116" s="7"/>
      <c r="C116" s="7"/>
      <c r="D116" s="7"/>
      <c r="E116" s="7"/>
      <c r="F116" s="7"/>
      <c r="G116" s="7"/>
      <c r="H116" s="7"/>
      <c r="I116" s="7"/>
      <c r="J116" s="7"/>
      <c r="K116" s="7"/>
      <c r="L116" s="7"/>
      <c r="M116" s="7"/>
      <c r="N116" s="7"/>
      <c r="O116" s="7"/>
      <c r="P116" s="7"/>
      <c r="Q116" s="7"/>
      <c r="R116" s="7"/>
      <c r="S116" s="7"/>
      <c r="T116" s="7"/>
    </row>
    <row r="117" ht="14.25" customHeight="1">
      <c r="A117" s="7"/>
      <c r="B117" s="7"/>
      <c r="C117" s="7"/>
      <c r="D117" s="7"/>
      <c r="E117" s="7"/>
      <c r="F117" s="7"/>
      <c r="G117" s="7"/>
      <c r="H117" s="7"/>
      <c r="I117" s="7"/>
      <c r="J117" s="7"/>
      <c r="K117" s="7"/>
      <c r="L117" s="7"/>
      <c r="M117" s="7"/>
      <c r="N117" s="7"/>
      <c r="O117" s="7"/>
      <c r="P117" s="7"/>
      <c r="Q117" s="7"/>
      <c r="R117" s="7"/>
      <c r="S117" s="7"/>
      <c r="T117" s="7"/>
    </row>
    <row r="118" ht="14.25" customHeight="1">
      <c r="A118" s="7"/>
      <c r="B118" s="7"/>
      <c r="C118" s="7"/>
      <c r="D118" s="7"/>
      <c r="E118" s="7"/>
      <c r="F118" s="7"/>
      <c r="G118" s="7"/>
      <c r="H118" s="7"/>
      <c r="I118" s="7"/>
      <c r="J118" s="7"/>
      <c r="K118" s="7"/>
      <c r="L118" s="7"/>
      <c r="M118" s="7"/>
      <c r="N118" s="7"/>
      <c r="O118" s="7"/>
      <c r="P118" s="7"/>
      <c r="Q118" s="7"/>
      <c r="R118" s="7"/>
      <c r="S118" s="7"/>
      <c r="T118" s="7"/>
    </row>
    <row r="119" ht="14.25" customHeight="1">
      <c r="A119" s="7"/>
      <c r="B119" s="7"/>
      <c r="C119" s="7"/>
      <c r="D119" s="7"/>
      <c r="E119" s="7"/>
      <c r="F119" s="7"/>
      <c r="G119" s="7"/>
      <c r="H119" s="7"/>
      <c r="I119" s="7"/>
      <c r="J119" s="7"/>
      <c r="K119" s="7"/>
      <c r="L119" s="7"/>
      <c r="M119" s="7"/>
      <c r="N119" s="7"/>
      <c r="O119" s="7"/>
      <c r="P119" s="7"/>
      <c r="Q119" s="7"/>
      <c r="R119" s="7"/>
      <c r="S119" s="7"/>
      <c r="T119" s="7"/>
    </row>
    <row r="120" ht="14.25" customHeight="1">
      <c r="A120" s="7"/>
      <c r="B120" s="7"/>
      <c r="C120" s="7"/>
      <c r="D120" s="7"/>
      <c r="E120" s="7"/>
      <c r="F120" s="7"/>
      <c r="G120" s="7"/>
      <c r="H120" s="7"/>
      <c r="I120" s="7"/>
      <c r="J120" s="7"/>
      <c r="K120" s="7"/>
      <c r="L120" s="7"/>
      <c r="M120" s="7"/>
      <c r="N120" s="7"/>
      <c r="O120" s="7"/>
      <c r="P120" s="7"/>
      <c r="Q120" s="7"/>
      <c r="R120" s="7"/>
      <c r="S120" s="7"/>
      <c r="T120" s="7"/>
    </row>
    <row r="121" ht="14.25" customHeight="1">
      <c r="A121" s="7"/>
      <c r="B121" s="7"/>
      <c r="C121" s="7"/>
      <c r="D121" s="7"/>
      <c r="E121" s="7"/>
      <c r="F121" s="7"/>
      <c r="G121" s="7"/>
      <c r="H121" s="7"/>
      <c r="I121" s="7"/>
      <c r="J121" s="7"/>
      <c r="K121" s="7"/>
      <c r="L121" s="7"/>
      <c r="M121" s="7"/>
      <c r="N121" s="7"/>
      <c r="O121" s="7"/>
      <c r="P121" s="7"/>
      <c r="Q121" s="7"/>
      <c r="R121" s="7"/>
      <c r="S121" s="7"/>
      <c r="T121" s="7"/>
    </row>
    <row r="122" ht="14.25" customHeight="1">
      <c r="A122" s="7"/>
      <c r="B122" s="7"/>
      <c r="C122" s="7"/>
      <c r="D122" s="7"/>
      <c r="E122" s="7"/>
      <c r="F122" s="7"/>
      <c r="G122" s="7"/>
      <c r="H122" s="7"/>
      <c r="I122" s="7"/>
      <c r="J122" s="7"/>
      <c r="K122" s="7"/>
      <c r="L122" s="7"/>
      <c r="M122" s="7"/>
      <c r="N122" s="7"/>
      <c r="O122" s="7"/>
      <c r="P122" s="7"/>
      <c r="Q122" s="7"/>
      <c r="R122" s="7"/>
      <c r="S122" s="7"/>
      <c r="T122" s="7"/>
    </row>
    <row r="123" ht="14.25" customHeight="1">
      <c r="A123" s="7"/>
      <c r="B123" s="7"/>
      <c r="C123" s="7"/>
      <c r="D123" s="7"/>
      <c r="E123" s="7"/>
      <c r="F123" s="7"/>
      <c r="G123" s="7"/>
      <c r="H123" s="7"/>
      <c r="I123" s="7"/>
      <c r="J123" s="7"/>
      <c r="K123" s="7"/>
      <c r="L123" s="7"/>
      <c r="M123" s="7"/>
      <c r="N123" s="7"/>
      <c r="O123" s="7"/>
      <c r="P123" s="7"/>
      <c r="Q123" s="7"/>
      <c r="R123" s="7"/>
      <c r="S123" s="7"/>
      <c r="T123" s="7"/>
    </row>
    <row r="124" ht="14.25" customHeight="1">
      <c r="A124" s="7"/>
      <c r="B124" s="7"/>
      <c r="C124" s="7"/>
      <c r="D124" s="7"/>
      <c r="E124" s="7"/>
      <c r="F124" s="7"/>
      <c r="G124" s="7"/>
      <c r="H124" s="7"/>
      <c r="I124" s="7"/>
      <c r="J124" s="7"/>
      <c r="K124" s="7"/>
      <c r="L124" s="7"/>
      <c r="M124" s="7"/>
      <c r="N124" s="7"/>
      <c r="O124" s="7"/>
      <c r="P124" s="7"/>
      <c r="Q124" s="7"/>
      <c r="R124" s="7"/>
      <c r="S124" s="7"/>
      <c r="T124" s="7"/>
    </row>
    <row r="125" ht="14.25" customHeight="1">
      <c r="A125" s="7"/>
      <c r="B125" s="7"/>
      <c r="C125" s="7"/>
      <c r="D125" s="7"/>
      <c r="E125" s="7"/>
      <c r="F125" s="7"/>
      <c r="G125" s="7"/>
      <c r="H125" s="7"/>
      <c r="I125" s="7"/>
      <c r="J125" s="7"/>
      <c r="K125" s="7"/>
      <c r="L125" s="7"/>
      <c r="M125" s="7"/>
      <c r="N125" s="7"/>
      <c r="O125" s="7"/>
      <c r="P125" s="7"/>
      <c r="Q125" s="7"/>
      <c r="R125" s="7"/>
      <c r="S125" s="7"/>
      <c r="T125" s="7"/>
    </row>
    <row r="126" ht="14.25" customHeight="1">
      <c r="A126" s="7"/>
      <c r="B126" s="7"/>
      <c r="C126" s="7"/>
      <c r="D126" s="7"/>
      <c r="E126" s="7"/>
      <c r="F126" s="7"/>
      <c r="G126" s="7"/>
      <c r="H126" s="7"/>
      <c r="I126" s="7"/>
      <c r="J126" s="7"/>
      <c r="K126" s="7"/>
      <c r="L126" s="7"/>
      <c r="M126" s="7"/>
      <c r="N126" s="7"/>
      <c r="O126" s="7"/>
      <c r="P126" s="7"/>
      <c r="Q126" s="7"/>
      <c r="R126" s="7"/>
      <c r="S126" s="7"/>
      <c r="T126" s="7"/>
    </row>
    <row r="127" ht="14.25" customHeight="1">
      <c r="A127" s="7"/>
      <c r="B127" s="7"/>
      <c r="C127" s="7"/>
      <c r="D127" s="7"/>
      <c r="E127" s="7"/>
      <c r="F127" s="7"/>
      <c r="G127" s="7"/>
      <c r="H127" s="7"/>
      <c r="I127" s="7"/>
      <c r="J127" s="7"/>
      <c r="K127" s="7"/>
      <c r="L127" s="7"/>
      <c r="M127" s="7"/>
      <c r="N127" s="7"/>
      <c r="O127" s="7"/>
      <c r="P127" s="7"/>
      <c r="Q127" s="7"/>
      <c r="R127" s="7"/>
      <c r="S127" s="7"/>
      <c r="T127" s="7"/>
    </row>
    <row r="128" ht="14.25" customHeight="1">
      <c r="A128" s="7"/>
      <c r="B128" s="7"/>
      <c r="C128" s="7"/>
      <c r="D128" s="7"/>
      <c r="E128" s="7"/>
      <c r="F128" s="7"/>
      <c r="G128" s="7"/>
      <c r="H128" s="7"/>
      <c r="I128" s="7"/>
      <c r="J128" s="7"/>
      <c r="K128" s="7"/>
      <c r="L128" s="7"/>
      <c r="M128" s="7"/>
      <c r="N128" s="7"/>
      <c r="O128" s="7"/>
      <c r="P128" s="7"/>
      <c r="Q128" s="7"/>
      <c r="R128" s="7"/>
      <c r="S128" s="7"/>
      <c r="T128" s="7"/>
    </row>
    <row r="129" ht="14.25" customHeight="1">
      <c r="A129" s="7"/>
      <c r="B129" s="7"/>
      <c r="C129" s="7"/>
      <c r="D129" s="7"/>
      <c r="E129" s="7"/>
      <c r="F129" s="7"/>
      <c r="G129" s="7"/>
      <c r="H129" s="7"/>
      <c r="I129" s="7"/>
      <c r="J129" s="7"/>
      <c r="K129" s="7"/>
      <c r="L129" s="7"/>
      <c r="M129" s="7"/>
      <c r="N129" s="7"/>
      <c r="O129" s="7"/>
      <c r="P129" s="7"/>
      <c r="Q129" s="7"/>
      <c r="R129" s="7"/>
      <c r="S129" s="7"/>
      <c r="T129" s="7"/>
    </row>
    <row r="130" ht="14.25" customHeight="1">
      <c r="A130" s="7"/>
      <c r="B130" s="7"/>
      <c r="C130" s="7"/>
      <c r="D130" s="7"/>
      <c r="E130" s="7"/>
      <c r="F130" s="7"/>
      <c r="G130" s="7"/>
      <c r="H130" s="7"/>
      <c r="I130" s="7"/>
      <c r="J130" s="7"/>
      <c r="K130" s="7"/>
      <c r="L130" s="7"/>
      <c r="M130" s="7"/>
      <c r="N130" s="7"/>
      <c r="O130" s="7"/>
      <c r="P130" s="7"/>
      <c r="Q130" s="7"/>
      <c r="R130" s="7"/>
      <c r="S130" s="7"/>
      <c r="T130" s="7"/>
    </row>
    <row r="131" ht="14.25" customHeight="1">
      <c r="A131" s="7"/>
      <c r="B131" s="7"/>
      <c r="C131" s="7"/>
      <c r="D131" s="7"/>
      <c r="E131" s="7"/>
      <c r="F131" s="7"/>
      <c r="G131" s="7"/>
      <c r="H131" s="7"/>
      <c r="I131" s="7"/>
      <c r="J131" s="7"/>
      <c r="K131" s="7"/>
      <c r="L131" s="7"/>
      <c r="M131" s="7"/>
      <c r="N131" s="7"/>
      <c r="O131" s="7"/>
      <c r="P131" s="7"/>
      <c r="Q131" s="7"/>
      <c r="R131" s="7"/>
      <c r="S131" s="7"/>
      <c r="T131" s="7"/>
    </row>
    <row r="132" ht="14.25" customHeight="1">
      <c r="A132" s="7"/>
      <c r="B132" s="7"/>
      <c r="C132" s="7"/>
      <c r="D132" s="7"/>
      <c r="E132" s="7"/>
      <c r="F132" s="7"/>
      <c r="G132" s="7"/>
      <c r="H132" s="7"/>
      <c r="I132" s="7"/>
      <c r="J132" s="7"/>
      <c r="K132" s="7"/>
      <c r="L132" s="7"/>
      <c r="M132" s="7"/>
      <c r="N132" s="7"/>
      <c r="O132" s="7"/>
      <c r="P132" s="7"/>
      <c r="Q132" s="7"/>
      <c r="R132" s="7"/>
      <c r="S132" s="7"/>
      <c r="T132" s="7"/>
    </row>
    <row r="133" ht="14.25" customHeight="1">
      <c r="A133" s="7"/>
      <c r="B133" s="7"/>
      <c r="C133" s="7"/>
      <c r="D133" s="7"/>
      <c r="E133" s="7"/>
      <c r="F133" s="7"/>
      <c r="G133" s="7"/>
      <c r="H133" s="7"/>
      <c r="I133" s="7"/>
      <c r="J133" s="7"/>
      <c r="K133" s="7"/>
      <c r="L133" s="7"/>
      <c r="M133" s="7"/>
      <c r="N133" s="7"/>
      <c r="O133" s="7"/>
      <c r="P133" s="7"/>
      <c r="Q133" s="7"/>
      <c r="R133" s="7"/>
      <c r="S133" s="7"/>
      <c r="T133" s="7"/>
    </row>
    <row r="134" ht="14.25" customHeight="1">
      <c r="A134" s="7"/>
      <c r="B134" s="7"/>
      <c r="C134" s="7"/>
      <c r="D134" s="7"/>
      <c r="E134" s="7"/>
      <c r="F134" s="7"/>
      <c r="G134" s="7"/>
      <c r="H134" s="7"/>
      <c r="I134" s="7"/>
      <c r="J134" s="7"/>
      <c r="K134" s="7"/>
      <c r="L134" s="7"/>
      <c r="M134" s="7"/>
      <c r="N134" s="7"/>
      <c r="O134" s="7"/>
      <c r="P134" s="7"/>
      <c r="Q134" s="7"/>
      <c r="R134" s="7"/>
      <c r="S134" s="7"/>
      <c r="T134" s="7"/>
    </row>
    <row r="135" ht="14.25" customHeight="1">
      <c r="A135" s="7"/>
      <c r="B135" s="7"/>
      <c r="C135" s="7"/>
      <c r="D135" s="7"/>
      <c r="E135" s="7"/>
      <c r="F135" s="7"/>
      <c r="G135" s="7"/>
      <c r="H135" s="7"/>
      <c r="I135" s="7"/>
      <c r="J135" s="7"/>
      <c r="K135" s="7"/>
      <c r="L135" s="7"/>
      <c r="M135" s="7"/>
      <c r="N135" s="7"/>
      <c r="O135" s="7"/>
      <c r="P135" s="7"/>
      <c r="Q135" s="7"/>
      <c r="R135" s="7"/>
      <c r="S135" s="7"/>
      <c r="T135" s="7"/>
    </row>
    <row r="136" ht="14.25" customHeight="1">
      <c r="A136" s="7"/>
      <c r="B136" s="7"/>
      <c r="C136" s="7"/>
      <c r="D136" s="7"/>
      <c r="E136" s="7"/>
      <c r="F136" s="7"/>
      <c r="G136" s="7"/>
      <c r="H136" s="7"/>
      <c r="I136" s="7"/>
      <c r="J136" s="7"/>
      <c r="K136" s="7"/>
      <c r="L136" s="7"/>
      <c r="M136" s="7"/>
      <c r="N136" s="7"/>
      <c r="O136" s="7"/>
      <c r="P136" s="7"/>
      <c r="Q136" s="7"/>
      <c r="R136" s="7"/>
      <c r="S136" s="7"/>
      <c r="T136" s="7"/>
    </row>
    <row r="137" ht="14.25" customHeight="1">
      <c r="A137" s="7"/>
      <c r="B137" s="7"/>
      <c r="C137" s="7"/>
      <c r="D137" s="7"/>
      <c r="E137" s="7"/>
      <c r="F137" s="7"/>
      <c r="G137" s="7"/>
      <c r="H137" s="7"/>
      <c r="I137" s="7"/>
      <c r="J137" s="7"/>
      <c r="K137" s="7"/>
      <c r="L137" s="7"/>
      <c r="M137" s="7"/>
      <c r="N137" s="7"/>
      <c r="O137" s="7"/>
      <c r="P137" s="7"/>
      <c r="Q137" s="7"/>
      <c r="R137" s="7"/>
      <c r="S137" s="7"/>
      <c r="T137" s="7"/>
    </row>
    <row r="138" ht="14.25" customHeight="1">
      <c r="A138" s="7"/>
      <c r="B138" s="7"/>
      <c r="C138" s="7"/>
      <c r="D138" s="7"/>
      <c r="E138" s="7"/>
      <c r="F138" s="7"/>
      <c r="G138" s="7"/>
      <c r="H138" s="7"/>
      <c r="I138" s="7"/>
      <c r="J138" s="7"/>
      <c r="K138" s="7"/>
      <c r="L138" s="7"/>
      <c r="M138" s="7"/>
      <c r="N138" s="7"/>
      <c r="O138" s="7"/>
      <c r="P138" s="7"/>
      <c r="Q138" s="7"/>
      <c r="R138" s="7"/>
      <c r="S138" s="7"/>
      <c r="T138" s="7"/>
    </row>
    <row r="139" ht="14.25" customHeight="1">
      <c r="A139" s="7"/>
      <c r="B139" s="7"/>
      <c r="C139" s="7"/>
      <c r="D139" s="7"/>
      <c r="E139" s="7"/>
      <c r="F139" s="7"/>
      <c r="G139" s="7"/>
      <c r="H139" s="7"/>
      <c r="I139" s="7"/>
      <c r="J139" s="7"/>
      <c r="K139" s="7"/>
      <c r="L139" s="7"/>
      <c r="M139" s="7"/>
      <c r="N139" s="7"/>
      <c r="O139" s="7"/>
      <c r="P139" s="7"/>
      <c r="Q139" s="7"/>
      <c r="R139" s="7"/>
      <c r="S139" s="7"/>
      <c r="T139" s="7"/>
    </row>
    <row r="140" ht="14.25" customHeight="1">
      <c r="A140" s="7"/>
      <c r="B140" s="7"/>
      <c r="C140" s="7"/>
      <c r="D140" s="7"/>
      <c r="E140" s="7"/>
      <c r="F140" s="7"/>
      <c r="G140" s="7"/>
      <c r="H140" s="7"/>
      <c r="I140" s="7"/>
      <c r="J140" s="7"/>
      <c r="K140" s="7"/>
      <c r="L140" s="7"/>
      <c r="M140" s="7"/>
      <c r="N140" s="7"/>
      <c r="O140" s="7"/>
      <c r="P140" s="7"/>
      <c r="Q140" s="7"/>
      <c r="R140" s="7"/>
      <c r="S140" s="7"/>
      <c r="T140" s="7"/>
    </row>
    <row r="141" ht="14.25" customHeight="1">
      <c r="A141" s="7"/>
      <c r="B141" s="7"/>
      <c r="C141" s="7"/>
      <c r="D141" s="7"/>
      <c r="E141" s="7"/>
      <c r="F141" s="7"/>
      <c r="G141" s="7"/>
      <c r="H141" s="7"/>
      <c r="I141" s="7"/>
      <c r="J141" s="7"/>
      <c r="K141" s="7"/>
      <c r="L141" s="7"/>
      <c r="M141" s="7"/>
      <c r="N141" s="7"/>
      <c r="O141" s="7"/>
      <c r="P141" s="7"/>
      <c r="Q141" s="7"/>
      <c r="R141" s="7"/>
      <c r="S141" s="7"/>
      <c r="T141" s="7"/>
    </row>
    <row r="142" ht="14.25" customHeight="1">
      <c r="A142" s="7"/>
      <c r="B142" s="7"/>
      <c r="C142" s="7"/>
      <c r="D142" s="7"/>
      <c r="E142" s="7"/>
      <c r="F142" s="7"/>
      <c r="G142" s="7"/>
      <c r="H142" s="7"/>
      <c r="I142" s="7"/>
      <c r="J142" s="7"/>
      <c r="K142" s="7"/>
      <c r="L142" s="7"/>
      <c r="M142" s="7"/>
      <c r="N142" s="7"/>
      <c r="O142" s="7"/>
      <c r="P142" s="7"/>
      <c r="Q142" s="7"/>
      <c r="R142" s="7"/>
      <c r="S142" s="7"/>
      <c r="T142" s="7"/>
    </row>
    <row r="143" ht="14.25" customHeight="1">
      <c r="A143" s="7"/>
      <c r="B143" s="7"/>
      <c r="C143" s="7"/>
      <c r="D143" s="7"/>
      <c r="E143" s="7"/>
      <c r="F143" s="7"/>
      <c r="G143" s="7"/>
      <c r="H143" s="7"/>
      <c r="I143" s="7"/>
      <c r="J143" s="7"/>
      <c r="K143" s="7"/>
      <c r="L143" s="7"/>
      <c r="M143" s="7"/>
      <c r="N143" s="7"/>
      <c r="O143" s="7"/>
      <c r="P143" s="7"/>
      <c r="Q143" s="7"/>
      <c r="R143" s="7"/>
      <c r="S143" s="7"/>
      <c r="T143" s="7"/>
    </row>
    <row r="144" ht="14.25" customHeight="1">
      <c r="A144" s="7"/>
      <c r="B144" s="7"/>
      <c r="C144" s="7"/>
      <c r="D144" s="7"/>
      <c r="E144" s="7"/>
      <c r="F144" s="7"/>
      <c r="G144" s="7"/>
      <c r="H144" s="7"/>
      <c r="I144" s="7"/>
      <c r="J144" s="7"/>
      <c r="K144" s="7"/>
      <c r="L144" s="7"/>
      <c r="M144" s="7"/>
      <c r="N144" s="7"/>
      <c r="O144" s="7"/>
      <c r="P144" s="7"/>
      <c r="Q144" s="7"/>
      <c r="R144" s="7"/>
      <c r="S144" s="7"/>
      <c r="T144" s="7"/>
    </row>
    <row r="145" ht="14.25" customHeight="1">
      <c r="A145" s="7"/>
      <c r="B145" s="7"/>
      <c r="C145" s="7"/>
      <c r="D145" s="7"/>
      <c r="E145" s="7"/>
      <c r="F145" s="7"/>
      <c r="G145" s="7"/>
      <c r="H145" s="7"/>
      <c r="I145" s="7"/>
      <c r="J145" s="7"/>
      <c r="K145" s="7"/>
      <c r="L145" s="7"/>
      <c r="M145" s="7"/>
      <c r="N145" s="7"/>
      <c r="O145" s="7"/>
      <c r="P145" s="7"/>
      <c r="Q145" s="7"/>
      <c r="R145" s="7"/>
      <c r="S145" s="7"/>
      <c r="T145" s="7"/>
    </row>
    <row r="146" ht="14.25" customHeight="1">
      <c r="A146" s="7"/>
      <c r="B146" s="7"/>
      <c r="C146" s="7"/>
      <c r="D146" s="7"/>
      <c r="E146" s="7"/>
      <c r="F146" s="7"/>
      <c r="G146" s="7"/>
      <c r="H146" s="7"/>
      <c r="I146" s="7"/>
      <c r="J146" s="7"/>
      <c r="K146" s="7"/>
      <c r="L146" s="7"/>
      <c r="M146" s="7"/>
      <c r="N146" s="7"/>
      <c r="O146" s="7"/>
      <c r="P146" s="7"/>
      <c r="Q146" s="7"/>
      <c r="R146" s="7"/>
      <c r="S146" s="7"/>
      <c r="T146" s="7"/>
    </row>
    <row r="147" ht="14.25" customHeight="1">
      <c r="A147" s="7"/>
      <c r="B147" s="7"/>
      <c r="C147" s="7"/>
      <c r="D147" s="7"/>
      <c r="E147" s="7"/>
      <c r="F147" s="7"/>
      <c r="G147" s="7"/>
      <c r="H147" s="7"/>
      <c r="I147" s="7"/>
      <c r="J147" s="7"/>
      <c r="K147" s="7"/>
      <c r="L147" s="7"/>
      <c r="M147" s="7"/>
      <c r="N147" s="7"/>
      <c r="O147" s="7"/>
      <c r="P147" s="7"/>
      <c r="Q147" s="7"/>
      <c r="R147" s="7"/>
      <c r="S147" s="7"/>
      <c r="T147" s="7"/>
    </row>
    <row r="148" ht="14.25" customHeight="1">
      <c r="A148" s="7"/>
      <c r="B148" s="7"/>
      <c r="C148" s="7"/>
      <c r="D148" s="7"/>
      <c r="E148" s="7"/>
      <c r="F148" s="7"/>
      <c r="G148" s="7"/>
      <c r="H148" s="7"/>
      <c r="I148" s="7"/>
      <c r="J148" s="7"/>
      <c r="K148" s="7"/>
      <c r="L148" s="7"/>
      <c r="M148" s="7"/>
      <c r="N148" s="7"/>
      <c r="O148" s="7"/>
      <c r="P148" s="7"/>
      <c r="Q148" s="7"/>
      <c r="R148" s="7"/>
      <c r="S148" s="7"/>
      <c r="T148" s="7"/>
    </row>
    <row r="149" ht="14.25" customHeight="1">
      <c r="A149" s="7"/>
      <c r="B149" s="7"/>
      <c r="C149" s="7"/>
      <c r="D149" s="7"/>
      <c r="E149" s="7"/>
      <c r="F149" s="7"/>
      <c r="G149" s="7"/>
      <c r="H149" s="7"/>
      <c r="I149" s="7"/>
      <c r="J149" s="7"/>
      <c r="K149" s="7"/>
      <c r="L149" s="7"/>
      <c r="M149" s="7"/>
      <c r="N149" s="7"/>
      <c r="O149" s="7"/>
      <c r="P149" s="7"/>
      <c r="Q149" s="7"/>
      <c r="R149" s="7"/>
      <c r="S149" s="7"/>
      <c r="T149" s="7"/>
    </row>
    <row r="150" ht="14.25" customHeight="1">
      <c r="A150" s="7"/>
      <c r="B150" s="7"/>
      <c r="C150" s="7"/>
      <c r="D150" s="7"/>
      <c r="E150" s="7"/>
      <c r="F150" s="7"/>
      <c r="G150" s="7"/>
      <c r="H150" s="7"/>
      <c r="I150" s="7"/>
      <c r="J150" s="7"/>
      <c r="K150" s="7"/>
      <c r="L150" s="7"/>
      <c r="M150" s="7"/>
      <c r="N150" s="7"/>
      <c r="O150" s="7"/>
      <c r="P150" s="7"/>
      <c r="Q150" s="7"/>
      <c r="R150" s="7"/>
      <c r="S150" s="7"/>
      <c r="T150" s="7"/>
    </row>
    <row r="151" ht="14.25" customHeight="1">
      <c r="A151" s="7"/>
      <c r="B151" s="7"/>
      <c r="C151" s="7"/>
      <c r="D151" s="7"/>
      <c r="E151" s="7"/>
      <c r="F151" s="7"/>
      <c r="G151" s="7"/>
      <c r="H151" s="7"/>
      <c r="I151" s="7"/>
      <c r="J151" s="7"/>
      <c r="K151" s="7"/>
      <c r="L151" s="7"/>
      <c r="M151" s="7"/>
      <c r="N151" s="7"/>
      <c r="O151" s="7"/>
      <c r="P151" s="7"/>
      <c r="Q151" s="7"/>
      <c r="R151" s="7"/>
      <c r="S151" s="7"/>
      <c r="T151" s="7"/>
    </row>
    <row r="152" ht="14.25" customHeight="1">
      <c r="A152" s="7"/>
      <c r="B152" s="7"/>
      <c r="C152" s="7"/>
      <c r="D152" s="7"/>
      <c r="E152" s="7"/>
      <c r="F152" s="7"/>
      <c r="G152" s="7"/>
      <c r="H152" s="7"/>
      <c r="I152" s="7"/>
      <c r="J152" s="7"/>
      <c r="K152" s="7"/>
      <c r="L152" s="7"/>
      <c r="M152" s="7"/>
      <c r="N152" s="7"/>
      <c r="O152" s="7"/>
      <c r="P152" s="7"/>
      <c r="Q152" s="7"/>
      <c r="R152" s="7"/>
      <c r="S152" s="7"/>
      <c r="T152" s="7"/>
    </row>
    <row r="153" ht="14.25" customHeight="1">
      <c r="A153" s="7"/>
      <c r="B153" s="7"/>
      <c r="C153" s="7"/>
      <c r="D153" s="7"/>
      <c r="E153" s="7"/>
      <c r="F153" s="7"/>
      <c r="G153" s="7"/>
      <c r="H153" s="7"/>
      <c r="I153" s="7"/>
      <c r="J153" s="7"/>
      <c r="K153" s="7"/>
      <c r="L153" s="7"/>
      <c r="M153" s="7"/>
      <c r="N153" s="7"/>
      <c r="O153" s="7"/>
      <c r="P153" s="7"/>
      <c r="Q153" s="7"/>
      <c r="R153" s="7"/>
      <c r="S153" s="7"/>
      <c r="T153" s="7"/>
    </row>
    <row r="154" ht="14.25" customHeight="1">
      <c r="A154" s="7"/>
      <c r="B154" s="7"/>
      <c r="C154" s="7"/>
      <c r="D154" s="7"/>
      <c r="E154" s="7"/>
      <c r="F154" s="7"/>
      <c r="G154" s="7"/>
      <c r="H154" s="7"/>
      <c r="I154" s="7"/>
      <c r="J154" s="7"/>
      <c r="K154" s="7"/>
      <c r="L154" s="7"/>
      <c r="M154" s="7"/>
      <c r="N154" s="7"/>
      <c r="O154" s="7"/>
      <c r="P154" s="7"/>
      <c r="Q154" s="7"/>
      <c r="R154" s="7"/>
      <c r="S154" s="7"/>
      <c r="T154" s="7"/>
    </row>
    <row r="155" ht="14.25" customHeight="1">
      <c r="A155" s="7"/>
      <c r="B155" s="7"/>
      <c r="C155" s="7"/>
      <c r="D155" s="7"/>
      <c r="E155" s="7"/>
      <c r="F155" s="7"/>
      <c r="G155" s="7"/>
      <c r="H155" s="7"/>
      <c r="I155" s="7"/>
      <c r="J155" s="7"/>
      <c r="K155" s="7"/>
      <c r="L155" s="7"/>
      <c r="M155" s="7"/>
      <c r="N155" s="7"/>
      <c r="O155" s="7"/>
      <c r="P155" s="7"/>
      <c r="Q155" s="7"/>
      <c r="R155" s="7"/>
      <c r="S155" s="7"/>
      <c r="T155" s="7"/>
    </row>
    <row r="156" ht="14.25" customHeight="1">
      <c r="A156" s="7"/>
      <c r="B156" s="7"/>
      <c r="C156" s="7"/>
      <c r="D156" s="7"/>
      <c r="E156" s="7"/>
      <c r="F156" s="7"/>
      <c r="G156" s="7"/>
      <c r="H156" s="7"/>
      <c r="I156" s="7"/>
      <c r="J156" s="7"/>
      <c r="K156" s="7"/>
      <c r="L156" s="7"/>
      <c r="M156" s="7"/>
      <c r="N156" s="7"/>
      <c r="O156" s="7"/>
      <c r="P156" s="7"/>
      <c r="Q156" s="7"/>
      <c r="R156" s="7"/>
      <c r="S156" s="7"/>
      <c r="T156" s="7"/>
    </row>
    <row r="157" ht="14.25" customHeight="1">
      <c r="A157" s="7"/>
      <c r="B157" s="7"/>
      <c r="C157" s="7"/>
      <c r="D157" s="7"/>
      <c r="E157" s="7"/>
      <c r="F157" s="7"/>
      <c r="G157" s="7"/>
      <c r="H157" s="7"/>
      <c r="I157" s="7"/>
      <c r="J157" s="7"/>
      <c r="K157" s="7"/>
      <c r="L157" s="7"/>
      <c r="M157" s="7"/>
      <c r="N157" s="7"/>
      <c r="O157" s="7"/>
      <c r="P157" s="7"/>
      <c r="Q157" s="7"/>
      <c r="R157" s="7"/>
      <c r="S157" s="7"/>
      <c r="T157" s="7"/>
    </row>
    <row r="158" ht="14.25" customHeight="1">
      <c r="A158" s="7"/>
      <c r="B158" s="7"/>
      <c r="C158" s="7"/>
      <c r="D158" s="7"/>
      <c r="E158" s="7"/>
      <c r="F158" s="7"/>
      <c r="G158" s="7"/>
      <c r="H158" s="7"/>
      <c r="I158" s="7"/>
      <c r="J158" s="7"/>
      <c r="K158" s="7"/>
      <c r="L158" s="7"/>
      <c r="M158" s="7"/>
      <c r="N158" s="7"/>
      <c r="O158" s="7"/>
      <c r="P158" s="7"/>
      <c r="Q158" s="7"/>
      <c r="R158" s="7"/>
      <c r="S158" s="7"/>
      <c r="T158" s="7"/>
    </row>
    <row r="159" ht="14.25" customHeight="1">
      <c r="A159" s="7"/>
      <c r="B159" s="7"/>
      <c r="C159" s="7"/>
      <c r="D159" s="7"/>
      <c r="E159" s="7"/>
      <c r="F159" s="7"/>
      <c r="G159" s="7"/>
      <c r="H159" s="7"/>
      <c r="I159" s="7"/>
      <c r="J159" s="7"/>
      <c r="K159" s="7"/>
      <c r="L159" s="7"/>
      <c r="M159" s="7"/>
      <c r="N159" s="7"/>
      <c r="O159" s="7"/>
      <c r="P159" s="7"/>
      <c r="Q159" s="7"/>
      <c r="R159" s="7"/>
      <c r="S159" s="7"/>
      <c r="T159" s="7"/>
    </row>
    <row r="160" ht="14.25" customHeight="1">
      <c r="A160" s="7"/>
      <c r="B160" s="7"/>
      <c r="C160" s="7"/>
      <c r="D160" s="7"/>
      <c r="E160" s="7"/>
      <c r="F160" s="7"/>
      <c r="G160" s="7"/>
      <c r="H160" s="7"/>
      <c r="I160" s="7"/>
      <c r="J160" s="7"/>
      <c r="K160" s="7"/>
      <c r="L160" s="7"/>
      <c r="M160" s="7"/>
      <c r="N160" s="7"/>
      <c r="O160" s="7"/>
      <c r="P160" s="7"/>
      <c r="Q160" s="7"/>
      <c r="R160" s="7"/>
      <c r="S160" s="7"/>
      <c r="T160" s="7"/>
    </row>
    <row r="161" ht="14.25" customHeight="1">
      <c r="A161" s="7"/>
      <c r="B161" s="7"/>
      <c r="C161" s="7"/>
      <c r="D161" s="7"/>
      <c r="E161" s="7"/>
      <c r="F161" s="7"/>
      <c r="G161" s="7"/>
      <c r="H161" s="7"/>
      <c r="I161" s="7"/>
      <c r="J161" s="7"/>
      <c r="K161" s="7"/>
      <c r="L161" s="7"/>
      <c r="M161" s="7"/>
      <c r="N161" s="7"/>
      <c r="O161" s="7"/>
      <c r="P161" s="7"/>
      <c r="Q161" s="7"/>
      <c r="R161" s="7"/>
      <c r="S161" s="7"/>
      <c r="T161" s="7"/>
    </row>
    <row r="162" ht="14.25" customHeight="1">
      <c r="A162" s="7"/>
      <c r="B162" s="7"/>
      <c r="C162" s="7"/>
      <c r="D162" s="7"/>
      <c r="E162" s="7"/>
      <c r="F162" s="7"/>
      <c r="G162" s="7"/>
      <c r="H162" s="7"/>
      <c r="I162" s="7"/>
      <c r="J162" s="7"/>
      <c r="K162" s="7"/>
      <c r="L162" s="7"/>
      <c r="M162" s="7"/>
      <c r="N162" s="7"/>
      <c r="O162" s="7"/>
      <c r="P162" s="7"/>
      <c r="Q162" s="7"/>
      <c r="R162" s="7"/>
      <c r="S162" s="7"/>
      <c r="T162" s="7"/>
    </row>
    <row r="163" ht="14.25" customHeight="1">
      <c r="A163" s="7"/>
      <c r="B163" s="7"/>
      <c r="C163" s="7"/>
      <c r="D163" s="7"/>
      <c r="E163" s="7"/>
      <c r="F163" s="7"/>
      <c r="G163" s="7"/>
      <c r="H163" s="7"/>
      <c r="I163" s="7"/>
      <c r="J163" s="7"/>
      <c r="K163" s="7"/>
      <c r="L163" s="7"/>
      <c r="M163" s="7"/>
      <c r="N163" s="7"/>
      <c r="O163" s="7"/>
      <c r="P163" s="7"/>
      <c r="Q163" s="7"/>
      <c r="R163" s="7"/>
      <c r="S163" s="7"/>
      <c r="T163" s="7"/>
    </row>
    <row r="164" ht="14.25" customHeight="1">
      <c r="A164" s="7"/>
      <c r="B164" s="7"/>
      <c r="C164" s="7"/>
      <c r="D164" s="7"/>
      <c r="E164" s="7"/>
      <c r="F164" s="7"/>
      <c r="G164" s="7"/>
      <c r="H164" s="7"/>
      <c r="I164" s="7"/>
      <c r="J164" s="7"/>
      <c r="K164" s="7"/>
      <c r="L164" s="7"/>
      <c r="M164" s="7"/>
      <c r="N164" s="7"/>
      <c r="O164" s="7"/>
      <c r="P164" s="7"/>
      <c r="Q164" s="7"/>
      <c r="R164" s="7"/>
      <c r="S164" s="7"/>
      <c r="T164" s="7"/>
    </row>
    <row r="165" ht="14.25" customHeight="1">
      <c r="A165" s="7"/>
      <c r="B165" s="7"/>
      <c r="C165" s="7"/>
      <c r="D165" s="7"/>
      <c r="E165" s="7"/>
      <c r="F165" s="7"/>
      <c r="G165" s="7"/>
      <c r="H165" s="7"/>
      <c r="I165" s="7"/>
      <c r="J165" s="7"/>
      <c r="K165" s="7"/>
      <c r="L165" s="7"/>
      <c r="M165" s="7"/>
      <c r="N165" s="7"/>
      <c r="O165" s="7"/>
      <c r="P165" s="7"/>
      <c r="Q165" s="7"/>
      <c r="R165" s="7"/>
      <c r="S165" s="7"/>
      <c r="T165" s="7"/>
    </row>
    <row r="166" ht="14.25" customHeight="1">
      <c r="A166" s="7"/>
      <c r="B166" s="7"/>
      <c r="C166" s="7"/>
      <c r="D166" s="7"/>
      <c r="E166" s="7"/>
      <c r="F166" s="7"/>
      <c r="G166" s="7"/>
      <c r="H166" s="7"/>
      <c r="I166" s="7"/>
      <c r="J166" s="7"/>
      <c r="K166" s="7"/>
      <c r="L166" s="7"/>
      <c r="M166" s="7"/>
      <c r="N166" s="7"/>
      <c r="O166" s="7"/>
      <c r="P166" s="7"/>
      <c r="Q166" s="7"/>
      <c r="R166" s="7"/>
      <c r="S166" s="7"/>
      <c r="T166" s="7"/>
    </row>
    <row r="167" ht="14.25" customHeight="1">
      <c r="A167" s="7"/>
      <c r="B167" s="7"/>
      <c r="C167" s="7"/>
      <c r="D167" s="7"/>
      <c r="E167" s="7"/>
      <c r="F167" s="7"/>
      <c r="G167" s="7"/>
      <c r="H167" s="7"/>
      <c r="I167" s="7"/>
      <c r="J167" s="7"/>
      <c r="K167" s="7"/>
      <c r="L167" s="7"/>
      <c r="M167" s="7"/>
      <c r="N167" s="7"/>
      <c r="O167" s="7"/>
      <c r="P167" s="7"/>
      <c r="Q167" s="7"/>
      <c r="R167" s="7"/>
      <c r="S167" s="7"/>
      <c r="T167" s="7"/>
    </row>
    <row r="168" ht="14.25" customHeight="1">
      <c r="A168" s="7"/>
      <c r="B168" s="7"/>
      <c r="C168" s="7"/>
      <c r="D168" s="7"/>
      <c r="E168" s="7"/>
      <c r="F168" s="7"/>
      <c r="G168" s="7"/>
      <c r="H168" s="7"/>
      <c r="I168" s="7"/>
      <c r="J168" s="7"/>
      <c r="K168" s="7"/>
      <c r="L168" s="7"/>
      <c r="M168" s="7"/>
      <c r="N168" s="7"/>
      <c r="O168" s="7"/>
      <c r="P168" s="7"/>
      <c r="Q168" s="7"/>
      <c r="R168" s="7"/>
      <c r="S168" s="7"/>
      <c r="T168" s="7"/>
    </row>
    <row r="169" ht="14.25" customHeight="1">
      <c r="A169" s="7"/>
      <c r="B169" s="7"/>
      <c r="C169" s="7"/>
      <c r="D169" s="7"/>
      <c r="E169" s="7"/>
      <c r="F169" s="7"/>
      <c r="G169" s="7"/>
      <c r="H169" s="7"/>
      <c r="I169" s="7"/>
      <c r="J169" s="7"/>
      <c r="K169" s="7"/>
      <c r="L169" s="7"/>
      <c r="M169" s="7"/>
      <c r="N169" s="7"/>
      <c r="O169" s="7"/>
      <c r="P169" s="7"/>
      <c r="Q169" s="7"/>
      <c r="R169" s="7"/>
      <c r="S169" s="7"/>
      <c r="T169" s="7"/>
    </row>
    <row r="170" ht="14.25" customHeight="1">
      <c r="A170" s="7"/>
      <c r="B170" s="7"/>
      <c r="C170" s="7"/>
      <c r="D170" s="7"/>
      <c r="E170" s="7"/>
      <c r="F170" s="7"/>
      <c r="G170" s="7"/>
      <c r="H170" s="7"/>
      <c r="I170" s="7"/>
      <c r="J170" s="7"/>
      <c r="K170" s="7"/>
      <c r="L170" s="7"/>
      <c r="M170" s="7"/>
      <c r="N170" s="7"/>
      <c r="O170" s="7"/>
      <c r="P170" s="7"/>
      <c r="Q170" s="7"/>
      <c r="R170" s="7"/>
      <c r="S170" s="7"/>
      <c r="T170" s="7"/>
    </row>
    <row r="171" ht="14.25" customHeight="1">
      <c r="A171" s="7"/>
      <c r="B171" s="7"/>
      <c r="C171" s="7"/>
      <c r="D171" s="7"/>
      <c r="E171" s="7"/>
      <c r="F171" s="7"/>
      <c r="G171" s="7"/>
      <c r="H171" s="7"/>
      <c r="I171" s="7"/>
      <c r="J171" s="7"/>
      <c r="K171" s="7"/>
      <c r="L171" s="7"/>
      <c r="M171" s="7"/>
      <c r="N171" s="7"/>
      <c r="O171" s="7"/>
      <c r="P171" s="7"/>
      <c r="Q171" s="7"/>
      <c r="R171" s="7"/>
      <c r="S171" s="7"/>
      <c r="T171" s="7"/>
    </row>
    <row r="172" ht="14.25" customHeight="1">
      <c r="A172" s="7"/>
      <c r="B172" s="7"/>
      <c r="C172" s="7"/>
      <c r="D172" s="7"/>
      <c r="E172" s="7"/>
      <c r="F172" s="7"/>
      <c r="G172" s="7"/>
      <c r="H172" s="7"/>
      <c r="I172" s="7"/>
      <c r="J172" s="7"/>
      <c r="K172" s="7"/>
      <c r="L172" s="7"/>
      <c r="M172" s="7"/>
      <c r="N172" s="7"/>
      <c r="O172" s="7"/>
      <c r="P172" s="7"/>
      <c r="Q172" s="7"/>
      <c r="R172" s="7"/>
      <c r="S172" s="7"/>
      <c r="T172" s="7"/>
    </row>
    <row r="173" ht="14.25" customHeight="1">
      <c r="A173" s="7"/>
      <c r="B173" s="7"/>
      <c r="C173" s="7"/>
      <c r="D173" s="7"/>
      <c r="E173" s="7"/>
      <c r="F173" s="7"/>
      <c r="G173" s="7"/>
      <c r="H173" s="7"/>
      <c r="I173" s="7"/>
      <c r="J173" s="7"/>
      <c r="K173" s="7"/>
      <c r="L173" s="7"/>
      <c r="M173" s="7"/>
      <c r="N173" s="7"/>
      <c r="O173" s="7"/>
      <c r="P173" s="7"/>
      <c r="Q173" s="7"/>
      <c r="R173" s="7"/>
      <c r="S173" s="7"/>
      <c r="T173" s="7"/>
    </row>
    <row r="174" ht="14.25" customHeight="1">
      <c r="A174" s="7"/>
      <c r="B174" s="7"/>
      <c r="C174" s="7"/>
      <c r="D174" s="7"/>
      <c r="E174" s="7"/>
      <c r="F174" s="7"/>
      <c r="G174" s="7"/>
      <c r="H174" s="7"/>
      <c r="I174" s="7"/>
      <c r="J174" s="7"/>
      <c r="K174" s="7"/>
      <c r="L174" s="7"/>
      <c r="M174" s="7"/>
      <c r="N174" s="7"/>
      <c r="O174" s="7"/>
      <c r="P174" s="7"/>
      <c r="Q174" s="7"/>
      <c r="R174" s="7"/>
      <c r="S174" s="7"/>
      <c r="T174" s="7"/>
    </row>
    <row r="175" ht="14.25" customHeight="1">
      <c r="A175" s="7"/>
      <c r="B175" s="7"/>
      <c r="C175" s="7"/>
      <c r="D175" s="7"/>
      <c r="E175" s="7"/>
      <c r="F175" s="7"/>
      <c r="G175" s="7"/>
      <c r="H175" s="7"/>
      <c r="I175" s="7"/>
      <c r="J175" s="7"/>
      <c r="K175" s="7"/>
      <c r="L175" s="7"/>
      <c r="M175" s="7"/>
      <c r="N175" s="7"/>
      <c r="O175" s="7"/>
      <c r="P175" s="7"/>
      <c r="Q175" s="7"/>
      <c r="R175" s="7"/>
      <c r="S175" s="7"/>
      <c r="T175" s="7"/>
    </row>
    <row r="176" ht="14.25" customHeight="1">
      <c r="A176" s="7"/>
      <c r="B176" s="7"/>
      <c r="C176" s="7"/>
      <c r="D176" s="7"/>
      <c r="E176" s="7"/>
      <c r="F176" s="7"/>
      <c r="G176" s="7"/>
      <c r="H176" s="7"/>
      <c r="I176" s="7"/>
      <c r="J176" s="7"/>
      <c r="K176" s="7"/>
      <c r="L176" s="7"/>
      <c r="M176" s="7"/>
      <c r="N176" s="7"/>
      <c r="O176" s="7"/>
      <c r="P176" s="7"/>
      <c r="Q176" s="7"/>
      <c r="R176" s="7"/>
      <c r="S176" s="7"/>
      <c r="T176" s="7"/>
    </row>
    <row r="177" ht="14.25" customHeight="1">
      <c r="A177" s="7"/>
      <c r="B177" s="7"/>
      <c r="C177" s="7"/>
      <c r="D177" s="7"/>
      <c r="E177" s="7"/>
      <c r="F177" s="7"/>
      <c r="G177" s="7"/>
      <c r="H177" s="7"/>
      <c r="I177" s="7"/>
      <c r="J177" s="7"/>
      <c r="K177" s="7"/>
      <c r="L177" s="7"/>
      <c r="M177" s="7"/>
      <c r="N177" s="7"/>
      <c r="O177" s="7"/>
      <c r="P177" s="7"/>
      <c r="Q177" s="7"/>
      <c r="R177" s="7"/>
      <c r="S177" s="7"/>
      <c r="T177" s="7"/>
    </row>
    <row r="178" ht="14.25" customHeight="1">
      <c r="A178" s="7"/>
      <c r="B178" s="7"/>
      <c r="C178" s="7"/>
      <c r="D178" s="7"/>
      <c r="E178" s="7"/>
      <c r="F178" s="7"/>
      <c r="G178" s="7"/>
      <c r="H178" s="7"/>
      <c r="I178" s="7"/>
      <c r="J178" s="7"/>
      <c r="K178" s="7"/>
      <c r="L178" s="7"/>
      <c r="M178" s="7"/>
      <c r="N178" s="7"/>
      <c r="O178" s="7"/>
      <c r="P178" s="7"/>
      <c r="Q178" s="7"/>
      <c r="R178" s="7"/>
      <c r="S178" s="7"/>
      <c r="T178" s="7"/>
    </row>
    <row r="179" ht="14.25" customHeight="1">
      <c r="A179" s="7"/>
      <c r="B179" s="7"/>
      <c r="C179" s="7"/>
      <c r="D179" s="7"/>
      <c r="E179" s="7"/>
      <c r="F179" s="7"/>
      <c r="G179" s="7"/>
      <c r="H179" s="7"/>
      <c r="I179" s="7"/>
      <c r="J179" s="7"/>
      <c r="K179" s="7"/>
      <c r="L179" s="7"/>
      <c r="M179" s="7"/>
      <c r="N179" s="7"/>
      <c r="O179" s="7"/>
      <c r="P179" s="7"/>
      <c r="Q179" s="7"/>
      <c r="R179" s="7"/>
      <c r="S179" s="7"/>
      <c r="T179" s="7"/>
    </row>
    <row r="180" ht="14.25" customHeight="1">
      <c r="A180" s="7"/>
      <c r="B180" s="7"/>
      <c r="C180" s="7"/>
      <c r="D180" s="7"/>
      <c r="E180" s="7"/>
      <c r="F180" s="7"/>
      <c r="G180" s="7"/>
      <c r="H180" s="7"/>
      <c r="I180" s="7"/>
      <c r="J180" s="7"/>
      <c r="K180" s="7"/>
      <c r="L180" s="7"/>
      <c r="M180" s="7"/>
      <c r="N180" s="7"/>
      <c r="O180" s="7"/>
      <c r="P180" s="7"/>
      <c r="Q180" s="7"/>
      <c r="R180" s="7"/>
      <c r="S180" s="7"/>
      <c r="T180" s="7"/>
    </row>
    <row r="181" ht="14.25" customHeight="1">
      <c r="A181" s="7"/>
      <c r="B181" s="7"/>
      <c r="C181" s="7"/>
      <c r="D181" s="7"/>
      <c r="E181" s="7"/>
      <c r="F181" s="7"/>
      <c r="G181" s="7"/>
      <c r="H181" s="7"/>
      <c r="I181" s="7"/>
      <c r="J181" s="7"/>
      <c r="K181" s="7"/>
      <c r="L181" s="7"/>
      <c r="M181" s="7"/>
      <c r="N181" s="7"/>
      <c r="O181" s="7"/>
      <c r="P181" s="7"/>
      <c r="Q181" s="7"/>
      <c r="R181" s="7"/>
      <c r="S181" s="7"/>
      <c r="T181" s="7"/>
    </row>
    <row r="182" ht="14.25" customHeight="1">
      <c r="A182" s="7"/>
      <c r="B182" s="7"/>
      <c r="C182" s="7"/>
      <c r="D182" s="7"/>
      <c r="E182" s="7"/>
      <c r="F182" s="7"/>
      <c r="G182" s="7"/>
      <c r="H182" s="7"/>
      <c r="I182" s="7"/>
      <c r="J182" s="7"/>
      <c r="K182" s="7"/>
      <c r="L182" s="7"/>
      <c r="M182" s="7"/>
      <c r="N182" s="7"/>
      <c r="O182" s="7"/>
      <c r="P182" s="7"/>
      <c r="Q182" s="7"/>
      <c r="R182" s="7"/>
      <c r="S182" s="7"/>
      <c r="T182" s="7"/>
    </row>
    <row r="183" ht="14.25" customHeight="1">
      <c r="A183" s="7"/>
      <c r="B183" s="7"/>
      <c r="C183" s="7"/>
      <c r="D183" s="7"/>
      <c r="E183" s="7"/>
      <c r="F183" s="7"/>
      <c r="G183" s="7"/>
      <c r="H183" s="7"/>
      <c r="I183" s="7"/>
      <c r="J183" s="7"/>
      <c r="K183" s="7"/>
      <c r="L183" s="7"/>
      <c r="M183" s="7"/>
      <c r="N183" s="7"/>
      <c r="O183" s="7"/>
      <c r="P183" s="7"/>
      <c r="Q183" s="7"/>
      <c r="R183" s="7"/>
      <c r="S183" s="7"/>
      <c r="T183" s="7"/>
    </row>
    <row r="184" ht="14.25" customHeight="1">
      <c r="A184" s="7"/>
      <c r="B184" s="7"/>
      <c r="C184" s="7"/>
      <c r="D184" s="7"/>
      <c r="E184" s="7"/>
      <c r="F184" s="7"/>
      <c r="G184" s="7"/>
      <c r="H184" s="7"/>
      <c r="I184" s="7"/>
      <c r="J184" s="7"/>
      <c r="K184" s="7"/>
      <c r="L184" s="7"/>
      <c r="M184" s="7"/>
      <c r="N184" s="7"/>
      <c r="O184" s="7"/>
      <c r="P184" s="7"/>
      <c r="Q184" s="7"/>
      <c r="R184" s="7"/>
      <c r="S184" s="7"/>
      <c r="T184" s="7"/>
    </row>
    <row r="185" ht="14.25" customHeight="1">
      <c r="A185" s="7"/>
      <c r="B185" s="7"/>
      <c r="C185" s="7"/>
      <c r="D185" s="7"/>
      <c r="E185" s="7"/>
      <c r="F185" s="7"/>
      <c r="G185" s="7"/>
      <c r="H185" s="7"/>
      <c r="I185" s="7"/>
      <c r="J185" s="7"/>
      <c r="K185" s="7"/>
      <c r="L185" s="7"/>
      <c r="M185" s="7"/>
      <c r="N185" s="7"/>
      <c r="O185" s="7"/>
      <c r="P185" s="7"/>
      <c r="Q185" s="7"/>
      <c r="R185" s="7"/>
      <c r="S185" s="7"/>
      <c r="T185" s="7"/>
    </row>
    <row r="186" ht="14.25" customHeight="1">
      <c r="A186" s="7"/>
      <c r="B186" s="7"/>
      <c r="C186" s="7"/>
      <c r="D186" s="7"/>
      <c r="E186" s="7"/>
      <c r="F186" s="7"/>
      <c r="G186" s="7"/>
      <c r="H186" s="7"/>
      <c r="I186" s="7"/>
      <c r="J186" s="7"/>
      <c r="K186" s="7"/>
      <c r="L186" s="7"/>
      <c r="M186" s="7"/>
      <c r="N186" s="7"/>
      <c r="O186" s="7"/>
      <c r="P186" s="7"/>
      <c r="Q186" s="7"/>
      <c r="R186" s="7"/>
      <c r="S186" s="7"/>
      <c r="T186" s="7"/>
    </row>
    <row r="187" ht="14.25" customHeight="1">
      <c r="A187" s="7"/>
      <c r="B187" s="7"/>
      <c r="C187" s="7"/>
      <c r="D187" s="7"/>
      <c r="E187" s="7"/>
      <c r="F187" s="7"/>
      <c r="G187" s="7"/>
      <c r="H187" s="7"/>
      <c r="I187" s="7"/>
      <c r="J187" s="7"/>
      <c r="K187" s="7"/>
      <c r="L187" s="7"/>
      <c r="M187" s="7"/>
      <c r="N187" s="7"/>
      <c r="O187" s="7"/>
      <c r="P187" s="7"/>
      <c r="Q187" s="7"/>
      <c r="R187" s="7"/>
      <c r="S187" s="7"/>
      <c r="T187" s="7"/>
    </row>
    <row r="188" ht="14.25" customHeight="1">
      <c r="A188" s="7"/>
      <c r="B188" s="7"/>
      <c r="C188" s="7"/>
      <c r="D188" s="7"/>
      <c r="E188" s="7"/>
      <c r="F188" s="7"/>
      <c r="G188" s="7"/>
      <c r="H188" s="7"/>
      <c r="I188" s="7"/>
      <c r="J188" s="7"/>
      <c r="K188" s="7"/>
      <c r="L188" s="7"/>
      <c r="M188" s="7"/>
      <c r="N188" s="7"/>
      <c r="O188" s="7"/>
      <c r="P188" s="7"/>
      <c r="Q188" s="7"/>
      <c r="R188" s="7"/>
      <c r="S188" s="7"/>
      <c r="T188" s="7"/>
    </row>
    <row r="189" ht="14.25" customHeight="1">
      <c r="A189" s="7"/>
      <c r="B189" s="7"/>
      <c r="C189" s="7"/>
      <c r="D189" s="7"/>
      <c r="E189" s="7"/>
      <c r="F189" s="7"/>
      <c r="G189" s="7"/>
      <c r="H189" s="7"/>
      <c r="I189" s="7"/>
      <c r="J189" s="7"/>
      <c r="K189" s="7"/>
      <c r="L189" s="7"/>
      <c r="M189" s="7"/>
      <c r="N189" s="7"/>
      <c r="O189" s="7"/>
      <c r="P189" s="7"/>
      <c r="Q189" s="7"/>
      <c r="R189" s="7"/>
      <c r="S189" s="7"/>
      <c r="T189" s="7"/>
    </row>
    <row r="190" ht="14.25" customHeight="1">
      <c r="A190" s="7"/>
      <c r="B190" s="7"/>
      <c r="C190" s="7"/>
      <c r="D190" s="7"/>
      <c r="E190" s="7"/>
      <c r="F190" s="7"/>
      <c r="G190" s="7"/>
      <c r="H190" s="7"/>
      <c r="I190" s="7"/>
      <c r="J190" s="7"/>
      <c r="K190" s="7"/>
      <c r="L190" s="7"/>
      <c r="M190" s="7"/>
      <c r="N190" s="7"/>
      <c r="O190" s="7"/>
      <c r="P190" s="7"/>
      <c r="Q190" s="7"/>
      <c r="R190" s="7"/>
      <c r="S190" s="7"/>
      <c r="T190" s="7"/>
    </row>
    <row r="191" ht="14.25" customHeight="1">
      <c r="A191" s="7"/>
      <c r="B191" s="7"/>
      <c r="C191" s="7"/>
      <c r="D191" s="7"/>
      <c r="E191" s="7"/>
      <c r="F191" s="7"/>
      <c r="G191" s="7"/>
      <c r="H191" s="7"/>
      <c r="I191" s="7"/>
      <c r="J191" s="7"/>
      <c r="K191" s="7"/>
      <c r="L191" s="7"/>
      <c r="M191" s="7"/>
      <c r="N191" s="7"/>
      <c r="O191" s="7"/>
      <c r="P191" s="7"/>
      <c r="Q191" s="7"/>
      <c r="R191" s="7"/>
      <c r="S191" s="7"/>
      <c r="T191" s="7"/>
    </row>
    <row r="192" ht="14.25" customHeight="1">
      <c r="A192" s="7"/>
      <c r="B192" s="7"/>
      <c r="C192" s="7"/>
      <c r="D192" s="7"/>
      <c r="E192" s="7"/>
      <c r="F192" s="7"/>
      <c r="G192" s="7"/>
      <c r="H192" s="7"/>
      <c r="I192" s="7"/>
      <c r="J192" s="7"/>
      <c r="K192" s="7"/>
      <c r="L192" s="7"/>
      <c r="M192" s="7"/>
      <c r="N192" s="7"/>
      <c r="O192" s="7"/>
      <c r="P192" s="7"/>
      <c r="Q192" s="7"/>
      <c r="R192" s="7"/>
      <c r="S192" s="7"/>
      <c r="T192" s="7"/>
    </row>
    <row r="193" ht="14.25" customHeight="1">
      <c r="A193" s="7"/>
      <c r="B193" s="7"/>
      <c r="C193" s="7"/>
      <c r="D193" s="7"/>
      <c r="E193" s="7"/>
      <c r="F193" s="7"/>
      <c r="G193" s="7"/>
      <c r="H193" s="7"/>
      <c r="I193" s="7"/>
      <c r="J193" s="7"/>
      <c r="K193" s="7"/>
      <c r="L193" s="7"/>
      <c r="M193" s="7"/>
      <c r="N193" s="7"/>
      <c r="O193" s="7"/>
      <c r="P193" s="7"/>
      <c r="Q193" s="7"/>
      <c r="R193" s="7"/>
      <c r="S193" s="7"/>
      <c r="T193" s="7"/>
    </row>
    <row r="194" ht="14.25" customHeight="1">
      <c r="A194" s="7"/>
      <c r="B194" s="7"/>
      <c r="C194" s="7"/>
      <c r="D194" s="7"/>
      <c r="E194" s="7"/>
      <c r="F194" s="7"/>
      <c r="G194" s="7"/>
      <c r="H194" s="7"/>
      <c r="I194" s="7"/>
      <c r="J194" s="7"/>
      <c r="K194" s="7"/>
      <c r="L194" s="7"/>
      <c r="M194" s="7"/>
      <c r="N194" s="7"/>
      <c r="O194" s="7"/>
      <c r="P194" s="7"/>
      <c r="Q194" s="7"/>
      <c r="R194" s="7"/>
      <c r="S194" s="7"/>
      <c r="T194" s="7"/>
    </row>
    <row r="195" ht="14.25" customHeight="1">
      <c r="A195" s="7"/>
      <c r="B195" s="7"/>
      <c r="C195" s="7"/>
      <c r="D195" s="7"/>
      <c r="E195" s="7"/>
      <c r="F195" s="7"/>
      <c r="G195" s="7"/>
      <c r="H195" s="7"/>
      <c r="I195" s="7"/>
      <c r="J195" s="7"/>
      <c r="K195" s="7"/>
      <c r="L195" s="7"/>
      <c r="M195" s="7"/>
      <c r="N195" s="7"/>
      <c r="O195" s="7"/>
      <c r="P195" s="7"/>
      <c r="Q195" s="7"/>
      <c r="R195" s="7"/>
      <c r="S195" s="7"/>
      <c r="T195" s="7"/>
    </row>
    <row r="196" ht="14.25" customHeight="1">
      <c r="A196" s="7"/>
      <c r="B196" s="7"/>
      <c r="C196" s="7"/>
      <c r="D196" s="7"/>
      <c r="E196" s="7"/>
      <c r="F196" s="7"/>
      <c r="G196" s="7"/>
      <c r="H196" s="7"/>
      <c r="I196" s="7"/>
      <c r="J196" s="7"/>
      <c r="K196" s="7"/>
      <c r="L196" s="7"/>
      <c r="M196" s="7"/>
      <c r="N196" s="7"/>
      <c r="O196" s="7"/>
      <c r="P196" s="7"/>
      <c r="Q196" s="7"/>
      <c r="R196" s="7"/>
      <c r="S196" s="7"/>
      <c r="T196" s="7"/>
    </row>
    <row r="197" ht="14.25" customHeight="1">
      <c r="A197" s="7"/>
      <c r="B197" s="7"/>
      <c r="C197" s="7"/>
      <c r="D197" s="7"/>
      <c r="E197" s="7"/>
      <c r="F197" s="7"/>
      <c r="G197" s="7"/>
      <c r="H197" s="7"/>
      <c r="I197" s="7"/>
      <c r="J197" s="7"/>
      <c r="K197" s="7"/>
      <c r="L197" s="7"/>
      <c r="M197" s="7"/>
      <c r="N197" s="7"/>
      <c r="O197" s="7"/>
      <c r="P197" s="7"/>
      <c r="Q197" s="7"/>
      <c r="R197" s="7"/>
      <c r="S197" s="7"/>
      <c r="T197" s="7"/>
    </row>
    <row r="198" ht="14.25" customHeight="1">
      <c r="A198" s="7"/>
      <c r="B198" s="7"/>
      <c r="C198" s="7"/>
      <c r="D198" s="7"/>
      <c r="E198" s="7"/>
      <c r="F198" s="7"/>
      <c r="G198" s="7"/>
      <c r="H198" s="7"/>
      <c r="I198" s="7"/>
      <c r="J198" s="7"/>
      <c r="K198" s="7"/>
      <c r="L198" s="7"/>
      <c r="M198" s="7"/>
      <c r="N198" s="7"/>
      <c r="O198" s="7"/>
      <c r="P198" s="7"/>
      <c r="Q198" s="7"/>
      <c r="R198" s="7"/>
      <c r="S198" s="7"/>
      <c r="T198" s="7"/>
    </row>
    <row r="199" ht="14.25" customHeight="1">
      <c r="A199" s="7"/>
      <c r="B199" s="7"/>
      <c r="C199" s="7"/>
      <c r="D199" s="7"/>
      <c r="E199" s="7"/>
      <c r="F199" s="7"/>
      <c r="G199" s="7"/>
      <c r="H199" s="7"/>
      <c r="I199" s="7"/>
      <c r="J199" s="7"/>
      <c r="K199" s="7"/>
      <c r="L199" s="7"/>
      <c r="M199" s="7"/>
      <c r="N199" s="7"/>
      <c r="O199" s="7"/>
      <c r="P199" s="7"/>
      <c r="Q199" s="7"/>
      <c r="R199" s="7"/>
      <c r="S199" s="7"/>
      <c r="T199" s="7"/>
    </row>
    <row r="200" ht="14.25" customHeight="1">
      <c r="A200" s="7"/>
      <c r="B200" s="7"/>
      <c r="C200" s="7"/>
      <c r="D200" s="7"/>
      <c r="E200" s="7"/>
      <c r="F200" s="7"/>
      <c r="G200" s="7"/>
      <c r="H200" s="7"/>
      <c r="I200" s="7"/>
      <c r="J200" s="7"/>
      <c r="K200" s="7"/>
      <c r="L200" s="7"/>
      <c r="M200" s="7"/>
      <c r="N200" s="7"/>
      <c r="O200" s="7"/>
      <c r="P200" s="7"/>
      <c r="Q200" s="7"/>
      <c r="R200" s="7"/>
      <c r="S200" s="7"/>
      <c r="T200" s="7"/>
    </row>
    <row r="201" ht="14.25" customHeight="1">
      <c r="A201" s="7"/>
      <c r="B201" s="7"/>
      <c r="C201" s="7"/>
      <c r="D201" s="7"/>
      <c r="E201" s="7"/>
      <c r="F201" s="7"/>
      <c r="G201" s="7"/>
      <c r="H201" s="7"/>
      <c r="I201" s="7"/>
      <c r="J201" s="7"/>
      <c r="K201" s="7"/>
      <c r="L201" s="7"/>
      <c r="M201" s="7"/>
      <c r="N201" s="7"/>
      <c r="O201" s="7"/>
      <c r="P201" s="7"/>
      <c r="Q201" s="7"/>
      <c r="R201" s="7"/>
      <c r="S201" s="7"/>
      <c r="T201" s="7"/>
    </row>
    <row r="202" ht="14.25" customHeight="1">
      <c r="A202" s="7"/>
      <c r="B202" s="7"/>
      <c r="C202" s="7"/>
      <c r="D202" s="7"/>
      <c r="E202" s="7"/>
      <c r="F202" s="7"/>
      <c r="G202" s="7"/>
      <c r="H202" s="7"/>
      <c r="I202" s="7"/>
      <c r="J202" s="7"/>
      <c r="K202" s="7"/>
      <c r="L202" s="7"/>
      <c r="M202" s="7"/>
      <c r="N202" s="7"/>
      <c r="O202" s="7"/>
      <c r="P202" s="7"/>
      <c r="Q202" s="7"/>
      <c r="R202" s="7"/>
      <c r="S202" s="7"/>
      <c r="T202" s="7"/>
    </row>
    <row r="203" ht="14.25" customHeight="1">
      <c r="A203" s="7"/>
      <c r="B203" s="7"/>
      <c r="C203" s="7"/>
      <c r="D203" s="7"/>
      <c r="E203" s="7"/>
      <c r="F203" s="7"/>
      <c r="G203" s="7"/>
      <c r="H203" s="7"/>
      <c r="I203" s="7"/>
      <c r="J203" s="7"/>
      <c r="K203" s="7"/>
      <c r="L203" s="7"/>
      <c r="M203" s="7"/>
      <c r="N203" s="7"/>
      <c r="O203" s="7"/>
      <c r="P203" s="7"/>
      <c r="Q203" s="7"/>
      <c r="R203" s="7"/>
      <c r="S203" s="7"/>
      <c r="T203" s="7"/>
    </row>
    <row r="204" ht="14.25" customHeight="1">
      <c r="A204" s="7"/>
      <c r="B204" s="7"/>
      <c r="C204" s="7"/>
      <c r="D204" s="7"/>
      <c r="E204" s="7"/>
      <c r="F204" s="7"/>
      <c r="G204" s="7"/>
      <c r="H204" s="7"/>
      <c r="I204" s="7"/>
      <c r="J204" s="7"/>
      <c r="K204" s="7"/>
      <c r="L204" s="7"/>
      <c r="M204" s="7"/>
      <c r="N204" s="7"/>
      <c r="O204" s="7"/>
      <c r="P204" s="7"/>
      <c r="Q204" s="7"/>
      <c r="R204" s="7"/>
      <c r="S204" s="7"/>
      <c r="T204" s="7"/>
    </row>
    <row r="205" ht="14.25" customHeight="1">
      <c r="A205" s="7"/>
      <c r="B205" s="7"/>
      <c r="C205" s="7"/>
      <c r="D205" s="7"/>
      <c r="E205" s="7"/>
      <c r="F205" s="7"/>
      <c r="G205" s="7"/>
      <c r="H205" s="7"/>
      <c r="I205" s="7"/>
      <c r="J205" s="7"/>
      <c r="K205" s="7"/>
      <c r="L205" s="7"/>
      <c r="M205" s="7"/>
      <c r="N205" s="7"/>
      <c r="O205" s="7"/>
      <c r="P205" s="7"/>
      <c r="Q205" s="7"/>
      <c r="R205" s="7"/>
      <c r="S205" s="7"/>
      <c r="T205" s="7"/>
    </row>
    <row r="206" ht="14.25" customHeight="1">
      <c r="A206" s="7"/>
      <c r="B206" s="7"/>
      <c r="C206" s="7"/>
      <c r="D206" s="7"/>
      <c r="E206" s="7"/>
      <c r="F206" s="7"/>
      <c r="G206" s="7"/>
      <c r="H206" s="7"/>
      <c r="I206" s="7"/>
      <c r="J206" s="7"/>
      <c r="K206" s="7"/>
      <c r="L206" s="7"/>
      <c r="M206" s="7"/>
      <c r="N206" s="7"/>
      <c r="O206" s="7"/>
      <c r="P206" s="7"/>
      <c r="Q206" s="7"/>
      <c r="R206" s="7"/>
      <c r="S206" s="7"/>
      <c r="T206" s="7"/>
    </row>
    <row r="207" ht="14.25" customHeight="1">
      <c r="A207" s="7"/>
      <c r="B207" s="7"/>
      <c r="C207" s="7"/>
      <c r="D207" s="7"/>
      <c r="E207" s="7"/>
      <c r="F207" s="7"/>
      <c r="G207" s="7"/>
      <c r="H207" s="7"/>
      <c r="I207" s="7"/>
      <c r="J207" s="7"/>
      <c r="K207" s="7"/>
      <c r="L207" s="7"/>
      <c r="M207" s="7"/>
      <c r="N207" s="7"/>
      <c r="O207" s="7"/>
      <c r="P207" s="7"/>
      <c r="Q207" s="7"/>
      <c r="R207" s="7"/>
      <c r="S207" s="7"/>
      <c r="T207" s="7"/>
    </row>
    <row r="208" ht="14.25" customHeight="1">
      <c r="A208" s="7"/>
      <c r="B208" s="7"/>
      <c r="C208" s="7"/>
      <c r="D208" s="7"/>
      <c r="E208" s="7"/>
      <c r="F208" s="7"/>
      <c r="G208" s="7"/>
      <c r="H208" s="7"/>
      <c r="I208" s="7"/>
      <c r="J208" s="7"/>
      <c r="K208" s="7"/>
      <c r="L208" s="7"/>
      <c r="M208" s="7"/>
      <c r="N208" s="7"/>
      <c r="O208" s="7"/>
      <c r="P208" s="7"/>
      <c r="Q208" s="7"/>
      <c r="R208" s="7"/>
      <c r="S208" s="7"/>
      <c r="T208" s="7"/>
    </row>
    <row r="209" ht="14.25" customHeight="1">
      <c r="A209" s="7"/>
      <c r="B209" s="7"/>
      <c r="C209" s="7"/>
      <c r="D209" s="7"/>
      <c r="E209" s="7"/>
      <c r="F209" s="7"/>
      <c r="G209" s="7"/>
      <c r="H209" s="7"/>
      <c r="I209" s="7"/>
      <c r="J209" s="7"/>
      <c r="K209" s="7"/>
      <c r="L209" s="7"/>
      <c r="M209" s="7"/>
      <c r="N209" s="7"/>
      <c r="O209" s="7"/>
      <c r="P209" s="7"/>
      <c r="Q209" s="7"/>
      <c r="R209" s="7"/>
      <c r="S209" s="7"/>
      <c r="T209" s="7"/>
    </row>
    <row r="210" ht="14.25" customHeight="1">
      <c r="A210" s="7"/>
      <c r="B210" s="7"/>
      <c r="C210" s="7"/>
      <c r="D210" s="7"/>
      <c r="E210" s="7"/>
      <c r="F210" s="7"/>
      <c r="G210" s="7"/>
      <c r="H210" s="7"/>
      <c r="I210" s="7"/>
      <c r="J210" s="7"/>
      <c r="K210" s="7"/>
      <c r="L210" s="7"/>
      <c r="M210" s="7"/>
      <c r="N210" s="7"/>
      <c r="O210" s="7"/>
      <c r="P210" s="7"/>
      <c r="Q210" s="7"/>
      <c r="R210" s="7"/>
      <c r="S210" s="7"/>
      <c r="T210" s="7"/>
    </row>
    <row r="211" ht="14.25" customHeight="1">
      <c r="A211" s="7"/>
      <c r="B211" s="7"/>
      <c r="C211" s="7"/>
      <c r="D211" s="7"/>
      <c r="E211" s="7"/>
      <c r="F211" s="7"/>
      <c r="G211" s="7"/>
      <c r="H211" s="7"/>
      <c r="I211" s="7"/>
      <c r="J211" s="7"/>
      <c r="K211" s="7"/>
      <c r="L211" s="7"/>
      <c r="M211" s="7"/>
      <c r="N211" s="7"/>
      <c r="O211" s="7"/>
      <c r="P211" s="7"/>
      <c r="Q211" s="7"/>
      <c r="R211" s="7"/>
      <c r="S211" s="7"/>
      <c r="T211" s="7"/>
    </row>
    <row r="212" ht="14.25" customHeight="1">
      <c r="A212" s="7"/>
      <c r="B212" s="7"/>
      <c r="C212" s="7"/>
      <c r="D212" s="7"/>
      <c r="E212" s="7"/>
      <c r="F212" s="7"/>
      <c r="G212" s="7"/>
      <c r="H212" s="7"/>
      <c r="I212" s="7"/>
      <c r="J212" s="7"/>
      <c r="K212" s="7"/>
      <c r="L212" s="7"/>
      <c r="M212" s="7"/>
      <c r="N212" s="7"/>
      <c r="O212" s="7"/>
      <c r="P212" s="7"/>
      <c r="Q212" s="7"/>
      <c r="R212" s="7"/>
      <c r="S212" s="7"/>
      <c r="T212" s="7"/>
    </row>
    <row r="213" ht="14.25" customHeight="1">
      <c r="A213" s="7"/>
      <c r="B213" s="7"/>
      <c r="C213" s="7"/>
      <c r="D213" s="7"/>
      <c r="E213" s="7"/>
      <c r="F213" s="7"/>
      <c r="G213" s="7"/>
      <c r="H213" s="7"/>
      <c r="I213" s="7"/>
      <c r="J213" s="7"/>
      <c r="K213" s="7"/>
      <c r="L213" s="7"/>
      <c r="M213" s="7"/>
      <c r="N213" s="7"/>
      <c r="O213" s="7"/>
      <c r="P213" s="7"/>
      <c r="Q213" s="7"/>
      <c r="R213" s="7"/>
      <c r="S213" s="7"/>
      <c r="T213" s="7"/>
    </row>
    <row r="214" ht="14.25" customHeight="1">
      <c r="A214" s="7"/>
      <c r="B214" s="7"/>
      <c r="C214" s="7"/>
      <c r="D214" s="7"/>
      <c r="E214" s="7"/>
      <c r="F214" s="7"/>
      <c r="G214" s="7"/>
      <c r="H214" s="7"/>
      <c r="I214" s="7"/>
      <c r="J214" s="7"/>
      <c r="K214" s="7"/>
      <c r="L214" s="7"/>
      <c r="M214" s="7"/>
      <c r="N214" s="7"/>
      <c r="O214" s="7"/>
      <c r="P214" s="7"/>
      <c r="Q214" s="7"/>
      <c r="R214" s="7"/>
      <c r="S214" s="7"/>
      <c r="T214" s="7"/>
    </row>
    <row r="215" ht="14.25" customHeight="1">
      <c r="A215" s="7"/>
      <c r="B215" s="7"/>
      <c r="C215" s="7"/>
      <c r="D215" s="7"/>
      <c r="E215" s="7"/>
      <c r="F215" s="7"/>
      <c r="G215" s="7"/>
      <c r="H215" s="7"/>
      <c r="I215" s="7"/>
      <c r="J215" s="7"/>
      <c r="K215" s="7"/>
      <c r="L215" s="7"/>
      <c r="M215" s="7"/>
      <c r="N215" s="7"/>
      <c r="O215" s="7"/>
      <c r="P215" s="7"/>
      <c r="Q215" s="7"/>
      <c r="R215" s="7"/>
      <c r="S215" s="7"/>
      <c r="T215" s="7"/>
    </row>
    <row r="216" ht="14.25" customHeight="1">
      <c r="A216" s="7"/>
      <c r="B216" s="7"/>
      <c r="C216" s="7"/>
      <c r="D216" s="7"/>
      <c r="E216" s="7"/>
      <c r="F216" s="7"/>
      <c r="G216" s="7"/>
      <c r="H216" s="7"/>
      <c r="I216" s="7"/>
      <c r="J216" s="7"/>
      <c r="K216" s="7"/>
      <c r="L216" s="7"/>
      <c r="M216" s="7"/>
      <c r="N216" s="7"/>
      <c r="O216" s="7"/>
      <c r="P216" s="7"/>
      <c r="Q216" s="7"/>
      <c r="R216" s="7"/>
      <c r="S216" s="7"/>
      <c r="T216" s="7"/>
    </row>
    <row r="217" ht="14.25" customHeight="1">
      <c r="A217" s="7"/>
      <c r="B217" s="7"/>
      <c r="C217" s="7"/>
      <c r="D217" s="7"/>
      <c r="E217" s="7"/>
      <c r="F217" s="7"/>
      <c r="G217" s="7"/>
      <c r="H217" s="7"/>
      <c r="I217" s="7"/>
      <c r="J217" s="7"/>
      <c r="K217" s="7"/>
      <c r="L217" s="7"/>
      <c r="M217" s="7"/>
      <c r="N217" s="7"/>
      <c r="O217" s="7"/>
      <c r="P217" s="7"/>
      <c r="Q217" s="7"/>
      <c r="R217" s="7"/>
      <c r="S217" s="7"/>
      <c r="T217" s="7"/>
    </row>
    <row r="218" ht="14.25" customHeight="1">
      <c r="A218" s="7"/>
      <c r="B218" s="7"/>
      <c r="C218" s="7"/>
      <c r="D218" s="7"/>
      <c r="E218" s="7"/>
      <c r="F218" s="7"/>
      <c r="G218" s="7"/>
      <c r="H218" s="7"/>
      <c r="I218" s="7"/>
      <c r="J218" s="7"/>
      <c r="K218" s="7"/>
      <c r="L218" s="7"/>
      <c r="M218" s="7"/>
      <c r="N218" s="7"/>
      <c r="O218" s="7"/>
      <c r="P218" s="7"/>
      <c r="Q218" s="7"/>
      <c r="R218" s="7"/>
      <c r="S218" s="7"/>
      <c r="T218" s="7"/>
    </row>
    <row r="219" ht="14.25" customHeight="1">
      <c r="A219" s="7"/>
      <c r="B219" s="7"/>
      <c r="C219" s="7"/>
      <c r="D219" s="7"/>
      <c r="E219" s="7"/>
      <c r="F219" s="7"/>
      <c r="G219" s="7"/>
      <c r="H219" s="7"/>
      <c r="I219" s="7"/>
      <c r="J219" s="7"/>
      <c r="K219" s="7"/>
      <c r="L219" s="7"/>
      <c r="M219" s="7"/>
      <c r="N219" s="7"/>
      <c r="O219" s="7"/>
      <c r="P219" s="7"/>
      <c r="Q219" s="7"/>
      <c r="R219" s="7"/>
      <c r="S219" s="7"/>
      <c r="T219" s="7"/>
    </row>
    <row r="220" ht="14.25" customHeight="1">
      <c r="A220" s="7"/>
      <c r="B220" s="7"/>
      <c r="C220" s="7"/>
      <c r="D220" s="7"/>
      <c r="E220" s="7"/>
      <c r="F220" s="7"/>
      <c r="G220" s="7"/>
      <c r="H220" s="7"/>
      <c r="I220" s="7"/>
      <c r="J220" s="7"/>
      <c r="K220" s="7"/>
      <c r="L220" s="7"/>
      <c r="M220" s="7"/>
      <c r="N220" s="7"/>
      <c r="O220" s="7"/>
      <c r="P220" s="7"/>
      <c r="Q220" s="7"/>
      <c r="R220" s="7"/>
      <c r="S220" s="7"/>
      <c r="T220" s="7"/>
    </row>
    <row r="221" ht="14.25" customHeight="1">
      <c r="A221" s="7"/>
      <c r="B221" s="7"/>
      <c r="C221" s="7"/>
      <c r="D221" s="7"/>
      <c r="E221" s="7"/>
      <c r="F221" s="7"/>
      <c r="G221" s="7"/>
      <c r="H221" s="7"/>
      <c r="I221" s="7"/>
      <c r="J221" s="7"/>
      <c r="K221" s="7"/>
      <c r="L221" s="7"/>
      <c r="M221" s="7"/>
      <c r="N221" s="7"/>
      <c r="O221" s="7"/>
      <c r="P221" s="7"/>
      <c r="Q221" s="7"/>
      <c r="R221" s="7"/>
      <c r="S221" s="7"/>
      <c r="T221" s="7"/>
    </row>
    <row r="222" ht="14.25" customHeight="1">
      <c r="A222" s="7"/>
      <c r="B222" s="7"/>
      <c r="C222" s="7"/>
      <c r="D222" s="7"/>
      <c r="E222" s="7"/>
      <c r="F222" s="7"/>
      <c r="G222" s="7"/>
      <c r="H222" s="7"/>
      <c r="I222" s="7"/>
      <c r="J222" s="7"/>
      <c r="K222" s="7"/>
      <c r="L222" s="7"/>
      <c r="M222" s="7"/>
      <c r="N222" s="7"/>
      <c r="O222" s="7"/>
      <c r="P222" s="7"/>
      <c r="Q222" s="7"/>
      <c r="R222" s="7"/>
      <c r="S222" s="7"/>
      <c r="T222" s="7"/>
    </row>
    <row r="223" ht="14.25" customHeight="1">
      <c r="A223" s="7"/>
      <c r="B223" s="7"/>
      <c r="C223" s="7"/>
      <c r="D223" s="7"/>
      <c r="E223" s="7"/>
      <c r="F223" s="7"/>
      <c r="G223" s="7"/>
      <c r="H223" s="7"/>
      <c r="I223" s="7"/>
      <c r="J223" s="7"/>
      <c r="K223" s="7"/>
      <c r="L223" s="7"/>
      <c r="M223" s="7"/>
      <c r="N223" s="7"/>
      <c r="O223" s="7"/>
      <c r="P223" s="7"/>
      <c r="Q223" s="7"/>
      <c r="R223" s="7"/>
      <c r="S223" s="7"/>
      <c r="T223" s="7"/>
    </row>
    <row r="224" ht="14.25" customHeight="1">
      <c r="A224" s="7"/>
      <c r="B224" s="7"/>
      <c r="C224" s="7"/>
      <c r="D224" s="7"/>
      <c r="E224" s="7"/>
      <c r="F224" s="7"/>
      <c r="G224" s="7"/>
      <c r="H224" s="7"/>
      <c r="I224" s="7"/>
      <c r="J224" s="7"/>
      <c r="K224" s="7"/>
      <c r="L224" s="7"/>
      <c r="M224" s="7"/>
      <c r="N224" s="7"/>
      <c r="O224" s="7"/>
      <c r="P224" s="7"/>
      <c r="Q224" s="7"/>
      <c r="R224" s="7"/>
      <c r="S224" s="7"/>
      <c r="T224" s="7"/>
    </row>
    <row r="225" ht="14.25" customHeight="1">
      <c r="A225" s="7"/>
      <c r="B225" s="7"/>
      <c r="C225" s="7"/>
      <c r="D225" s="7"/>
      <c r="E225" s="7"/>
      <c r="F225" s="7"/>
      <c r="G225" s="7"/>
      <c r="H225" s="7"/>
      <c r="I225" s="7"/>
      <c r="J225" s="7"/>
      <c r="K225" s="7"/>
      <c r="L225" s="7"/>
      <c r="M225" s="7"/>
      <c r="N225" s="7"/>
      <c r="O225" s="7"/>
      <c r="P225" s="7"/>
      <c r="Q225" s="7"/>
      <c r="R225" s="7"/>
      <c r="S225" s="7"/>
      <c r="T225" s="7"/>
    </row>
    <row r="226" ht="14.25" customHeight="1">
      <c r="A226" s="7"/>
      <c r="B226" s="7"/>
      <c r="C226" s="7"/>
      <c r="D226" s="7"/>
      <c r="E226" s="7"/>
      <c r="F226" s="7"/>
      <c r="G226" s="7"/>
      <c r="H226" s="7"/>
      <c r="I226" s="7"/>
      <c r="J226" s="7"/>
      <c r="K226" s="7"/>
      <c r="L226" s="7"/>
      <c r="M226" s="7"/>
      <c r="N226" s="7"/>
      <c r="O226" s="7"/>
      <c r="P226" s="7"/>
      <c r="Q226" s="7"/>
      <c r="R226" s="7"/>
      <c r="S226" s="7"/>
      <c r="T226" s="7"/>
    </row>
    <row r="227" ht="14.25" customHeight="1">
      <c r="A227" s="7"/>
      <c r="B227" s="7"/>
      <c r="C227" s="7"/>
      <c r="D227" s="7"/>
      <c r="E227" s="7"/>
      <c r="F227" s="7"/>
      <c r="G227" s="7"/>
      <c r="H227" s="7"/>
      <c r="I227" s="7"/>
      <c r="J227" s="7"/>
      <c r="K227" s="7"/>
      <c r="L227" s="7"/>
      <c r="M227" s="7"/>
      <c r="N227" s="7"/>
      <c r="O227" s="7"/>
      <c r="P227" s="7"/>
      <c r="Q227" s="7"/>
      <c r="R227" s="7"/>
      <c r="S227" s="7"/>
      <c r="T227" s="7"/>
    </row>
    <row r="228" ht="14.25" customHeight="1">
      <c r="A228" s="7"/>
      <c r="B228" s="7"/>
      <c r="C228" s="7"/>
      <c r="D228" s="7"/>
      <c r="E228" s="7"/>
      <c r="F228" s="7"/>
      <c r="G228" s="7"/>
      <c r="H228" s="7"/>
      <c r="I228" s="7"/>
      <c r="J228" s="7"/>
      <c r="K228" s="7"/>
      <c r="L228" s="7"/>
      <c r="M228" s="7"/>
      <c r="N228" s="7"/>
      <c r="O228" s="7"/>
      <c r="P228" s="7"/>
      <c r="Q228" s="7"/>
      <c r="R228" s="7"/>
      <c r="S228" s="7"/>
      <c r="T228" s="7"/>
    </row>
    <row r="229" ht="14.25" customHeight="1">
      <c r="A229" s="7"/>
      <c r="B229" s="7"/>
      <c r="C229" s="7"/>
      <c r="D229" s="7"/>
      <c r="E229" s="7"/>
      <c r="F229" s="7"/>
      <c r="G229" s="7"/>
      <c r="H229" s="7"/>
      <c r="I229" s="7"/>
      <c r="J229" s="7"/>
      <c r="K229" s="7"/>
      <c r="L229" s="7"/>
      <c r="M229" s="7"/>
      <c r="N229" s="7"/>
      <c r="O229" s="7"/>
      <c r="P229" s="7"/>
      <c r="Q229" s="7"/>
      <c r="R229" s="7"/>
      <c r="S229" s="7"/>
      <c r="T229" s="7"/>
    </row>
    <row r="230" ht="14.25" customHeight="1">
      <c r="A230" s="7"/>
      <c r="B230" s="7"/>
      <c r="C230" s="7"/>
      <c r="D230" s="7"/>
      <c r="E230" s="7"/>
      <c r="F230" s="7"/>
      <c r="G230" s="7"/>
      <c r="H230" s="7"/>
      <c r="I230" s="7"/>
      <c r="J230" s="7"/>
      <c r="K230" s="7"/>
      <c r="L230" s="7"/>
      <c r="M230" s="7"/>
      <c r="N230" s="7"/>
      <c r="O230" s="7"/>
      <c r="P230" s="7"/>
      <c r="Q230" s="7"/>
      <c r="R230" s="7"/>
      <c r="S230" s="7"/>
      <c r="T230" s="7"/>
    </row>
    <row r="231" ht="14.25" customHeight="1">
      <c r="A231" s="7"/>
      <c r="B231" s="7"/>
      <c r="C231" s="7"/>
      <c r="D231" s="7"/>
      <c r="E231" s="7"/>
      <c r="F231" s="7"/>
      <c r="G231" s="7"/>
      <c r="H231" s="7"/>
      <c r="I231" s="7"/>
      <c r="J231" s="7"/>
      <c r="K231" s="7"/>
      <c r="L231" s="7"/>
      <c r="M231" s="7"/>
      <c r="N231" s="7"/>
      <c r="O231" s="7"/>
      <c r="P231" s="7"/>
      <c r="Q231" s="7"/>
      <c r="R231" s="7"/>
      <c r="S231" s="7"/>
      <c r="T231" s="7"/>
    </row>
    <row r="232" ht="14.25" customHeight="1">
      <c r="A232" s="7"/>
      <c r="B232" s="7"/>
      <c r="C232" s="7"/>
      <c r="D232" s="7"/>
      <c r="E232" s="7"/>
      <c r="F232" s="7"/>
      <c r="G232" s="7"/>
      <c r="H232" s="7"/>
      <c r="I232" s="7"/>
      <c r="J232" s="7"/>
      <c r="K232" s="7"/>
      <c r="L232" s="7"/>
      <c r="M232" s="7"/>
      <c r="N232" s="7"/>
      <c r="O232" s="7"/>
      <c r="P232" s="7"/>
      <c r="Q232" s="7"/>
      <c r="R232" s="7"/>
      <c r="S232" s="7"/>
      <c r="T232" s="7"/>
    </row>
    <row r="233" ht="14.25" customHeight="1">
      <c r="A233" s="7"/>
      <c r="B233" s="7"/>
      <c r="C233" s="7"/>
      <c r="D233" s="7"/>
      <c r="E233" s="7"/>
      <c r="F233" s="7"/>
      <c r="G233" s="7"/>
      <c r="H233" s="7"/>
      <c r="I233" s="7"/>
      <c r="J233" s="7"/>
      <c r="K233" s="7"/>
      <c r="L233" s="7"/>
      <c r="M233" s="7"/>
      <c r="N233" s="7"/>
      <c r="O233" s="7"/>
      <c r="P233" s="7"/>
      <c r="Q233" s="7"/>
      <c r="R233" s="7"/>
      <c r="S233" s="7"/>
      <c r="T233" s="7"/>
    </row>
    <row r="234" ht="14.25" customHeight="1">
      <c r="A234" s="7"/>
      <c r="B234" s="7"/>
      <c r="C234" s="7"/>
      <c r="D234" s="7"/>
      <c r="E234" s="7"/>
      <c r="F234" s="7"/>
      <c r="G234" s="7"/>
      <c r="H234" s="7"/>
      <c r="I234" s="7"/>
      <c r="J234" s="7"/>
      <c r="K234" s="7"/>
      <c r="L234" s="7"/>
      <c r="M234" s="7"/>
      <c r="N234" s="7"/>
      <c r="O234" s="7"/>
      <c r="P234" s="7"/>
      <c r="Q234" s="7"/>
      <c r="R234" s="7"/>
      <c r="S234" s="7"/>
      <c r="T234" s="7"/>
    </row>
    <row r="235" ht="14.25" customHeight="1">
      <c r="A235" s="7"/>
      <c r="B235" s="7"/>
      <c r="C235" s="7"/>
      <c r="D235" s="7"/>
      <c r="E235" s="7"/>
      <c r="F235" s="7"/>
      <c r="G235" s="7"/>
      <c r="H235" s="7"/>
      <c r="I235" s="7"/>
      <c r="J235" s="7"/>
      <c r="K235" s="7"/>
      <c r="L235" s="7"/>
      <c r="M235" s="7"/>
      <c r="N235" s="7"/>
      <c r="O235" s="7"/>
      <c r="P235" s="7"/>
      <c r="Q235" s="7"/>
      <c r="R235" s="7"/>
      <c r="S235" s="7"/>
      <c r="T235" s="7"/>
    </row>
    <row r="236" ht="14.25" customHeight="1">
      <c r="A236" s="7"/>
      <c r="B236" s="7"/>
      <c r="C236" s="7"/>
      <c r="D236" s="7"/>
      <c r="E236" s="7"/>
      <c r="F236" s="7"/>
      <c r="G236" s="7"/>
      <c r="H236" s="7"/>
      <c r="I236" s="7"/>
      <c r="J236" s="7"/>
      <c r="K236" s="7"/>
      <c r="L236" s="7"/>
      <c r="M236" s="7"/>
      <c r="N236" s="7"/>
      <c r="O236" s="7"/>
      <c r="P236" s="7"/>
      <c r="Q236" s="7"/>
      <c r="R236" s="7"/>
      <c r="S236" s="7"/>
      <c r="T236" s="7"/>
    </row>
    <row r="237" ht="14.25" customHeight="1">
      <c r="A237" s="7"/>
      <c r="B237" s="7"/>
      <c r="C237" s="7"/>
      <c r="D237" s="7"/>
      <c r="E237" s="7"/>
      <c r="F237" s="7"/>
      <c r="G237" s="7"/>
      <c r="H237" s="7"/>
      <c r="I237" s="7"/>
      <c r="J237" s="7"/>
      <c r="K237" s="7"/>
      <c r="L237" s="7"/>
      <c r="M237" s="7"/>
      <c r="N237" s="7"/>
      <c r="O237" s="7"/>
      <c r="P237" s="7"/>
      <c r="Q237" s="7"/>
      <c r="R237" s="7"/>
      <c r="S237" s="7"/>
      <c r="T237" s="7"/>
    </row>
    <row r="238" ht="14.25" customHeight="1">
      <c r="A238" s="7"/>
      <c r="B238" s="7"/>
      <c r="C238" s="7"/>
      <c r="D238" s="7"/>
      <c r="E238" s="7"/>
      <c r="F238" s="7"/>
      <c r="G238" s="7"/>
      <c r="H238" s="7"/>
      <c r="I238" s="7"/>
      <c r="J238" s="7"/>
      <c r="K238" s="7"/>
      <c r="L238" s="7"/>
      <c r="M238" s="7"/>
      <c r="N238" s="7"/>
      <c r="O238" s="7"/>
      <c r="P238" s="7"/>
      <c r="Q238" s="7"/>
      <c r="R238" s="7"/>
      <c r="S238" s="7"/>
      <c r="T238" s="7"/>
    </row>
    <row r="239" ht="14.25" customHeight="1">
      <c r="A239" s="7"/>
      <c r="B239" s="7"/>
      <c r="C239" s="7"/>
      <c r="D239" s="7"/>
      <c r="E239" s="7"/>
      <c r="F239" s="7"/>
      <c r="G239" s="7"/>
      <c r="H239" s="7"/>
      <c r="I239" s="7"/>
      <c r="J239" s="7"/>
      <c r="K239" s="7"/>
      <c r="L239" s="7"/>
      <c r="M239" s="7"/>
      <c r="N239" s="7"/>
      <c r="O239" s="7"/>
      <c r="P239" s="7"/>
      <c r="Q239" s="7"/>
      <c r="R239" s="7"/>
      <c r="S239" s="7"/>
      <c r="T239" s="7"/>
    </row>
    <row r="240" ht="14.25" customHeight="1">
      <c r="A240" s="7"/>
      <c r="B240" s="7"/>
      <c r="C240" s="7"/>
      <c r="D240" s="7"/>
      <c r="E240" s="7"/>
      <c r="F240" s="7"/>
      <c r="G240" s="7"/>
      <c r="H240" s="7"/>
      <c r="I240" s="7"/>
      <c r="J240" s="7"/>
      <c r="K240" s="7"/>
      <c r="L240" s="7"/>
      <c r="M240" s="7"/>
      <c r="N240" s="7"/>
      <c r="O240" s="7"/>
      <c r="P240" s="7"/>
      <c r="Q240" s="7"/>
      <c r="R240" s="7"/>
      <c r="S240" s="7"/>
      <c r="T240" s="7"/>
    </row>
    <row r="241" ht="14.25" customHeight="1">
      <c r="A241" s="7"/>
      <c r="B241" s="7"/>
      <c r="C241" s="7"/>
      <c r="D241" s="7"/>
      <c r="E241" s="7"/>
      <c r="F241" s="7"/>
      <c r="G241" s="7"/>
      <c r="H241" s="7"/>
      <c r="I241" s="7"/>
      <c r="J241" s="7"/>
      <c r="K241" s="7"/>
      <c r="L241" s="7"/>
      <c r="M241" s="7"/>
      <c r="N241" s="7"/>
      <c r="O241" s="7"/>
      <c r="P241" s="7"/>
      <c r="Q241" s="7"/>
      <c r="R241" s="7"/>
      <c r="S241" s="7"/>
      <c r="T241" s="7"/>
    </row>
    <row r="242" ht="14.25" customHeight="1">
      <c r="A242" s="7"/>
      <c r="B242" s="7"/>
      <c r="C242" s="7"/>
      <c r="D242" s="7"/>
      <c r="E242" s="7"/>
      <c r="F242" s="7"/>
      <c r="G242" s="7"/>
      <c r="H242" s="7"/>
      <c r="I242" s="7"/>
      <c r="J242" s="7"/>
      <c r="K242" s="7"/>
      <c r="L242" s="7"/>
      <c r="M242" s="7"/>
      <c r="N242" s="7"/>
      <c r="O242" s="7"/>
      <c r="P242" s="7"/>
      <c r="Q242" s="7"/>
      <c r="R242" s="7"/>
      <c r="S242" s="7"/>
      <c r="T242" s="7"/>
    </row>
    <row r="243" ht="14.25" customHeight="1">
      <c r="A243" s="7"/>
      <c r="B243" s="7"/>
      <c r="C243" s="7"/>
      <c r="D243" s="7"/>
      <c r="E243" s="7"/>
      <c r="F243" s="7"/>
      <c r="G243" s="7"/>
      <c r="H243" s="7"/>
      <c r="I243" s="7"/>
      <c r="J243" s="7"/>
      <c r="K243" s="7"/>
      <c r="L243" s="7"/>
      <c r="M243" s="7"/>
      <c r="N243" s="7"/>
      <c r="O243" s="7"/>
      <c r="P243" s="7"/>
      <c r="Q243" s="7"/>
      <c r="R243" s="7"/>
      <c r="S243" s="7"/>
      <c r="T243" s="7"/>
    </row>
    <row r="244" ht="14.25" customHeight="1">
      <c r="A244" s="7"/>
      <c r="B244" s="7"/>
      <c r="C244" s="7"/>
      <c r="D244" s="7"/>
      <c r="E244" s="7"/>
      <c r="F244" s="7"/>
      <c r="G244" s="7"/>
      <c r="H244" s="7"/>
      <c r="I244" s="7"/>
      <c r="J244" s="7"/>
      <c r="K244" s="7"/>
      <c r="L244" s="7"/>
      <c r="M244" s="7"/>
      <c r="N244" s="7"/>
      <c r="O244" s="7"/>
      <c r="P244" s="7"/>
      <c r="Q244" s="7"/>
      <c r="R244" s="7"/>
      <c r="S244" s="7"/>
      <c r="T244" s="7"/>
    </row>
    <row r="245" ht="14.25" customHeight="1">
      <c r="A245" s="7"/>
      <c r="B245" s="7"/>
      <c r="C245" s="7"/>
      <c r="D245" s="7"/>
      <c r="E245" s="7"/>
      <c r="F245" s="7"/>
      <c r="G245" s="7"/>
      <c r="H245" s="7"/>
      <c r="I245" s="7"/>
      <c r="J245" s="7"/>
      <c r="K245" s="7"/>
      <c r="L245" s="7"/>
      <c r="M245" s="7"/>
      <c r="N245" s="7"/>
      <c r="O245" s="7"/>
      <c r="P245" s="7"/>
      <c r="Q245" s="7"/>
      <c r="R245" s="7"/>
      <c r="S245" s="7"/>
      <c r="T245" s="7"/>
    </row>
    <row r="246" ht="14.25" customHeight="1">
      <c r="A246" s="7"/>
      <c r="B246" s="7"/>
      <c r="C246" s="7"/>
      <c r="D246" s="7"/>
      <c r="E246" s="7"/>
      <c r="F246" s="7"/>
      <c r="G246" s="7"/>
      <c r="H246" s="7"/>
      <c r="I246" s="7"/>
      <c r="J246" s="7"/>
      <c r="K246" s="7"/>
      <c r="L246" s="7"/>
      <c r="M246" s="7"/>
      <c r="N246" s="7"/>
      <c r="O246" s="7"/>
      <c r="P246" s="7"/>
      <c r="Q246" s="7"/>
      <c r="R246" s="7"/>
      <c r="S246" s="7"/>
      <c r="T246" s="7"/>
    </row>
    <row r="247" ht="14.25" customHeight="1">
      <c r="A247" s="7"/>
      <c r="B247" s="7"/>
      <c r="C247" s="7"/>
      <c r="D247" s="7"/>
      <c r="E247" s="7"/>
      <c r="F247" s="7"/>
      <c r="G247" s="7"/>
      <c r="H247" s="7"/>
      <c r="I247" s="7"/>
      <c r="J247" s="7"/>
      <c r="K247" s="7"/>
      <c r="L247" s="7"/>
      <c r="M247" s="7"/>
      <c r="N247" s="7"/>
      <c r="O247" s="7"/>
      <c r="P247" s="7"/>
      <c r="Q247" s="7"/>
      <c r="R247" s="7"/>
      <c r="S247" s="7"/>
      <c r="T247" s="7"/>
    </row>
    <row r="248" ht="14.25" customHeight="1">
      <c r="A248" s="7"/>
      <c r="B248" s="7"/>
      <c r="C248" s="7"/>
      <c r="D248" s="7"/>
      <c r="E248" s="7"/>
      <c r="F248" s="7"/>
      <c r="G248" s="7"/>
      <c r="H248" s="7"/>
      <c r="I248" s="7"/>
      <c r="J248" s="7"/>
      <c r="K248" s="7"/>
      <c r="L248" s="7"/>
      <c r="M248" s="7"/>
      <c r="N248" s="7"/>
      <c r="O248" s="7"/>
      <c r="P248" s="7"/>
      <c r="Q248" s="7"/>
      <c r="R248" s="7"/>
      <c r="S248" s="7"/>
      <c r="T248" s="7"/>
    </row>
    <row r="249" ht="14.25" customHeight="1">
      <c r="A249" s="7"/>
      <c r="B249" s="7"/>
      <c r="C249" s="7"/>
      <c r="D249" s="7"/>
      <c r="E249" s="7"/>
      <c r="F249" s="7"/>
      <c r="G249" s="7"/>
      <c r="H249" s="7"/>
      <c r="I249" s="7"/>
      <c r="J249" s="7"/>
      <c r="K249" s="7"/>
      <c r="L249" s="7"/>
      <c r="M249" s="7"/>
      <c r="N249" s="7"/>
      <c r="O249" s="7"/>
      <c r="P249" s="7"/>
      <c r="Q249" s="7"/>
      <c r="R249" s="7"/>
      <c r="S249" s="7"/>
      <c r="T249" s="7"/>
    </row>
    <row r="250" ht="14.25" customHeight="1">
      <c r="A250" s="7"/>
      <c r="B250" s="7"/>
      <c r="C250" s="7"/>
      <c r="D250" s="7"/>
      <c r="E250" s="7"/>
      <c r="F250" s="7"/>
      <c r="G250" s="7"/>
      <c r="H250" s="7"/>
      <c r="I250" s="7"/>
      <c r="J250" s="7"/>
      <c r="K250" s="7"/>
      <c r="L250" s="7"/>
      <c r="M250" s="7"/>
      <c r="N250" s="7"/>
      <c r="O250" s="7"/>
      <c r="P250" s="7"/>
      <c r="Q250" s="7"/>
      <c r="R250" s="7"/>
      <c r="S250" s="7"/>
      <c r="T250" s="7"/>
    </row>
    <row r="251" ht="14.25" customHeight="1">
      <c r="A251" s="7"/>
      <c r="B251" s="7"/>
      <c r="C251" s="7"/>
      <c r="D251" s="7"/>
      <c r="E251" s="7"/>
      <c r="F251" s="7"/>
      <c r="G251" s="7"/>
      <c r="H251" s="7"/>
      <c r="I251" s="7"/>
      <c r="J251" s="7"/>
      <c r="K251" s="7"/>
      <c r="L251" s="7"/>
      <c r="M251" s="7"/>
      <c r="N251" s="7"/>
      <c r="O251" s="7"/>
      <c r="P251" s="7"/>
      <c r="Q251" s="7"/>
      <c r="R251" s="7"/>
      <c r="S251" s="7"/>
      <c r="T251" s="7"/>
    </row>
    <row r="252" ht="14.25" customHeight="1">
      <c r="A252" s="7"/>
      <c r="B252" s="7"/>
      <c r="C252" s="7"/>
      <c r="D252" s="7"/>
      <c r="E252" s="7"/>
      <c r="F252" s="7"/>
      <c r="G252" s="7"/>
      <c r="H252" s="7"/>
      <c r="I252" s="7"/>
      <c r="J252" s="7"/>
      <c r="K252" s="7"/>
      <c r="L252" s="7"/>
      <c r="M252" s="7"/>
      <c r="N252" s="7"/>
      <c r="O252" s="7"/>
      <c r="P252" s="7"/>
      <c r="Q252" s="7"/>
      <c r="R252" s="7"/>
      <c r="S252" s="7"/>
      <c r="T252" s="7"/>
    </row>
    <row r="253" ht="14.25" customHeight="1">
      <c r="A253" s="7"/>
      <c r="B253" s="7"/>
      <c r="C253" s="7"/>
      <c r="D253" s="7"/>
      <c r="E253" s="7"/>
      <c r="F253" s="7"/>
      <c r="G253" s="7"/>
      <c r="H253" s="7"/>
      <c r="I253" s="7"/>
      <c r="J253" s="7"/>
      <c r="K253" s="7"/>
      <c r="L253" s="7"/>
      <c r="M253" s="7"/>
      <c r="N253" s="7"/>
      <c r="O253" s="7"/>
      <c r="P253" s="7"/>
      <c r="Q253" s="7"/>
      <c r="R253" s="7"/>
      <c r="S253" s="7"/>
      <c r="T253" s="7"/>
    </row>
    <row r="254" ht="14.25" customHeight="1">
      <c r="A254" s="7"/>
      <c r="B254" s="7"/>
      <c r="C254" s="7"/>
      <c r="D254" s="7"/>
      <c r="E254" s="7"/>
      <c r="F254" s="7"/>
      <c r="G254" s="7"/>
      <c r="H254" s="7"/>
      <c r="I254" s="7"/>
      <c r="J254" s="7"/>
      <c r="K254" s="7"/>
      <c r="L254" s="7"/>
      <c r="M254" s="7"/>
      <c r="N254" s="7"/>
      <c r="O254" s="7"/>
      <c r="P254" s="7"/>
      <c r="Q254" s="7"/>
      <c r="R254" s="7"/>
      <c r="S254" s="7"/>
      <c r="T254" s="7"/>
    </row>
    <row r="255" ht="14.25" customHeight="1">
      <c r="A255" s="7"/>
      <c r="B255" s="7"/>
      <c r="C255" s="7"/>
      <c r="D255" s="7"/>
      <c r="E255" s="7"/>
      <c r="F255" s="7"/>
      <c r="G255" s="7"/>
      <c r="H255" s="7"/>
      <c r="I255" s="7"/>
      <c r="J255" s="7"/>
      <c r="K255" s="7"/>
      <c r="L255" s="7"/>
      <c r="M255" s="7"/>
      <c r="N255" s="7"/>
      <c r="O255" s="7"/>
      <c r="P255" s="7"/>
      <c r="Q255" s="7"/>
      <c r="R255" s="7"/>
      <c r="S255" s="7"/>
      <c r="T255" s="7"/>
    </row>
    <row r="256" ht="14.25" customHeight="1">
      <c r="A256" s="7"/>
      <c r="B256" s="7"/>
      <c r="C256" s="7"/>
      <c r="D256" s="7"/>
      <c r="E256" s="7"/>
      <c r="F256" s="7"/>
      <c r="G256" s="7"/>
      <c r="H256" s="7"/>
      <c r="I256" s="7"/>
      <c r="J256" s="7"/>
      <c r="K256" s="7"/>
      <c r="L256" s="7"/>
      <c r="M256" s="7"/>
      <c r="N256" s="7"/>
      <c r="O256" s="7"/>
      <c r="P256" s="7"/>
      <c r="Q256" s="7"/>
      <c r="R256" s="7"/>
      <c r="S256" s="7"/>
      <c r="T256" s="7"/>
    </row>
    <row r="257" ht="14.25" customHeight="1">
      <c r="A257" s="7"/>
      <c r="B257" s="7"/>
      <c r="C257" s="7"/>
      <c r="D257" s="7"/>
      <c r="E257" s="7"/>
      <c r="F257" s="7"/>
      <c r="G257" s="7"/>
      <c r="H257" s="7"/>
      <c r="I257" s="7"/>
      <c r="J257" s="7"/>
      <c r="K257" s="7"/>
      <c r="L257" s="7"/>
      <c r="M257" s="7"/>
      <c r="N257" s="7"/>
      <c r="O257" s="7"/>
      <c r="P257" s="7"/>
      <c r="Q257" s="7"/>
      <c r="R257" s="7"/>
      <c r="S257" s="7"/>
      <c r="T257" s="7"/>
    </row>
    <row r="258" ht="14.25" customHeight="1">
      <c r="A258" s="7"/>
      <c r="B258" s="7"/>
      <c r="C258" s="7"/>
      <c r="D258" s="7"/>
      <c r="E258" s="7"/>
      <c r="F258" s="7"/>
      <c r="G258" s="7"/>
      <c r="H258" s="7"/>
      <c r="I258" s="7"/>
      <c r="J258" s="7"/>
      <c r="K258" s="7"/>
      <c r="L258" s="7"/>
      <c r="M258" s="7"/>
      <c r="N258" s="7"/>
      <c r="O258" s="7"/>
      <c r="P258" s="7"/>
      <c r="Q258" s="7"/>
      <c r="R258" s="7"/>
      <c r="S258" s="7"/>
      <c r="T258" s="7"/>
    </row>
    <row r="259" ht="14.25" customHeight="1">
      <c r="A259" s="7"/>
      <c r="B259" s="7"/>
      <c r="C259" s="7"/>
      <c r="D259" s="7"/>
      <c r="E259" s="7"/>
      <c r="F259" s="7"/>
      <c r="G259" s="7"/>
      <c r="H259" s="7"/>
      <c r="I259" s="7"/>
      <c r="J259" s="7"/>
      <c r="K259" s="7"/>
      <c r="L259" s="7"/>
      <c r="M259" s="7"/>
      <c r="N259" s="7"/>
      <c r="O259" s="7"/>
      <c r="P259" s="7"/>
      <c r="Q259" s="7"/>
      <c r="R259" s="7"/>
      <c r="S259" s="7"/>
      <c r="T259" s="7"/>
    </row>
    <row r="260" ht="14.25" customHeight="1">
      <c r="A260" s="7"/>
      <c r="B260" s="7"/>
      <c r="C260" s="7"/>
      <c r="D260" s="7"/>
      <c r="E260" s="7"/>
      <c r="F260" s="7"/>
      <c r="G260" s="7"/>
      <c r="H260" s="7"/>
      <c r="I260" s="7"/>
      <c r="J260" s="7"/>
      <c r="K260" s="7"/>
      <c r="L260" s="7"/>
      <c r="M260" s="7"/>
      <c r="N260" s="7"/>
      <c r="O260" s="7"/>
      <c r="P260" s="7"/>
      <c r="Q260" s="7"/>
      <c r="R260" s="7"/>
      <c r="S260" s="7"/>
      <c r="T260" s="7"/>
    </row>
    <row r="261" ht="14.25" customHeight="1">
      <c r="A261" s="7"/>
      <c r="B261" s="7"/>
      <c r="C261" s="7"/>
      <c r="D261" s="7"/>
      <c r="E261" s="7"/>
      <c r="F261" s="7"/>
      <c r="G261" s="7"/>
      <c r="H261" s="7"/>
      <c r="I261" s="7"/>
      <c r="J261" s="7"/>
      <c r="K261" s="7"/>
      <c r="L261" s="7"/>
      <c r="M261" s="7"/>
      <c r="N261" s="7"/>
      <c r="O261" s="7"/>
      <c r="P261" s="7"/>
      <c r="Q261" s="7"/>
      <c r="R261" s="7"/>
      <c r="S261" s="7"/>
      <c r="T261" s="7"/>
    </row>
    <row r="262" ht="14.25" customHeight="1">
      <c r="A262" s="7"/>
      <c r="B262" s="7"/>
      <c r="C262" s="7"/>
      <c r="D262" s="7"/>
      <c r="E262" s="7"/>
      <c r="F262" s="7"/>
      <c r="G262" s="7"/>
      <c r="H262" s="7"/>
      <c r="I262" s="7"/>
      <c r="J262" s="7"/>
      <c r="K262" s="7"/>
      <c r="L262" s="7"/>
      <c r="M262" s="7"/>
      <c r="N262" s="7"/>
      <c r="O262" s="7"/>
      <c r="P262" s="7"/>
      <c r="Q262" s="7"/>
      <c r="R262" s="7"/>
      <c r="S262" s="7"/>
      <c r="T262" s="7"/>
    </row>
    <row r="263" ht="14.25" customHeight="1">
      <c r="A263" s="7"/>
      <c r="B263" s="7"/>
      <c r="C263" s="7"/>
      <c r="D263" s="7"/>
      <c r="E263" s="7"/>
      <c r="F263" s="7"/>
      <c r="G263" s="7"/>
      <c r="H263" s="7"/>
      <c r="I263" s="7"/>
      <c r="J263" s="7"/>
      <c r="K263" s="7"/>
      <c r="L263" s="7"/>
      <c r="M263" s="7"/>
      <c r="N263" s="7"/>
      <c r="O263" s="7"/>
      <c r="P263" s="7"/>
      <c r="Q263" s="7"/>
      <c r="R263" s="7"/>
      <c r="S263" s="7"/>
      <c r="T263" s="7"/>
    </row>
    <row r="264" ht="14.25" customHeight="1">
      <c r="A264" s="7"/>
      <c r="B264" s="7"/>
      <c r="C264" s="7"/>
      <c r="D264" s="7"/>
      <c r="E264" s="7"/>
      <c r="F264" s="7"/>
      <c r="G264" s="7"/>
      <c r="H264" s="7"/>
      <c r="I264" s="7"/>
      <c r="J264" s="7"/>
      <c r="K264" s="7"/>
      <c r="L264" s="7"/>
      <c r="M264" s="7"/>
      <c r="N264" s="7"/>
      <c r="O264" s="7"/>
      <c r="P264" s="7"/>
      <c r="Q264" s="7"/>
      <c r="R264" s="7"/>
      <c r="S264" s="7"/>
      <c r="T264" s="7"/>
    </row>
    <row r="265" ht="14.25" customHeight="1">
      <c r="A265" s="7"/>
      <c r="B265" s="7"/>
      <c r="C265" s="7"/>
      <c r="D265" s="7"/>
      <c r="E265" s="7"/>
      <c r="F265" s="7"/>
      <c r="G265" s="7"/>
      <c r="H265" s="7"/>
      <c r="I265" s="7"/>
      <c r="J265" s="7"/>
      <c r="K265" s="7"/>
      <c r="L265" s="7"/>
      <c r="M265" s="7"/>
      <c r="N265" s="7"/>
      <c r="O265" s="7"/>
      <c r="P265" s="7"/>
      <c r="Q265" s="7"/>
      <c r="R265" s="7"/>
      <c r="S265" s="7"/>
      <c r="T265" s="7"/>
    </row>
    <row r="266" ht="14.25" customHeight="1">
      <c r="A266" s="7"/>
      <c r="B266" s="7"/>
      <c r="C266" s="7"/>
      <c r="D266" s="7"/>
      <c r="E266" s="7"/>
      <c r="F266" s="7"/>
      <c r="G266" s="7"/>
      <c r="H266" s="7"/>
      <c r="I266" s="7"/>
      <c r="J266" s="7"/>
      <c r="K266" s="7"/>
      <c r="L266" s="7"/>
      <c r="M266" s="7"/>
      <c r="N266" s="7"/>
      <c r="O266" s="7"/>
      <c r="P266" s="7"/>
      <c r="Q266" s="7"/>
      <c r="R266" s="7"/>
      <c r="S266" s="7"/>
      <c r="T266" s="7"/>
    </row>
    <row r="267" ht="14.25" customHeight="1">
      <c r="A267" s="7"/>
      <c r="B267" s="7"/>
      <c r="C267" s="7"/>
      <c r="D267" s="7"/>
      <c r="E267" s="7"/>
      <c r="F267" s="7"/>
      <c r="G267" s="7"/>
      <c r="H267" s="7"/>
      <c r="I267" s="7"/>
      <c r="J267" s="7"/>
      <c r="K267" s="7"/>
      <c r="L267" s="7"/>
      <c r="M267" s="7"/>
      <c r="N267" s="7"/>
      <c r="O267" s="7"/>
      <c r="P267" s="7"/>
      <c r="Q267" s="7"/>
      <c r="R267" s="7"/>
      <c r="S267" s="7"/>
      <c r="T267" s="7"/>
    </row>
    <row r="268" ht="14.25" customHeight="1">
      <c r="A268" s="7"/>
      <c r="B268" s="7"/>
      <c r="C268" s="7"/>
      <c r="D268" s="7"/>
      <c r="E268" s="7"/>
      <c r="F268" s="7"/>
      <c r="G268" s="7"/>
      <c r="H268" s="7"/>
      <c r="I268" s="7"/>
      <c r="J268" s="7"/>
      <c r="K268" s="7"/>
      <c r="L268" s="7"/>
      <c r="M268" s="7"/>
      <c r="N268" s="7"/>
      <c r="O268" s="7"/>
      <c r="P268" s="7"/>
      <c r="Q268" s="7"/>
      <c r="R268" s="7"/>
      <c r="S268" s="7"/>
      <c r="T268" s="7"/>
    </row>
    <row r="269" ht="14.25" customHeight="1">
      <c r="A269" s="7"/>
      <c r="B269" s="7"/>
      <c r="C269" s="7"/>
      <c r="D269" s="7"/>
      <c r="E269" s="7"/>
      <c r="F269" s="7"/>
      <c r="G269" s="7"/>
      <c r="H269" s="7"/>
      <c r="I269" s="7"/>
      <c r="J269" s="7"/>
      <c r="K269" s="7"/>
      <c r="L269" s="7"/>
      <c r="M269" s="7"/>
      <c r="N269" s="7"/>
      <c r="O269" s="7"/>
      <c r="P269" s="7"/>
      <c r="Q269" s="7"/>
      <c r="R269" s="7"/>
      <c r="S269" s="7"/>
      <c r="T269" s="7"/>
    </row>
    <row r="270" ht="14.25" customHeight="1">
      <c r="A270" s="7"/>
      <c r="B270" s="7"/>
      <c r="C270" s="7"/>
      <c r="D270" s="7"/>
      <c r="E270" s="7"/>
      <c r="F270" s="7"/>
      <c r="G270" s="7"/>
      <c r="H270" s="7"/>
      <c r="I270" s="7"/>
      <c r="J270" s="7"/>
      <c r="K270" s="7"/>
      <c r="L270" s="7"/>
      <c r="M270" s="7"/>
      <c r="N270" s="7"/>
      <c r="O270" s="7"/>
      <c r="P270" s="7"/>
      <c r="Q270" s="7"/>
      <c r="R270" s="7"/>
      <c r="S270" s="7"/>
      <c r="T270" s="7"/>
    </row>
    <row r="271" ht="14.25" customHeight="1">
      <c r="A271" s="7"/>
      <c r="B271" s="7"/>
      <c r="C271" s="7"/>
      <c r="D271" s="7"/>
      <c r="E271" s="7"/>
      <c r="F271" s="7"/>
      <c r="G271" s="7"/>
      <c r="H271" s="7"/>
      <c r="I271" s="7"/>
      <c r="J271" s="7"/>
      <c r="K271" s="7"/>
      <c r="L271" s="7"/>
      <c r="M271" s="7"/>
      <c r="N271" s="7"/>
      <c r="O271" s="7"/>
      <c r="P271" s="7"/>
      <c r="Q271" s="7"/>
      <c r="R271" s="7"/>
      <c r="S271" s="7"/>
      <c r="T271" s="7"/>
    </row>
    <row r="272" ht="14.25" customHeight="1">
      <c r="A272" s="7"/>
      <c r="B272" s="7"/>
      <c r="C272" s="7"/>
      <c r="D272" s="7"/>
      <c r="E272" s="7"/>
      <c r="F272" s="7"/>
      <c r="G272" s="7"/>
      <c r="H272" s="7"/>
      <c r="I272" s="7"/>
      <c r="J272" s="7"/>
      <c r="K272" s="7"/>
      <c r="L272" s="7"/>
      <c r="M272" s="7"/>
      <c r="N272" s="7"/>
      <c r="O272" s="7"/>
      <c r="P272" s="7"/>
      <c r="Q272" s="7"/>
      <c r="R272" s="7"/>
      <c r="S272" s="7"/>
      <c r="T272" s="7"/>
    </row>
    <row r="273" ht="14.25" customHeight="1">
      <c r="A273" s="7"/>
      <c r="B273" s="7"/>
      <c r="C273" s="7"/>
      <c r="D273" s="7"/>
      <c r="E273" s="7"/>
      <c r="F273" s="7"/>
      <c r="G273" s="7"/>
      <c r="H273" s="7"/>
      <c r="I273" s="7"/>
      <c r="J273" s="7"/>
      <c r="K273" s="7"/>
      <c r="L273" s="7"/>
      <c r="M273" s="7"/>
      <c r="N273" s="7"/>
      <c r="O273" s="7"/>
      <c r="P273" s="7"/>
      <c r="Q273" s="7"/>
      <c r="R273" s="7"/>
      <c r="S273" s="7"/>
      <c r="T273" s="7"/>
    </row>
    <row r="274" ht="14.25" customHeight="1">
      <c r="A274" s="7"/>
      <c r="B274" s="7"/>
      <c r="C274" s="7"/>
      <c r="D274" s="7"/>
      <c r="E274" s="7"/>
      <c r="F274" s="7"/>
      <c r="G274" s="7"/>
      <c r="H274" s="7"/>
      <c r="I274" s="7"/>
      <c r="J274" s="7"/>
      <c r="K274" s="7"/>
      <c r="L274" s="7"/>
      <c r="M274" s="7"/>
      <c r="N274" s="7"/>
      <c r="O274" s="7"/>
      <c r="P274" s="7"/>
      <c r="Q274" s="7"/>
      <c r="R274" s="7"/>
      <c r="S274" s="7"/>
      <c r="T274" s="7"/>
    </row>
    <row r="275" ht="14.25" customHeight="1">
      <c r="A275" s="7"/>
      <c r="B275" s="7"/>
      <c r="C275" s="7"/>
      <c r="D275" s="7"/>
      <c r="E275" s="7"/>
      <c r="F275" s="7"/>
      <c r="G275" s="7"/>
      <c r="H275" s="7"/>
      <c r="I275" s="7"/>
      <c r="J275" s="7"/>
      <c r="K275" s="7"/>
      <c r="L275" s="7"/>
      <c r="M275" s="7"/>
      <c r="N275" s="7"/>
      <c r="O275" s="7"/>
      <c r="P275" s="7"/>
      <c r="Q275" s="7"/>
      <c r="R275" s="7"/>
      <c r="S275" s="7"/>
      <c r="T275" s="7"/>
    </row>
    <row r="276" ht="14.25" customHeight="1">
      <c r="A276" s="7"/>
      <c r="B276" s="7"/>
      <c r="C276" s="7"/>
      <c r="D276" s="7"/>
      <c r="E276" s="7"/>
      <c r="F276" s="7"/>
      <c r="G276" s="7"/>
      <c r="H276" s="7"/>
      <c r="I276" s="7"/>
      <c r="J276" s="7"/>
      <c r="K276" s="7"/>
      <c r="L276" s="7"/>
      <c r="M276" s="7"/>
      <c r="N276" s="7"/>
      <c r="O276" s="7"/>
      <c r="P276" s="7"/>
      <c r="Q276" s="7"/>
      <c r="R276" s="7"/>
      <c r="S276" s="7"/>
      <c r="T276" s="7"/>
    </row>
    <row r="277" ht="14.25" customHeight="1">
      <c r="A277" s="7"/>
      <c r="B277" s="7"/>
      <c r="C277" s="7"/>
      <c r="D277" s="7"/>
      <c r="E277" s="7"/>
      <c r="F277" s="7"/>
      <c r="G277" s="7"/>
      <c r="H277" s="7"/>
      <c r="I277" s="7"/>
      <c r="J277" s="7"/>
      <c r="K277" s="7"/>
      <c r="L277" s="7"/>
      <c r="M277" s="7"/>
      <c r="N277" s="7"/>
      <c r="O277" s="7"/>
      <c r="P277" s="7"/>
      <c r="Q277" s="7"/>
      <c r="R277" s="7"/>
      <c r="S277" s="7"/>
      <c r="T277" s="7"/>
    </row>
    <row r="278" ht="14.25" customHeight="1">
      <c r="A278" s="7"/>
      <c r="B278" s="7"/>
      <c r="C278" s="7"/>
      <c r="D278" s="7"/>
      <c r="E278" s="7"/>
      <c r="F278" s="7"/>
      <c r="G278" s="7"/>
      <c r="H278" s="7"/>
      <c r="I278" s="7"/>
      <c r="J278" s="7"/>
      <c r="K278" s="7"/>
      <c r="L278" s="7"/>
      <c r="M278" s="7"/>
      <c r="N278" s="7"/>
      <c r="O278" s="7"/>
      <c r="P278" s="7"/>
      <c r="Q278" s="7"/>
      <c r="R278" s="7"/>
      <c r="S278" s="7"/>
      <c r="T278" s="7"/>
    </row>
    <row r="279" ht="14.25" customHeight="1">
      <c r="A279" s="7"/>
      <c r="B279" s="7"/>
      <c r="C279" s="7"/>
      <c r="D279" s="7"/>
      <c r="E279" s="7"/>
      <c r="F279" s="7"/>
      <c r="G279" s="7"/>
      <c r="H279" s="7"/>
      <c r="I279" s="7"/>
      <c r="J279" s="7"/>
      <c r="K279" s="7"/>
      <c r="L279" s="7"/>
      <c r="M279" s="7"/>
      <c r="N279" s="7"/>
      <c r="O279" s="7"/>
      <c r="P279" s="7"/>
      <c r="Q279" s="7"/>
      <c r="R279" s="7"/>
      <c r="S279" s="7"/>
      <c r="T279" s="7"/>
    </row>
    <row r="280" ht="14.25" customHeight="1">
      <c r="A280" s="7"/>
      <c r="B280" s="7"/>
      <c r="C280" s="7"/>
      <c r="D280" s="7"/>
      <c r="E280" s="7"/>
      <c r="F280" s="7"/>
      <c r="G280" s="7"/>
      <c r="H280" s="7"/>
      <c r="I280" s="7"/>
      <c r="J280" s="7"/>
      <c r="K280" s="7"/>
      <c r="L280" s="7"/>
      <c r="M280" s="7"/>
      <c r="N280" s="7"/>
      <c r="O280" s="7"/>
      <c r="P280" s="7"/>
      <c r="Q280" s="7"/>
      <c r="R280" s="7"/>
      <c r="S280" s="7"/>
      <c r="T280" s="7"/>
    </row>
    <row r="281" ht="14.25" customHeight="1">
      <c r="A281" s="7"/>
      <c r="B281" s="7"/>
      <c r="C281" s="7"/>
      <c r="D281" s="7"/>
      <c r="E281" s="7"/>
      <c r="F281" s="7"/>
      <c r="G281" s="7"/>
      <c r="H281" s="7"/>
      <c r="I281" s="7"/>
      <c r="J281" s="7"/>
      <c r="K281" s="7"/>
      <c r="L281" s="7"/>
      <c r="M281" s="7"/>
      <c r="N281" s="7"/>
      <c r="O281" s="7"/>
      <c r="P281" s="7"/>
      <c r="Q281" s="7"/>
      <c r="R281" s="7"/>
      <c r="S281" s="7"/>
      <c r="T281" s="7"/>
    </row>
    <row r="282" ht="14.25" customHeight="1">
      <c r="A282" s="7"/>
      <c r="B282" s="7"/>
      <c r="C282" s="7"/>
      <c r="D282" s="7"/>
      <c r="E282" s="7"/>
      <c r="F282" s="7"/>
      <c r="G282" s="7"/>
      <c r="H282" s="7"/>
      <c r="I282" s="7"/>
      <c r="J282" s="7"/>
      <c r="K282" s="7"/>
      <c r="L282" s="7"/>
      <c r="M282" s="7"/>
      <c r="N282" s="7"/>
      <c r="O282" s="7"/>
      <c r="P282" s="7"/>
      <c r="Q282" s="7"/>
      <c r="R282" s="7"/>
      <c r="S282" s="7"/>
      <c r="T282" s="7"/>
    </row>
    <row r="283" ht="14.25" customHeight="1">
      <c r="A283" s="7"/>
      <c r="B283" s="7"/>
      <c r="C283" s="7"/>
      <c r="D283" s="7"/>
      <c r="E283" s="7"/>
      <c r="F283" s="7"/>
      <c r="G283" s="7"/>
      <c r="H283" s="7"/>
      <c r="I283" s="7"/>
      <c r="J283" s="7"/>
      <c r="K283" s="7"/>
      <c r="L283" s="7"/>
      <c r="M283" s="7"/>
      <c r="N283" s="7"/>
      <c r="O283" s="7"/>
      <c r="P283" s="7"/>
      <c r="Q283" s="7"/>
      <c r="R283" s="7"/>
      <c r="S283" s="7"/>
      <c r="T283" s="7"/>
    </row>
    <row r="284" ht="14.25" customHeight="1">
      <c r="A284" s="7"/>
      <c r="B284" s="7"/>
      <c r="C284" s="7"/>
      <c r="D284" s="7"/>
      <c r="E284" s="7"/>
      <c r="F284" s="7"/>
      <c r="G284" s="7"/>
      <c r="H284" s="7"/>
      <c r="I284" s="7"/>
      <c r="J284" s="7"/>
      <c r="K284" s="7"/>
      <c r="L284" s="7"/>
      <c r="M284" s="7"/>
      <c r="N284" s="7"/>
      <c r="O284" s="7"/>
      <c r="P284" s="7"/>
      <c r="Q284" s="7"/>
      <c r="R284" s="7"/>
      <c r="S284" s="7"/>
      <c r="T284" s="7"/>
    </row>
    <row r="285" ht="14.25" customHeight="1">
      <c r="A285" s="7"/>
      <c r="B285" s="7"/>
      <c r="C285" s="7"/>
      <c r="D285" s="7"/>
      <c r="E285" s="7"/>
      <c r="F285" s="7"/>
      <c r="G285" s="7"/>
      <c r="H285" s="7"/>
      <c r="I285" s="7"/>
      <c r="J285" s="7"/>
      <c r="K285" s="7"/>
      <c r="L285" s="7"/>
      <c r="M285" s="7"/>
      <c r="N285" s="7"/>
      <c r="O285" s="7"/>
      <c r="P285" s="7"/>
      <c r="Q285" s="7"/>
      <c r="R285" s="7"/>
      <c r="S285" s="7"/>
      <c r="T285" s="7"/>
    </row>
    <row r="286" ht="14.25" customHeight="1">
      <c r="A286" s="7"/>
      <c r="B286" s="7"/>
      <c r="C286" s="7"/>
      <c r="D286" s="7"/>
      <c r="E286" s="7"/>
      <c r="F286" s="7"/>
      <c r="G286" s="7"/>
      <c r="H286" s="7"/>
      <c r="I286" s="7"/>
      <c r="J286" s="7"/>
      <c r="K286" s="7"/>
      <c r="L286" s="7"/>
      <c r="M286" s="7"/>
      <c r="N286" s="7"/>
      <c r="O286" s="7"/>
      <c r="P286" s="7"/>
      <c r="Q286" s="7"/>
      <c r="R286" s="7"/>
      <c r="S286" s="7"/>
      <c r="T286" s="7"/>
    </row>
    <row r="287" ht="14.25" customHeight="1">
      <c r="A287" s="7"/>
      <c r="B287" s="7"/>
      <c r="C287" s="7"/>
      <c r="D287" s="7"/>
      <c r="E287" s="7"/>
      <c r="F287" s="7"/>
      <c r="G287" s="7"/>
      <c r="H287" s="7"/>
      <c r="I287" s="7"/>
      <c r="J287" s="7"/>
      <c r="K287" s="7"/>
      <c r="L287" s="7"/>
      <c r="M287" s="7"/>
      <c r="N287" s="7"/>
      <c r="O287" s="7"/>
      <c r="P287" s="7"/>
      <c r="Q287" s="7"/>
      <c r="R287" s="7"/>
      <c r="S287" s="7"/>
      <c r="T287" s="7"/>
    </row>
    <row r="288" ht="14.25" customHeight="1">
      <c r="A288" s="7"/>
      <c r="B288" s="7"/>
      <c r="C288" s="7"/>
      <c r="D288" s="7"/>
      <c r="E288" s="7"/>
      <c r="F288" s="7"/>
      <c r="G288" s="7"/>
      <c r="H288" s="7"/>
      <c r="I288" s="7"/>
      <c r="J288" s="7"/>
      <c r="K288" s="7"/>
      <c r="L288" s="7"/>
      <c r="M288" s="7"/>
      <c r="N288" s="7"/>
      <c r="O288" s="7"/>
      <c r="P288" s="7"/>
      <c r="Q288" s="7"/>
      <c r="R288" s="7"/>
      <c r="S288" s="7"/>
      <c r="T288" s="7"/>
    </row>
    <row r="289" ht="14.25" customHeight="1">
      <c r="A289" s="7"/>
      <c r="B289" s="7"/>
      <c r="C289" s="7"/>
      <c r="D289" s="7"/>
      <c r="E289" s="7"/>
      <c r="F289" s="7"/>
      <c r="G289" s="7"/>
      <c r="H289" s="7"/>
      <c r="I289" s="7"/>
      <c r="J289" s="7"/>
      <c r="K289" s="7"/>
      <c r="L289" s="7"/>
      <c r="M289" s="7"/>
      <c r="N289" s="7"/>
      <c r="O289" s="7"/>
      <c r="P289" s="7"/>
      <c r="Q289" s="7"/>
      <c r="R289" s="7"/>
      <c r="S289" s="7"/>
      <c r="T289" s="7"/>
    </row>
    <row r="290" ht="14.25" customHeight="1">
      <c r="A290" s="7"/>
      <c r="B290" s="7"/>
      <c r="C290" s="7"/>
      <c r="D290" s="7"/>
      <c r="E290" s="7"/>
      <c r="F290" s="7"/>
      <c r="G290" s="7"/>
      <c r="H290" s="7"/>
      <c r="I290" s="7"/>
      <c r="J290" s="7"/>
      <c r="K290" s="7"/>
      <c r="L290" s="7"/>
      <c r="M290" s="7"/>
      <c r="N290" s="7"/>
      <c r="O290" s="7"/>
      <c r="P290" s="7"/>
      <c r="Q290" s="7"/>
      <c r="R290" s="7"/>
      <c r="S290" s="7"/>
      <c r="T290" s="7"/>
    </row>
    <row r="291" ht="14.25" customHeight="1">
      <c r="A291" s="7"/>
      <c r="B291" s="7"/>
      <c r="C291" s="7"/>
      <c r="D291" s="7"/>
      <c r="E291" s="7"/>
      <c r="F291" s="7"/>
      <c r="G291" s="7"/>
      <c r="H291" s="7"/>
      <c r="I291" s="7"/>
      <c r="J291" s="7"/>
      <c r="K291" s="7"/>
      <c r="L291" s="7"/>
      <c r="M291" s="7"/>
      <c r="N291" s="7"/>
      <c r="O291" s="7"/>
      <c r="P291" s="7"/>
      <c r="Q291" s="7"/>
      <c r="R291" s="7"/>
      <c r="S291" s="7"/>
      <c r="T291" s="7"/>
    </row>
    <row r="292" ht="14.25" customHeight="1">
      <c r="A292" s="7"/>
      <c r="B292" s="7"/>
      <c r="C292" s="7"/>
      <c r="D292" s="7"/>
      <c r="E292" s="7"/>
      <c r="F292" s="7"/>
      <c r="G292" s="7"/>
      <c r="H292" s="7"/>
      <c r="I292" s="7"/>
      <c r="J292" s="7"/>
      <c r="K292" s="7"/>
      <c r="L292" s="7"/>
      <c r="M292" s="7"/>
      <c r="N292" s="7"/>
      <c r="O292" s="7"/>
      <c r="P292" s="7"/>
      <c r="Q292" s="7"/>
      <c r="R292" s="7"/>
      <c r="S292" s="7"/>
      <c r="T292" s="7"/>
    </row>
    <row r="293" ht="14.25" customHeight="1">
      <c r="A293" s="7"/>
      <c r="B293" s="7"/>
      <c r="C293" s="7"/>
      <c r="D293" s="7"/>
      <c r="E293" s="7"/>
      <c r="F293" s="7"/>
      <c r="G293" s="7"/>
      <c r="H293" s="7"/>
      <c r="I293" s="7"/>
      <c r="J293" s="7"/>
      <c r="K293" s="7"/>
      <c r="L293" s="7"/>
      <c r="M293" s="7"/>
      <c r="N293" s="7"/>
      <c r="O293" s="7"/>
      <c r="P293" s="7"/>
      <c r="Q293" s="7"/>
      <c r="R293" s="7"/>
      <c r="S293" s="7"/>
      <c r="T293" s="7"/>
    </row>
    <row r="294" ht="14.25" customHeight="1">
      <c r="A294" s="7"/>
      <c r="B294" s="7"/>
      <c r="C294" s="7"/>
      <c r="D294" s="7"/>
      <c r="E294" s="7"/>
      <c r="F294" s="7"/>
      <c r="G294" s="7"/>
      <c r="H294" s="7"/>
      <c r="I294" s="7"/>
      <c r="J294" s="7"/>
      <c r="K294" s="7"/>
      <c r="L294" s="7"/>
      <c r="M294" s="7"/>
      <c r="N294" s="7"/>
      <c r="O294" s="7"/>
      <c r="P294" s="7"/>
      <c r="Q294" s="7"/>
      <c r="R294" s="7"/>
      <c r="S294" s="7"/>
      <c r="T294" s="7"/>
    </row>
    <row r="295" ht="14.25" customHeight="1">
      <c r="A295" s="7"/>
      <c r="B295" s="7"/>
      <c r="C295" s="7"/>
      <c r="D295" s="7"/>
      <c r="E295" s="7"/>
      <c r="F295" s="7"/>
      <c r="G295" s="7"/>
      <c r="H295" s="7"/>
      <c r="I295" s="7"/>
      <c r="J295" s="7"/>
      <c r="K295" s="7"/>
      <c r="L295" s="7"/>
      <c r="M295" s="7"/>
      <c r="N295" s="7"/>
      <c r="O295" s="7"/>
      <c r="P295" s="7"/>
      <c r="Q295" s="7"/>
      <c r="R295" s="7"/>
      <c r="S295" s="7"/>
      <c r="T295" s="7"/>
    </row>
    <row r="296" ht="14.25" customHeight="1">
      <c r="A296" s="7"/>
      <c r="B296" s="7"/>
      <c r="C296" s="7"/>
      <c r="D296" s="7"/>
      <c r="E296" s="7"/>
      <c r="F296" s="7"/>
      <c r="G296" s="7"/>
      <c r="H296" s="7"/>
      <c r="I296" s="7"/>
      <c r="J296" s="7"/>
      <c r="K296" s="7"/>
      <c r="L296" s="7"/>
      <c r="M296" s="7"/>
      <c r="N296" s="7"/>
      <c r="O296" s="7"/>
      <c r="P296" s="7"/>
      <c r="Q296" s="7"/>
      <c r="R296" s="7"/>
      <c r="S296" s="7"/>
      <c r="T296" s="7"/>
    </row>
    <row r="297" ht="14.25" customHeight="1">
      <c r="A297" s="7"/>
      <c r="B297" s="7"/>
      <c r="C297" s="7"/>
      <c r="D297" s="7"/>
      <c r="E297" s="7"/>
      <c r="F297" s="7"/>
      <c r="G297" s="7"/>
      <c r="H297" s="7"/>
      <c r="I297" s="7"/>
      <c r="J297" s="7"/>
      <c r="K297" s="7"/>
      <c r="L297" s="7"/>
      <c r="M297" s="7"/>
      <c r="N297" s="7"/>
      <c r="O297" s="7"/>
      <c r="P297" s="7"/>
      <c r="Q297" s="7"/>
      <c r="R297" s="7"/>
      <c r="S297" s="7"/>
      <c r="T297" s="7"/>
    </row>
    <row r="298" ht="14.25" customHeight="1">
      <c r="A298" s="7"/>
      <c r="B298" s="7"/>
      <c r="C298" s="7"/>
      <c r="D298" s="7"/>
      <c r="E298" s="7"/>
      <c r="F298" s="7"/>
      <c r="G298" s="7"/>
      <c r="H298" s="7"/>
      <c r="I298" s="7"/>
      <c r="J298" s="7"/>
      <c r="K298" s="7"/>
      <c r="L298" s="7"/>
      <c r="M298" s="7"/>
      <c r="N298" s="7"/>
      <c r="O298" s="7"/>
      <c r="P298" s="7"/>
      <c r="Q298" s="7"/>
      <c r="R298" s="7"/>
      <c r="S298" s="7"/>
      <c r="T298" s="7"/>
    </row>
    <row r="299" ht="14.25" customHeight="1">
      <c r="A299" s="7"/>
      <c r="B299" s="7"/>
      <c r="C299" s="7"/>
      <c r="D299" s="7"/>
      <c r="E299" s="7"/>
      <c r="F299" s="7"/>
      <c r="G299" s="7"/>
      <c r="H299" s="7"/>
      <c r="I299" s="7"/>
      <c r="J299" s="7"/>
      <c r="K299" s="7"/>
      <c r="L299" s="7"/>
      <c r="M299" s="7"/>
      <c r="N299" s="7"/>
      <c r="O299" s="7"/>
      <c r="P299" s="7"/>
      <c r="Q299" s="7"/>
      <c r="R299" s="7"/>
      <c r="S299" s="7"/>
      <c r="T299" s="7"/>
    </row>
    <row r="300" ht="14.25" customHeight="1">
      <c r="A300" s="7"/>
      <c r="B300" s="7"/>
      <c r="C300" s="7"/>
      <c r="D300" s="7"/>
      <c r="E300" s="7"/>
      <c r="F300" s="7"/>
      <c r="G300" s="7"/>
      <c r="H300" s="7"/>
      <c r="I300" s="7"/>
      <c r="J300" s="7"/>
      <c r="K300" s="7"/>
      <c r="L300" s="7"/>
      <c r="M300" s="7"/>
      <c r="N300" s="7"/>
      <c r="O300" s="7"/>
      <c r="P300" s="7"/>
      <c r="Q300" s="7"/>
      <c r="R300" s="7"/>
      <c r="S300" s="7"/>
      <c r="T300" s="7"/>
    </row>
    <row r="301" ht="14.25" customHeight="1">
      <c r="A301" s="7"/>
      <c r="B301" s="7"/>
      <c r="C301" s="7"/>
      <c r="D301" s="7"/>
      <c r="E301" s="7"/>
      <c r="F301" s="7"/>
      <c r="G301" s="7"/>
      <c r="H301" s="7"/>
      <c r="I301" s="7"/>
      <c r="J301" s="7"/>
      <c r="K301" s="7"/>
      <c r="L301" s="7"/>
      <c r="M301" s="7"/>
      <c r="N301" s="7"/>
      <c r="O301" s="7"/>
      <c r="P301" s="7"/>
      <c r="Q301" s="7"/>
      <c r="R301" s="7"/>
      <c r="S301" s="7"/>
      <c r="T301" s="7"/>
    </row>
    <row r="302" ht="14.25" customHeight="1">
      <c r="A302" s="7"/>
      <c r="B302" s="7"/>
      <c r="C302" s="7"/>
      <c r="D302" s="7"/>
      <c r="E302" s="7"/>
      <c r="F302" s="7"/>
      <c r="G302" s="7"/>
      <c r="H302" s="7"/>
      <c r="I302" s="7"/>
      <c r="J302" s="7"/>
      <c r="K302" s="7"/>
      <c r="L302" s="7"/>
      <c r="M302" s="7"/>
      <c r="N302" s="7"/>
      <c r="O302" s="7"/>
      <c r="P302" s="7"/>
      <c r="Q302" s="7"/>
      <c r="R302" s="7"/>
      <c r="S302" s="7"/>
      <c r="T302" s="7"/>
    </row>
    <row r="303" ht="14.25" customHeight="1">
      <c r="A303" s="7"/>
      <c r="B303" s="7"/>
      <c r="C303" s="7"/>
      <c r="D303" s="7"/>
      <c r="E303" s="7"/>
      <c r="F303" s="7"/>
      <c r="G303" s="7"/>
      <c r="H303" s="7"/>
      <c r="I303" s="7"/>
      <c r="J303" s="7"/>
      <c r="K303" s="7"/>
      <c r="L303" s="7"/>
      <c r="M303" s="7"/>
      <c r="N303" s="7"/>
      <c r="O303" s="7"/>
      <c r="P303" s="7"/>
      <c r="Q303" s="7"/>
      <c r="R303" s="7"/>
      <c r="S303" s="7"/>
      <c r="T303" s="7"/>
    </row>
    <row r="304" ht="14.25" customHeight="1">
      <c r="A304" s="7"/>
      <c r="B304" s="7"/>
      <c r="C304" s="7"/>
      <c r="D304" s="7"/>
      <c r="E304" s="7"/>
      <c r="F304" s="7"/>
      <c r="G304" s="7"/>
      <c r="H304" s="7"/>
      <c r="I304" s="7"/>
      <c r="J304" s="7"/>
      <c r="K304" s="7"/>
      <c r="L304" s="7"/>
      <c r="M304" s="7"/>
      <c r="N304" s="7"/>
      <c r="O304" s="7"/>
      <c r="P304" s="7"/>
      <c r="Q304" s="7"/>
      <c r="R304" s="7"/>
      <c r="S304" s="7"/>
      <c r="T304" s="7"/>
    </row>
    <row r="305" ht="14.25" customHeight="1">
      <c r="A305" s="7"/>
      <c r="B305" s="7"/>
      <c r="C305" s="7"/>
      <c r="D305" s="7"/>
      <c r="E305" s="7"/>
      <c r="F305" s="7"/>
      <c r="G305" s="7"/>
      <c r="H305" s="7"/>
      <c r="I305" s="7"/>
      <c r="J305" s="7"/>
      <c r="K305" s="7"/>
      <c r="L305" s="7"/>
      <c r="M305" s="7"/>
      <c r="N305" s="7"/>
      <c r="O305" s="7"/>
      <c r="P305" s="7"/>
      <c r="Q305" s="7"/>
      <c r="R305" s="7"/>
      <c r="S305" s="7"/>
      <c r="T305" s="7"/>
    </row>
    <row r="306" ht="14.25" customHeight="1">
      <c r="A306" s="7"/>
      <c r="B306" s="7"/>
      <c r="C306" s="7"/>
      <c r="D306" s="7"/>
      <c r="E306" s="7"/>
      <c r="F306" s="7"/>
      <c r="G306" s="7"/>
      <c r="H306" s="7"/>
      <c r="I306" s="7"/>
      <c r="J306" s="7"/>
      <c r="K306" s="7"/>
      <c r="L306" s="7"/>
      <c r="M306" s="7"/>
      <c r="N306" s="7"/>
      <c r="O306" s="7"/>
      <c r="P306" s="7"/>
      <c r="Q306" s="7"/>
      <c r="R306" s="7"/>
      <c r="S306" s="7"/>
      <c r="T306" s="7"/>
    </row>
    <row r="307" ht="14.25" customHeight="1">
      <c r="A307" s="7"/>
      <c r="B307" s="7"/>
      <c r="C307" s="7"/>
      <c r="D307" s="7"/>
      <c r="E307" s="7"/>
      <c r="F307" s="7"/>
      <c r="G307" s="7"/>
      <c r="H307" s="7"/>
      <c r="I307" s="7"/>
      <c r="J307" s="7"/>
      <c r="K307" s="7"/>
      <c r="L307" s="7"/>
      <c r="M307" s="7"/>
      <c r="N307" s="7"/>
      <c r="O307" s="7"/>
      <c r="P307" s="7"/>
      <c r="Q307" s="7"/>
      <c r="R307" s="7"/>
      <c r="S307" s="7"/>
      <c r="T307" s="7"/>
    </row>
    <row r="308" ht="14.25" customHeight="1">
      <c r="A308" s="7"/>
      <c r="B308" s="7"/>
      <c r="C308" s="7"/>
      <c r="D308" s="7"/>
      <c r="E308" s="7"/>
      <c r="F308" s="7"/>
      <c r="G308" s="7"/>
      <c r="H308" s="7"/>
      <c r="I308" s="7"/>
      <c r="J308" s="7"/>
      <c r="K308" s="7"/>
      <c r="L308" s="7"/>
      <c r="M308" s="7"/>
      <c r="N308" s="7"/>
      <c r="O308" s="7"/>
      <c r="P308" s="7"/>
      <c r="Q308" s="7"/>
      <c r="R308" s="7"/>
      <c r="S308" s="7"/>
      <c r="T308" s="7"/>
    </row>
    <row r="309" ht="14.25" customHeight="1">
      <c r="A309" s="7"/>
      <c r="B309" s="7"/>
      <c r="C309" s="7"/>
      <c r="D309" s="7"/>
      <c r="E309" s="7"/>
      <c r="F309" s="7"/>
      <c r="G309" s="7"/>
      <c r="H309" s="7"/>
      <c r="I309" s="7"/>
      <c r="J309" s="7"/>
      <c r="K309" s="7"/>
      <c r="L309" s="7"/>
      <c r="M309" s="7"/>
      <c r="N309" s="7"/>
      <c r="O309" s="7"/>
      <c r="P309" s="7"/>
      <c r="Q309" s="7"/>
      <c r="R309" s="7"/>
      <c r="S309" s="7"/>
      <c r="T309" s="7"/>
    </row>
    <row r="310" ht="14.25" customHeight="1">
      <c r="A310" s="7"/>
      <c r="B310" s="7"/>
      <c r="C310" s="7"/>
      <c r="D310" s="7"/>
      <c r="E310" s="7"/>
      <c r="F310" s="7"/>
      <c r="G310" s="7"/>
      <c r="H310" s="7"/>
      <c r="I310" s="7"/>
      <c r="J310" s="7"/>
      <c r="K310" s="7"/>
      <c r="L310" s="7"/>
      <c r="M310" s="7"/>
      <c r="N310" s="7"/>
      <c r="O310" s="7"/>
      <c r="P310" s="7"/>
      <c r="Q310" s="7"/>
      <c r="R310" s="7"/>
      <c r="S310" s="7"/>
      <c r="T310" s="7"/>
    </row>
    <row r="311" ht="14.25" customHeight="1">
      <c r="A311" s="7"/>
      <c r="B311" s="7"/>
      <c r="C311" s="7"/>
      <c r="D311" s="7"/>
      <c r="E311" s="7"/>
      <c r="F311" s="7"/>
      <c r="G311" s="7"/>
      <c r="H311" s="7"/>
      <c r="I311" s="7"/>
      <c r="J311" s="7"/>
      <c r="K311" s="7"/>
      <c r="L311" s="7"/>
      <c r="M311" s="7"/>
      <c r="N311" s="7"/>
      <c r="O311" s="7"/>
      <c r="P311" s="7"/>
      <c r="Q311" s="7"/>
      <c r="R311" s="7"/>
      <c r="S311" s="7"/>
      <c r="T311" s="7"/>
    </row>
    <row r="312" ht="14.25" customHeight="1">
      <c r="A312" s="7"/>
      <c r="B312" s="7"/>
      <c r="C312" s="7"/>
      <c r="D312" s="7"/>
      <c r="E312" s="7"/>
      <c r="F312" s="7"/>
      <c r="G312" s="7"/>
      <c r="H312" s="7"/>
      <c r="I312" s="7"/>
      <c r="J312" s="7"/>
      <c r="K312" s="7"/>
      <c r="L312" s="7"/>
      <c r="M312" s="7"/>
      <c r="N312" s="7"/>
      <c r="O312" s="7"/>
      <c r="P312" s="7"/>
      <c r="Q312" s="7"/>
      <c r="R312" s="7"/>
      <c r="S312" s="7"/>
      <c r="T312" s="7"/>
    </row>
    <row r="313" ht="14.25" customHeight="1">
      <c r="A313" s="7"/>
      <c r="B313" s="7"/>
      <c r="C313" s="7"/>
      <c r="D313" s="7"/>
      <c r="E313" s="7"/>
      <c r="F313" s="7"/>
      <c r="G313" s="7"/>
      <c r="H313" s="7"/>
      <c r="I313" s="7"/>
      <c r="J313" s="7"/>
      <c r="K313" s="7"/>
      <c r="L313" s="7"/>
      <c r="M313" s="7"/>
      <c r="N313" s="7"/>
      <c r="O313" s="7"/>
      <c r="P313" s="7"/>
      <c r="Q313" s="7"/>
      <c r="R313" s="7"/>
      <c r="S313" s="7"/>
      <c r="T313" s="7"/>
    </row>
    <row r="314" ht="14.25" customHeight="1">
      <c r="A314" s="7"/>
      <c r="B314" s="7"/>
      <c r="C314" s="7"/>
      <c r="D314" s="7"/>
      <c r="E314" s="7"/>
      <c r="F314" s="7"/>
      <c r="G314" s="7"/>
      <c r="H314" s="7"/>
      <c r="I314" s="7"/>
      <c r="J314" s="7"/>
      <c r="K314" s="7"/>
      <c r="L314" s="7"/>
      <c r="M314" s="7"/>
      <c r="N314" s="7"/>
      <c r="O314" s="7"/>
      <c r="P314" s="7"/>
      <c r="Q314" s="7"/>
      <c r="R314" s="7"/>
      <c r="S314" s="7"/>
      <c r="T314" s="7"/>
    </row>
    <row r="315" ht="14.25" customHeight="1">
      <c r="A315" s="7"/>
      <c r="B315" s="7"/>
      <c r="C315" s="7"/>
      <c r="D315" s="7"/>
      <c r="E315" s="7"/>
      <c r="F315" s="7"/>
      <c r="G315" s="7"/>
      <c r="H315" s="7"/>
      <c r="I315" s="7"/>
      <c r="J315" s="7"/>
      <c r="K315" s="7"/>
      <c r="L315" s="7"/>
      <c r="M315" s="7"/>
      <c r="N315" s="7"/>
      <c r="O315" s="7"/>
      <c r="P315" s="7"/>
      <c r="Q315" s="7"/>
      <c r="R315" s="7"/>
      <c r="S315" s="7"/>
      <c r="T315" s="7"/>
    </row>
    <row r="316" ht="14.25" customHeight="1">
      <c r="A316" s="7"/>
      <c r="B316" s="7"/>
      <c r="C316" s="7"/>
      <c r="D316" s="7"/>
      <c r="E316" s="7"/>
      <c r="F316" s="7"/>
      <c r="G316" s="7"/>
      <c r="H316" s="7"/>
      <c r="I316" s="7"/>
      <c r="J316" s="7"/>
      <c r="K316" s="7"/>
      <c r="L316" s="7"/>
      <c r="M316" s="7"/>
      <c r="N316" s="7"/>
      <c r="O316" s="7"/>
      <c r="P316" s="7"/>
      <c r="Q316" s="7"/>
      <c r="R316" s="7"/>
      <c r="S316" s="7"/>
      <c r="T316" s="7"/>
    </row>
    <row r="317" ht="14.25" customHeight="1">
      <c r="A317" s="7"/>
      <c r="B317" s="7"/>
      <c r="C317" s="7"/>
      <c r="D317" s="7"/>
      <c r="E317" s="7"/>
      <c r="F317" s="7"/>
      <c r="G317" s="7"/>
      <c r="H317" s="7"/>
      <c r="I317" s="7"/>
      <c r="J317" s="7"/>
      <c r="K317" s="7"/>
      <c r="L317" s="7"/>
      <c r="M317" s="7"/>
      <c r="N317" s="7"/>
      <c r="O317" s="7"/>
      <c r="P317" s="7"/>
      <c r="Q317" s="7"/>
      <c r="R317" s="7"/>
      <c r="S317" s="7"/>
      <c r="T317" s="7"/>
    </row>
    <row r="318" ht="14.25" customHeight="1">
      <c r="A318" s="7"/>
      <c r="B318" s="7"/>
      <c r="C318" s="7"/>
      <c r="D318" s="7"/>
      <c r="E318" s="7"/>
      <c r="F318" s="7"/>
      <c r="G318" s="7"/>
      <c r="H318" s="7"/>
      <c r="I318" s="7"/>
      <c r="J318" s="7"/>
      <c r="K318" s="7"/>
      <c r="L318" s="7"/>
      <c r="M318" s="7"/>
      <c r="N318" s="7"/>
      <c r="O318" s="7"/>
      <c r="P318" s="7"/>
      <c r="Q318" s="7"/>
      <c r="R318" s="7"/>
      <c r="S318" s="7"/>
      <c r="T318" s="7"/>
    </row>
    <row r="319" ht="14.25" customHeight="1">
      <c r="A319" s="7"/>
      <c r="B319" s="7"/>
      <c r="C319" s="7"/>
      <c r="D319" s="7"/>
      <c r="E319" s="7"/>
      <c r="F319" s="7"/>
      <c r="G319" s="7"/>
      <c r="H319" s="7"/>
      <c r="I319" s="7"/>
      <c r="J319" s="7"/>
      <c r="K319" s="7"/>
      <c r="L319" s="7"/>
      <c r="M319" s="7"/>
      <c r="N319" s="7"/>
      <c r="O319" s="7"/>
      <c r="P319" s="7"/>
      <c r="Q319" s="7"/>
      <c r="R319" s="7"/>
      <c r="S319" s="7"/>
      <c r="T319" s="7"/>
    </row>
    <row r="320" ht="14.25" customHeight="1">
      <c r="A320" s="7"/>
      <c r="B320" s="7"/>
      <c r="C320" s="7"/>
      <c r="D320" s="7"/>
      <c r="E320" s="7"/>
      <c r="F320" s="7"/>
      <c r="G320" s="7"/>
      <c r="H320" s="7"/>
      <c r="I320" s="7"/>
      <c r="J320" s="7"/>
      <c r="K320" s="7"/>
      <c r="L320" s="7"/>
      <c r="M320" s="7"/>
      <c r="N320" s="7"/>
      <c r="O320" s="7"/>
      <c r="P320" s="7"/>
      <c r="Q320" s="7"/>
      <c r="R320" s="7"/>
      <c r="S320" s="7"/>
      <c r="T320" s="7"/>
    </row>
    <row r="321" ht="14.25" customHeight="1">
      <c r="A321" s="7"/>
      <c r="B321" s="7"/>
      <c r="C321" s="7"/>
      <c r="D321" s="7"/>
      <c r="E321" s="7"/>
      <c r="F321" s="7"/>
      <c r="G321" s="7"/>
      <c r="H321" s="7"/>
      <c r="I321" s="7"/>
      <c r="J321" s="7"/>
      <c r="K321" s="7"/>
      <c r="L321" s="7"/>
      <c r="M321" s="7"/>
      <c r="N321" s="7"/>
      <c r="O321" s="7"/>
      <c r="P321" s="7"/>
      <c r="Q321" s="7"/>
      <c r="R321" s="7"/>
      <c r="S321" s="7"/>
      <c r="T321" s="7"/>
    </row>
    <row r="322" ht="14.25" customHeight="1">
      <c r="A322" s="7"/>
      <c r="B322" s="7"/>
      <c r="C322" s="7"/>
      <c r="D322" s="7"/>
      <c r="E322" s="7"/>
      <c r="F322" s="7"/>
      <c r="G322" s="7"/>
      <c r="H322" s="7"/>
      <c r="I322" s="7"/>
      <c r="J322" s="7"/>
      <c r="K322" s="7"/>
      <c r="L322" s="7"/>
      <c r="M322" s="7"/>
      <c r="N322" s="7"/>
      <c r="O322" s="7"/>
      <c r="P322" s="7"/>
      <c r="Q322" s="7"/>
      <c r="R322" s="7"/>
      <c r="S322" s="7"/>
      <c r="T322" s="7"/>
    </row>
    <row r="323" ht="14.25" customHeight="1">
      <c r="A323" s="7"/>
      <c r="B323" s="7"/>
      <c r="C323" s="7"/>
      <c r="D323" s="7"/>
      <c r="E323" s="7"/>
      <c r="F323" s="7"/>
      <c r="G323" s="7"/>
      <c r="H323" s="7"/>
      <c r="I323" s="7"/>
      <c r="J323" s="7"/>
      <c r="K323" s="7"/>
      <c r="L323" s="7"/>
      <c r="M323" s="7"/>
      <c r="N323" s="7"/>
      <c r="O323" s="7"/>
      <c r="P323" s="7"/>
      <c r="Q323" s="7"/>
      <c r="R323" s="7"/>
      <c r="S323" s="7"/>
      <c r="T323" s="7"/>
    </row>
    <row r="324" ht="14.25" customHeight="1">
      <c r="A324" s="7"/>
      <c r="B324" s="7"/>
      <c r="C324" s="7"/>
      <c r="D324" s="7"/>
      <c r="E324" s="7"/>
      <c r="F324" s="7"/>
      <c r="G324" s="7"/>
      <c r="H324" s="7"/>
      <c r="I324" s="7"/>
      <c r="J324" s="7"/>
      <c r="K324" s="7"/>
      <c r="L324" s="7"/>
      <c r="M324" s="7"/>
      <c r="N324" s="7"/>
      <c r="O324" s="7"/>
      <c r="P324" s="7"/>
      <c r="Q324" s="7"/>
      <c r="R324" s="7"/>
      <c r="S324" s="7"/>
      <c r="T324" s="7"/>
    </row>
    <row r="325" ht="14.25" customHeight="1">
      <c r="A325" s="7"/>
      <c r="B325" s="7"/>
      <c r="C325" s="7"/>
      <c r="D325" s="7"/>
      <c r="E325" s="7"/>
      <c r="F325" s="7"/>
      <c r="G325" s="7"/>
      <c r="H325" s="7"/>
      <c r="I325" s="7"/>
      <c r="J325" s="7"/>
      <c r="K325" s="7"/>
      <c r="L325" s="7"/>
      <c r="M325" s="7"/>
      <c r="N325" s="7"/>
      <c r="O325" s="7"/>
      <c r="P325" s="7"/>
      <c r="Q325" s="7"/>
      <c r="R325" s="7"/>
      <c r="S325" s="7"/>
      <c r="T325" s="7"/>
    </row>
    <row r="326" ht="14.25" customHeight="1">
      <c r="A326" s="7"/>
      <c r="B326" s="7"/>
      <c r="C326" s="7"/>
      <c r="D326" s="7"/>
      <c r="E326" s="7"/>
      <c r="F326" s="7"/>
      <c r="G326" s="7"/>
      <c r="H326" s="7"/>
      <c r="I326" s="7"/>
      <c r="J326" s="7"/>
      <c r="K326" s="7"/>
      <c r="L326" s="7"/>
      <c r="M326" s="7"/>
      <c r="N326" s="7"/>
      <c r="O326" s="7"/>
      <c r="P326" s="7"/>
      <c r="Q326" s="7"/>
      <c r="R326" s="7"/>
      <c r="S326" s="7"/>
      <c r="T326" s="7"/>
    </row>
    <row r="327" ht="14.25" customHeight="1">
      <c r="A327" s="7"/>
      <c r="B327" s="7"/>
      <c r="C327" s="7"/>
      <c r="D327" s="7"/>
      <c r="E327" s="7"/>
      <c r="F327" s="7"/>
      <c r="G327" s="7"/>
      <c r="H327" s="7"/>
      <c r="I327" s="7"/>
      <c r="J327" s="7"/>
      <c r="K327" s="7"/>
      <c r="L327" s="7"/>
      <c r="M327" s="7"/>
      <c r="N327" s="7"/>
      <c r="O327" s="7"/>
      <c r="P327" s="7"/>
      <c r="Q327" s="7"/>
      <c r="R327" s="7"/>
      <c r="S327" s="7"/>
      <c r="T327" s="7"/>
    </row>
    <row r="328" ht="14.25" customHeight="1">
      <c r="A328" s="7"/>
      <c r="B328" s="7"/>
      <c r="C328" s="7"/>
      <c r="D328" s="7"/>
      <c r="E328" s="7"/>
      <c r="F328" s="7"/>
      <c r="G328" s="7"/>
      <c r="H328" s="7"/>
      <c r="I328" s="7"/>
      <c r="J328" s="7"/>
      <c r="K328" s="7"/>
      <c r="L328" s="7"/>
      <c r="M328" s="7"/>
      <c r="N328" s="7"/>
      <c r="O328" s="7"/>
      <c r="P328" s="7"/>
      <c r="Q328" s="7"/>
      <c r="R328" s="7"/>
      <c r="S328" s="7"/>
      <c r="T328" s="7"/>
    </row>
    <row r="329" ht="14.25" customHeight="1">
      <c r="A329" s="7"/>
      <c r="B329" s="7"/>
      <c r="C329" s="7"/>
      <c r="D329" s="7"/>
      <c r="E329" s="7"/>
      <c r="F329" s="7"/>
      <c r="G329" s="7"/>
      <c r="H329" s="7"/>
      <c r="I329" s="7"/>
      <c r="J329" s="7"/>
      <c r="K329" s="7"/>
      <c r="L329" s="7"/>
      <c r="M329" s="7"/>
      <c r="N329" s="7"/>
      <c r="O329" s="7"/>
      <c r="P329" s="7"/>
      <c r="Q329" s="7"/>
      <c r="R329" s="7"/>
      <c r="S329" s="7"/>
      <c r="T329" s="7"/>
    </row>
    <row r="330" ht="14.25" customHeight="1">
      <c r="A330" s="7"/>
      <c r="B330" s="7"/>
      <c r="C330" s="7"/>
      <c r="D330" s="7"/>
      <c r="E330" s="7"/>
      <c r="F330" s="7"/>
      <c r="G330" s="7"/>
      <c r="H330" s="7"/>
      <c r="I330" s="7"/>
      <c r="J330" s="7"/>
      <c r="K330" s="7"/>
      <c r="L330" s="7"/>
      <c r="M330" s="7"/>
      <c r="N330" s="7"/>
      <c r="O330" s="7"/>
      <c r="P330" s="7"/>
      <c r="Q330" s="7"/>
      <c r="R330" s="7"/>
      <c r="S330" s="7"/>
      <c r="T330" s="7"/>
    </row>
    <row r="331" ht="14.25" customHeight="1">
      <c r="A331" s="7"/>
      <c r="B331" s="7"/>
      <c r="C331" s="7"/>
      <c r="D331" s="7"/>
      <c r="E331" s="7"/>
      <c r="F331" s="7"/>
      <c r="G331" s="7"/>
      <c r="H331" s="7"/>
      <c r="I331" s="7"/>
      <c r="J331" s="7"/>
      <c r="K331" s="7"/>
      <c r="L331" s="7"/>
      <c r="M331" s="7"/>
      <c r="N331" s="7"/>
      <c r="O331" s="7"/>
      <c r="P331" s="7"/>
      <c r="Q331" s="7"/>
      <c r="R331" s="7"/>
      <c r="S331" s="7"/>
      <c r="T331" s="7"/>
    </row>
    <row r="332" ht="14.25" customHeight="1">
      <c r="A332" s="7"/>
      <c r="B332" s="7"/>
      <c r="C332" s="7"/>
      <c r="D332" s="7"/>
      <c r="E332" s="7"/>
      <c r="F332" s="7"/>
      <c r="G332" s="7"/>
      <c r="H332" s="7"/>
      <c r="I332" s="7"/>
      <c r="J332" s="7"/>
      <c r="K332" s="7"/>
      <c r="L332" s="7"/>
      <c r="M332" s="7"/>
      <c r="N332" s="7"/>
      <c r="O332" s="7"/>
      <c r="P332" s="7"/>
      <c r="Q332" s="7"/>
      <c r="R332" s="7"/>
      <c r="S332" s="7"/>
      <c r="T332" s="7"/>
    </row>
    <row r="333" ht="14.25" customHeight="1">
      <c r="A333" s="7"/>
      <c r="B333" s="7"/>
      <c r="C333" s="7"/>
      <c r="D333" s="7"/>
      <c r="E333" s="7"/>
      <c r="F333" s="7"/>
      <c r="G333" s="7"/>
      <c r="H333" s="7"/>
      <c r="I333" s="7"/>
      <c r="J333" s="7"/>
      <c r="K333" s="7"/>
      <c r="L333" s="7"/>
      <c r="M333" s="7"/>
      <c r="N333" s="7"/>
      <c r="O333" s="7"/>
      <c r="P333" s="7"/>
      <c r="Q333" s="7"/>
      <c r="R333" s="7"/>
      <c r="S333" s="7"/>
      <c r="T333" s="7"/>
    </row>
    <row r="334" ht="14.25" customHeight="1">
      <c r="A334" s="7"/>
      <c r="B334" s="7"/>
      <c r="C334" s="7"/>
      <c r="D334" s="7"/>
      <c r="E334" s="7"/>
      <c r="F334" s="7"/>
      <c r="G334" s="7"/>
      <c r="H334" s="7"/>
      <c r="I334" s="7"/>
      <c r="J334" s="7"/>
      <c r="K334" s="7"/>
      <c r="L334" s="7"/>
      <c r="M334" s="7"/>
      <c r="N334" s="7"/>
      <c r="O334" s="7"/>
      <c r="P334" s="7"/>
      <c r="Q334" s="7"/>
      <c r="R334" s="7"/>
      <c r="S334" s="7"/>
      <c r="T334" s="7"/>
    </row>
    <row r="335" ht="14.25" customHeight="1">
      <c r="A335" s="7"/>
      <c r="B335" s="7"/>
      <c r="C335" s="7"/>
      <c r="D335" s="7"/>
      <c r="E335" s="7"/>
      <c r="F335" s="7"/>
      <c r="G335" s="7"/>
      <c r="H335" s="7"/>
      <c r="I335" s="7"/>
      <c r="J335" s="7"/>
      <c r="K335" s="7"/>
      <c r="L335" s="7"/>
      <c r="M335" s="7"/>
      <c r="N335" s="7"/>
      <c r="O335" s="7"/>
      <c r="P335" s="7"/>
      <c r="Q335" s="7"/>
      <c r="R335" s="7"/>
      <c r="S335" s="7"/>
      <c r="T335" s="7"/>
    </row>
    <row r="336" ht="14.25" customHeight="1">
      <c r="A336" s="7"/>
      <c r="B336" s="7"/>
      <c r="C336" s="7"/>
      <c r="D336" s="7"/>
      <c r="E336" s="7"/>
      <c r="F336" s="7"/>
      <c r="G336" s="7"/>
      <c r="H336" s="7"/>
      <c r="I336" s="7"/>
      <c r="J336" s="7"/>
      <c r="K336" s="7"/>
      <c r="L336" s="7"/>
      <c r="M336" s="7"/>
      <c r="N336" s="7"/>
      <c r="O336" s="7"/>
      <c r="P336" s="7"/>
      <c r="Q336" s="7"/>
      <c r="R336" s="7"/>
      <c r="S336" s="7"/>
      <c r="T336" s="7"/>
    </row>
    <row r="337" ht="14.25" customHeight="1">
      <c r="A337" s="7"/>
      <c r="B337" s="7"/>
      <c r="C337" s="7"/>
      <c r="D337" s="7"/>
      <c r="E337" s="7"/>
      <c r="F337" s="7"/>
      <c r="G337" s="7"/>
      <c r="H337" s="7"/>
      <c r="I337" s="7"/>
      <c r="J337" s="7"/>
      <c r="K337" s="7"/>
      <c r="L337" s="7"/>
      <c r="M337" s="7"/>
      <c r="N337" s="7"/>
      <c r="O337" s="7"/>
      <c r="P337" s="7"/>
      <c r="Q337" s="7"/>
      <c r="R337" s="7"/>
      <c r="S337" s="7"/>
      <c r="T337" s="7"/>
    </row>
    <row r="338" ht="14.25" customHeight="1">
      <c r="A338" s="7"/>
      <c r="B338" s="7"/>
      <c r="C338" s="7"/>
      <c r="D338" s="7"/>
      <c r="E338" s="7"/>
      <c r="F338" s="7"/>
      <c r="G338" s="7"/>
      <c r="H338" s="7"/>
      <c r="I338" s="7"/>
      <c r="J338" s="7"/>
      <c r="K338" s="7"/>
      <c r="L338" s="7"/>
      <c r="M338" s="7"/>
      <c r="N338" s="7"/>
      <c r="O338" s="7"/>
      <c r="P338" s="7"/>
      <c r="Q338" s="7"/>
      <c r="R338" s="7"/>
      <c r="S338" s="7"/>
      <c r="T338" s="7"/>
    </row>
    <row r="339" ht="14.25" customHeight="1">
      <c r="A339" s="7"/>
      <c r="B339" s="7"/>
      <c r="C339" s="7"/>
      <c r="D339" s="7"/>
      <c r="E339" s="7"/>
      <c r="F339" s="7"/>
      <c r="G339" s="7"/>
      <c r="H339" s="7"/>
      <c r="I339" s="7"/>
      <c r="J339" s="7"/>
      <c r="K339" s="7"/>
      <c r="L339" s="7"/>
      <c r="M339" s="7"/>
      <c r="N339" s="7"/>
      <c r="O339" s="7"/>
      <c r="P339" s="7"/>
      <c r="Q339" s="7"/>
      <c r="R339" s="7"/>
      <c r="S339" s="7"/>
      <c r="T339" s="7"/>
    </row>
    <row r="340" ht="14.25" customHeight="1">
      <c r="A340" s="7"/>
      <c r="B340" s="7"/>
      <c r="C340" s="7"/>
      <c r="D340" s="7"/>
      <c r="E340" s="7"/>
      <c r="F340" s="7"/>
      <c r="G340" s="7"/>
      <c r="H340" s="7"/>
      <c r="I340" s="7"/>
      <c r="J340" s="7"/>
      <c r="K340" s="7"/>
      <c r="L340" s="7"/>
      <c r="M340" s="7"/>
      <c r="N340" s="7"/>
      <c r="O340" s="7"/>
      <c r="P340" s="7"/>
      <c r="Q340" s="7"/>
      <c r="R340" s="7"/>
      <c r="S340" s="7"/>
      <c r="T340" s="7"/>
    </row>
    <row r="341" ht="14.25" customHeight="1">
      <c r="A341" s="7"/>
      <c r="B341" s="7"/>
      <c r="C341" s="7"/>
      <c r="D341" s="7"/>
      <c r="E341" s="7"/>
      <c r="F341" s="7"/>
      <c r="G341" s="7"/>
      <c r="H341" s="7"/>
      <c r="I341" s="7"/>
      <c r="J341" s="7"/>
      <c r="K341" s="7"/>
      <c r="L341" s="7"/>
      <c r="M341" s="7"/>
      <c r="N341" s="7"/>
      <c r="O341" s="7"/>
      <c r="P341" s="7"/>
      <c r="Q341" s="7"/>
      <c r="R341" s="7"/>
      <c r="S341" s="7"/>
      <c r="T341" s="7"/>
    </row>
    <row r="342" ht="14.25" customHeight="1">
      <c r="A342" s="7"/>
      <c r="B342" s="7"/>
      <c r="C342" s="7"/>
      <c r="D342" s="7"/>
      <c r="E342" s="7"/>
      <c r="F342" s="7"/>
      <c r="G342" s="7"/>
      <c r="H342" s="7"/>
      <c r="I342" s="7"/>
      <c r="J342" s="7"/>
      <c r="K342" s="7"/>
      <c r="L342" s="7"/>
      <c r="M342" s="7"/>
      <c r="N342" s="7"/>
      <c r="O342" s="7"/>
      <c r="P342" s="7"/>
      <c r="Q342" s="7"/>
      <c r="R342" s="7"/>
      <c r="S342" s="7"/>
      <c r="T342" s="7"/>
    </row>
    <row r="343" ht="14.25" customHeight="1">
      <c r="A343" s="7"/>
      <c r="B343" s="7"/>
      <c r="C343" s="7"/>
      <c r="D343" s="7"/>
      <c r="E343" s="7"/>
      <c r="F343" s="7"/>
      <c r="G343" s="7"/>
      <c r="H343" s="7"/>
      <c r="I343" s="7"/>
      <c r="J343" s="7"/>
      <c r="K343" s="7"/>
      <c r="L343" s="7"/>
      <c r="M343" s="7"/>
      <c r="N343" s="7"/>
      <c r="O343" s="7"/>
      <c r="P343" s="7"/>
      <c r="Q343" s="7"/>
      <c r="R343" s="7"/>
      <c r="S343" s="7"/>
      <c r="T343" s="7"/>
    </row>
    <row r="344" ht="14.25" customHeight="1">
      <c r="A344" s="7"/>
      <c r="B344" s="7"/>
      <c r="C344" s="7"/>
      <c r="D344" s="7"/>
      <c r="E344" s="7"/>
      <c r="F344" s="7"/>
      <c r="G344" s="7"/>
      <c r="H344" s="7"/>
      <c r="I344" s="7"/>
      <c r="J344" s="7"/>
      <c r="K344" s="7"/>
      <c r="L344" s="7"/>
      <c r="M344" s="7"/>
      <c r="N344" s="7"/>
      <c r="O344" s="7"/>
      <c r="P344" s="7"/>
      <c r="Q344" s="7"/>
      <c r="R344" s="7"/>
      <c r="S344" s="7"/>
      <c r="T344" s="7"/>
    </row>
    <row r="345" ht="14.25" customHeight="1">
      <c r="A345" s="7"/>
      <c r="B345" s="7"/>
      <c r="C345" s="7"/>
      <c r="D345" s="7"/>
      <c r="E345" s="7"/>
      <c r="F345" s="7"/>
      <c r="G345" s="7"/>
      <c r="H345" s="7"/>
      <c r="I345" s="7"/>
      <c r="J345" s="7"/>
      <c r="K345" s="7"/>
      <c r="L345" s="7"/>
      <c r="M345" s="7"/>
      <c r="N345" s="7"/>
      <c r="O345" s="7"/>
      <c r="P345" s="7"/>
      <c r="Q345" s="7"/>
      <c r="R345" s="7"/>
      <c r="S345" s="7"/>
      <c r="T345" s="7"/>
    </row>
    <row r="346" ht="14.25" customHeight="1">
      <c r="A346" s="7"/>
      <c r="B346" s="7"/>
      <c r="C346" s="7"/>
      <c r="D346" s="7"/>
      <c r="E346" s="7"/>
      <c r="F346" s="7"/>
      <c r="G346" s="7"/>
      <c r="H346" s="7"/>
      <c r="I346" s="7"/>
      <c r="J346" s="7"/>
      <c r="K346" s="7"/>
      <c r="L346" s="7"/>
      <c r="M346" s="7"/>
      <c r="N346" s="7"/>
      <c r="O346" s="7"/>
      <c r="P346" s="7"/>
      <c r="Q346" s="7"/>
      <c r="R346" s="7"/>
      <c r="S346" s="7"/>
      <c r="T346" s="7"/>
    </row>
    <row r="347" ht="14.25" customHeight="1">
      <c r="A347" s="7"/>
      <c r="B347" s="7"/>
      <c r="C347" s="7"/>
      <c r="D347" s="7"/>
      <c r="E347" s="7"/>
      <c r="F347" s="7"/>
      <c r="G347" s="7"/>
      <c r="H347" s="7"/>
      <c r="I347" s="7"/>
      <c r="J347" s="7"/>
      <c r="K347" s="7"/>
      <c r="L347" s="7"/>
      <c r="M347" s="7"/>
      <c r="N347" s="7"/>
      <c r="O347" s="7"/>
      <c r="P347" s="7"/>
      <c r="Q347" s="7"/>
      <c r="R347" s="7"/>
      <c r="S347" s="7"/>
      <c r="T347" s="7"/>
    </row>
    <row r="348" ht="14.25" customHeight="1">
      <c r="A348" s="7"/>
      <c r="B348" s="7"/>
      <c r="C348" s="7"/>
      <c r="D348" s="7"/>
      <c r="E348" s="7"/>
      <c r="F348" s="7"/>
      <c r="G348" s="7"/>
      <c r="H348" s="7"/>
      <c r="I348" s="7"/>
      <c r="J348" s="7"/>
      <c r="K348" s="7"/>
      <c r="L348" s="7"/>
      <c r="M348" s="7"/>
      <c r="N348" s="7"/>
      <c r="O348" s="7"/>
      <c r="P348" s="7"/>
      <c r="Q348" s="7"/>
      <c r="R348" s="7"/>
      <c r="S348" s="7"/>
      <c r="T348" s="7"/>
    </row>
    <row r="349" ht="14.25" customHeight="1">
      <c r="A349" s="7"/>
      <c r="B349" s="7"/>
      <c r="C349" s="7"/>
      <c r="D349" s="7"/>
      <c r="E349" s="7"/>
      <c r="F349" s="7"/>
      <c r="G349" s="7"/>
      <c r="H349" s="7"/>
      <c r="I349" s="7"/>
      <c r="J349" s="7"/>
      <c r="K349" s="7"/>
      <c r="L349" s="7"/>
      <c r="M349" s="7"/>
      <c r="N349" s="7"/>
      <c r="O349" s="7"/>
      <c r="P349" s="7"/>
      <c r="Q349" s="7"/>
      <c r="R349" s="7"/>
      <c r="S349" s="7"/>
      <c r="T349" s="7"/>
    </row>
    <row r="350" ht="14.25" customHeight="1">
      <c r="A350" s="7"/>
      <c r="B350" s="7"/>
      <c r="C350" s="7"/>
      <c r="D350" s="7"/>
      <c r="E350" s="7"/>
      <c r="F350" s="7"/>
      <c r="G350" s="7"/>
      <c r="H350" s="7"/>
      <c r="I350" s="7"/>
      <c r="J350" s="7"/>
      <c r="K350" s="7"/>
      <c r="L350" s="7"/>
      <c r="M350" s="7"/>
      <c r="N350" s="7"/>
      <c r="O350" s="7"/>
      <c r="P350" s="7"/>
      <c r="Q350" s="7"/>
      <c r="R350" s="7"/>
      <c r="S350" s="7"/>
      <c r="T350" s="7"/>
    </row>
    <row r="351" ht="14.25" customHeight="1">
      <c r="A351" s="7"/>
      <c r="B351" s="7"/>
      <c r="C351" s="7"/>
      <c r="D351" s="7"/>
      <c r="E351" s="7"/>
      <c r="F351" s="7"/>
      <c r="G351" s="7"/>
      <c r="H351" s="7"/>
      <c r="I351" s="7"/>
      <c r="J351" s="7"/>
      <c r="K351" s="7"/>
      <c r="L351" s="7"/>
      <c r="M351" s="7"/>
      <c r="N351" s="7"/>
      <c r="O351" s="7"/>
      <c r="P351" s="7"/>
      <c r="Q351" s="7"/>
      <c r="R351" s="7"/>
      <c r="S351" s="7"/>
      <c r="T351" s="7"/>
    </row>
    <row r="352" ht="14.25" customHeight="1">
      <c r="A352" s="7"/>
      <c r="B352" s="7"/>
      <c r="C352" s="7"/>
      <c r="D352" s="7"/>
      <c r="E352" s="7"/>
      <c r="F352" s="7"/>
      <c r="G352" s="7"/>
      <c r="H352" s="7"/>
      <c r="I352" s="7"/>
      <c r="J352" s="7"/>
      <c r="K352" s="7"/>
      <c r="L352" s="7"/>
      <c r="M352" s="7"/>
      <c r="N352" s="7"/>
      <c r="O352" s="7"/>
      <c r="P352" s="7"/>
      <c r="Q352" s="7"/>
      <c r="R352" s="7"/>
      <c r="S352" s="7"/>
      <c r="T352" s="7"/>
    </row>
    <row r="353" ht="14.25" customHeight="1">
      <c r="A353" s="7"/>
      <c r="B353" s="7"/>
      <c r="C353" s="7"/>
      <c r="D353" s="7"/>
      <c r="E353" s="7"/>
      <c r="F353" s="7"/>
      <c r="G353" s="7"/>
      <c r="H353" s="7"/>
      <c r="I353" s="7"/>
      <c r="J353" s="7"/>
      <c r="K353" s="7"/>
      <c r="L353" s="7"/>
      <c r="M353" s="7"/>
      <c r="N353" s="7"/>
      <c r="O353" s="7"/>
      <c r="P353" s="7"/>
      <c r="Q353" s="7"/>
      <c r="R353" s="7"/>
      <c r="S353" s="7"/>
      <c r="T353" s="7"/>
    </row>
    <row r="354" ht="14.25" customHeight="1">
      <c r="A354" s="7"/>
      <c r="B354" s="7"/>
      <c r="C354" s="7"/>
      <c r="D354" s="7"/>
      <c r="E354" s="7"/>
      <c r="F354" s="7"/>
      <c r="G354" s="7"/>
      <c r="H354" s="7"/>
      <c r="I354" s="7"/>
      <c r="J354" s="7"/>
      <c r="K354" s="7"/>
      <c r="L354" s="7"/>
      <c r="M354" s="7"/>
      <c r="N354" s="7"/>
      <c r="O354" s="7"/>
      <c r="P354" s="7"/>
      <c r="Q354" s="7"/>
      <c r="R354" s="7"/>
      <c r="S354" s="7"/>
      <c r="T354" s="7"/>
    </row>
    <row r="355" ht="14.25" customHeight="1">
      <c r="A355" s="7"/>
      <c r="B355" s="7"/>
      <c r="C355" s="7"/>
      <c r="D355" s="7"/>
      <c r="E355" s="7"/>
      <c r="F355" s="7"/>
      <c r="G355" s="7"/>
      <c r="H355" s="7"/>
      <c r="I355" s="7"/>
      <c r="J355" s="7"/>
      <c r="K355" s="7"/>
      <c r="L355" s="7"/>
      <c r="M355" s="7"/>
      <c r="N355" s="7"/>
      <c r="O355" s="7"/>
      <c r="P355" s="7"/>
      <c r="Q355" s="7"/>
      <c r="R355" s="7"/>
      <c r="S355" s="7"/>
      <c r="T355" s="7"/>
    </row>
    <row r="356" ht="14.25" customHeight="1">
      <c r="A356" s="7"/>
      <c r="B356" s="7"/>
      <c r="C356" s="7"/>
      <c r="D356" s="7"/>
      <c r="E356" s="7"/>
      <c r="F356" s="7"/>
      <c r="G356" s="7"/>
      <c r="H356" s="7"/>
      <c r="I356" s="7"/>
      <c r="J356" s="7"/>
      <c r="K356" s="7"/>
      <c r="L356" s="7"/>
      <c r="M356" s="7"/>
      <c r="N356" s="7"/>
      <c r="O356" s="7"/>
      <c r="P356" s="7"/>
      <c r="Q356" s="7"/>
      <c r="R356" s="7"/>
      <c r="S356" s="7"/>
      <c r="T356" s="7"/>
    </row>
    <row r="357" ht="14.25" customHeight="1">
      <c r="A357" s="7"/>
      <c r="B357" s="7"/>
      <c r="C357" s="7"/>
      <c r="D357" s="7"/>
      <c r="E357" s="7"/>
      <c r="F357" s="7"/>
      <c r="G357" s="7"/>
      <c r="H357" s="7"/>
      <c r="I357" s="7"/>
      <c r="J357" s="7"/>
      <c r="K357" s="7"/>
      <c r="L357" s="7"/>
      <c r="M357" s="7"/>
      <c r="N357" s="7"/>
      <c r="O357" s="7"/>
      <c r="P357" s="7"/>
      <c r="Q357" s="7"/>
      <c r="R357" s="7"/>
      <c r="S357" s="7"/>
      <c r="T357" s="7"/>
    </row>
    <row r="358" ht="14.25" customHeight="1">
      <c r="A358" s="7"/>
      <c r="B358" s="7"/>
      <c r="C358" s="7"/>
      <c r="D358" s="7"/>
      <c r="E358" s="7"/>
      <c r="F358" s="7"/>
      <c r="G358" s="7"/>
      <c r="H358" s="7"/>
      <c r="I358" s="7"/>
      <c r="J358" s="7"/>
      <c r="K358" s="7"/>
      <c r="L358" s="7"/>
      <c r="M358" s="7"/>
      <c r="N358" s="7"/>
      <c r="O358" s="7"/>
      <c r="P358" s="7"/>
      <c r="Q358" s="7"/>
      <c r="R358" s="7"/>
      <c r="S358" s="7"/>
      <c r="T358" s="7"/>
    </row>
    <row r="359" ht="14.25" customHeight="1">
      <c r="A359" s="7"/>
      <c r="B359" s="7"/>
      <c r="C359" s="7"/>
      <c r="D359" s="7"/>
      <c r="E359" s="7"/>
      <c r="F359" s="7"/>
      <c r="G359" s="7"/>
      <c r="H359" s="7"/>
      <c r="I359" s="7"/>
      <c r="J359" s="7"/>
      <c r="K359" s="7"/>
      <c r="L359" s="7"/>
      <c r="M359" s="7"/>
      <c r="N359" s="7"/>
      <c r="O359" s="7"/>
      <c r="P359" s="7"/>
      <c r="Q359" s="7"/>
      <c r="R359" s="7"/>
      <c r="S359" s="7"/>
      <c r="T359" s="7"/>
    </row>
    <row r="360" ht="14.25" customHeight="1">
      <c r="A360" s="7"/>
      <c r="B360" s="7"/>
      <c r="C360" s="7"/>
      <c r="D360" s="7"/>
      <c r="E360" s="7"/>
      <c r="F360" s="7"/>
      <c r="G360" s="7"/>
      <c r="H360" s="7"/>
      <c r="I360" s="7"/>
      <c r="J360" s="7"/>
      <c r="K360" s="7"/>
      <c r="L360" s="7"/>
      <c r="M360" s="7"/>
      <c r="N360" s="7"/>
      <c r="O360" s="7"/>
      <c r="P360" s="7"/>
      <c r="Q360" s="7"/>
      <c r="R360" s="7"/>
      <c r="S360" s="7"/>
      <c r="T360" s="7"/>
    </row>
    <row r="361" ht="14.25" customHeight="1">
      <c r="A361" s="7"/>
      <c r="B361" s="7"/>
      <c r="C361" s="7"/>
      <c r="D361" s="7"/>
      <c r="E361" s="7"/>
      <c r="F361" s="7"/>
      <c r="G361" s="7"/>
      <c r="H361" s="7"/>
      <c r="I361" s="7"/>
      <c r="J361" s="7"/>
      <c r="K361" s="7"/>
      <c r="L361" s="7"/>
      <c r="M361" s="7"/>
      <c r="N361" s="7"/>
      <c r="O361" s="7"/>
      <c r="P361" s="7"/>
      <c r="Q361" s="7"/>
      <c r="R361" s="7"/>
      <c r="S361" s="7"/>
      <c r="T361" s="7"/>
    </row>
    <row r="362" ht="14.25" customHeight="1">
      <c r="A362" s="7"/>
      <c r="B362" s="7"/>
      <c r="C362" s="7"/>
      <c r="D362" s="7"/>
      <c r="E362" s="7"/>
      <c r="F362" s="7"/>
      <c r="G362" s="7"/>
      <c r="H362" s="7"/>
      <c r="I362" s="7"/>
      <c r="J362" s="7"/>
      <c r="K362" s="7"/>
      <c r="L362" s="7"/>
      <c r="M362" s="7"/>
      <c r="N362" s="7"/>
      <c r="O362" s="7"/>
      <c r="P362" s="7"/>
      <c r="Q362" s="7"/>
      <c r="R362" s="7"/>
      <c r="S362" s="7"/>
      <c r="T362" s="7"/>
    </row>
    <row r="363" ht="14.25" customHeight="1">
      <c r="A363" s="7"/>
      <c r="B363" s="7"/>
      <c r="C363" s="7"/>
      <c r="D363" s="7"/>
      <c r="E363" s="7"/>
      <c r="F363" s="7"/>
      <c r="G363" s="7"/>
      <c r="H363" s="7"/>
      <c r="I363" s="7"/>
      <c r="J363" s="7"/>
      <c r="K363" s="7"/>
      <c r="L363" s="7"/>
      <c r="M363" s="7"/>
      <c r="N363" s="7"/>
      <c r="O363" s="7"/>
      <c r="P363" s="7"/>
      <c r="Q363" s="7"/>
      <c r="R363" s="7"/>
      <c r="S363" s="7"/>
      <c r="T363" s="7"/>
    </row>
    <row r="364" ht="14.25" customHeight="1">
      <c r="A364" s="7"/>
      <c r="B364" s="7"/>
      <c r="C364" s="7"/>
      <c r="D364" s="7"/>
      <c r="E364" s="7"/>
      <c r="F364" s="7"/>
      <c r="G364" s="7"/>
      <c r="H364" s="7"/>
      <c r="I364" s="7"/>
      <c r="J364" s="7"/>
      <c r="K364" s="7"/>
      <c r="L364" s="7"/>
      <c r="M364" s="7"/>
      <c r="N364" s="7"/>
      <c r="O364" s="7"/>
      <c r="P364" s="7"/>
      <c r="Q364" s="7"/>
      <c r="R364" s="7"/>
      <c r="S364" s="7"/>
      <c r="T364" s="7"/>
    </row>
    <row r="365" ht="14.25" customHeight="1">
      <c r="A365" s="7"/>
      <c r="B365" s="7"/>
      <c r="C365" s="7"/>
      <c r="D365" s="7"/>
      <c r="E365" s="7"/>
      <c r="F365" s="7"/>
      <c r="G365" s="7"/>
      <c r="H365" s="7"/>
      <c r="I365" s="7"/>
      <c r="J365" s="7"/>
      <c r="K365" s="7"/>
      <c r="L365" s="7"/>
      <c r="M365" s="7"/>
      <c r="N365" s="7"/>
      <c r="O365" s="7"/>
      <c r="P365" s="7"/>
      <c r="Q365" s="7"/>
      <c r="R365" s="7"/>
      <c r="S365" s="7"/>
      <c r="T365" s="7"/>
    </row>
    <row r="366" ht="14.25" customHeight="1">
      <c r="A366" s="7"/>
      <c r="B366" s="7"/>
      <c r="C366" s="7"/>
      <c r="D366" s="7"/>
      <c r="E366" s="7"/>
      <c r="F366" s="7"/>
      <c r="G366" s="7"/>
      <c r="H366" s="7"/>
      <c r="I366" s="7"/>
      <c r="J366" s="7"/>
      <c r="K366" s="7"/>
      <c r="L366" s="7"/>
      <c r="M366" s="7"/>
      <c r="N366" s="7"/>
      <c r="O366" s="7"/>
      <c r="P366" s="7"/>
      <c r="Q366" s="7"/>
      <c r="R366" s="7"/>
      <c r="S366" s="7"/>
      <c r="T366" s="7"/>
    </row>
    <row r="367" ht="14.25" customHeight="1">
      <c r="A367" s="7"/>
      <c r="B367" s="7"/>
      <c r="C367" s="7"/>
      <c r="D367" s="7"/>
      <c r="E367" s="7"/>
      <c r="F367" s="7"/>
      <c r="G367" s="7"/>
      <c r="H367" s="7"/>
      <c r="I367" s="7"/>
      <c r="J367" s="7"/>
      <c r="K367" s="7"/>
      <c r="L367" s="7"/>
      <c r="M367" s="7"/>
      <c r="N367" s="7"/>
      <c r="O367" s="7"/>
      <c r="P367" s="7"/>
      <c r="Q367" s="7"/>
      <c r="R367" s="7"/>
      <c r="S367" s="7"/>
      <c r="T367" s="7"/>
    </row>
    <row r="368" ht="14.25" customHeight="1">
      <c r="A368" s="7"/>
      <c r="B368" s="7"/>
      <c r="C368" s="7"/>
      <c r="D368" s="7"/>
      <c r="E368" s="7"/>
      <c r="F368" s="7"/>
      <c r="G368" s="7"/>
      <c r="H368" s="7"/>
      <c r="I368" s="7"/>
      <c r="J368" s="7"/>
      <c r="K368" s="7"/>
      <c r="L368" s="7"/>
      <c r="M368" s="7"/>
      <c r="N368" s="7"/>
      <c r="O368" s="7"/>
      <c r="P368" s="7"/>
      <c r="Q368" s="7"/>
      <c r="R368" s="7"/>
      <c r="S368" s="7"/>
      <c r="T368" s="7"/>
    </row>
    <row r="369" ht="14.25" customHeight="1">
      <c r="A369" s="7"/>
      <c r="B369" s="7"/>
      <c r="C369" s="7"/>
      <c r="D369" s="7"/>
      <c r="E369" s="7"/>
      <c r="F369" s="7"/>
      <c r="G369" s="7"/>
      <c r="H369" s="7"/>
      <c r="I369" s="7"/>
      <c r="J369" s="7"/>
      <c r="K369" s="7"/>
      <c r="L369" s="7"/>
      <c r="M369" s="7"/>
      <c r="N369" s="7"/>
      <c r="O369" s="7"/>
      <c r="P369" s="7"/>
      <c r="Q369" s="7"/>
      <c r="R369" s="7"/>
      <c r="S369" s="7"/>
      <c r="T369" s="7"/>
    </row>
    <row r="370" ht="14.25" customHeight="1">
      <c r="A370" s="7"/>
      <c r="B370" s="7"/>
      <c r="C370" s="7"/>
      <c r="D370" s="7"/>
      <c r="E370" s="7"/>
      <c r="F370" s="7"/>
      <c r="G370" s="7"/>
      <c r="H370" s="7"/>
      <c r="I370" s="7"/>
      <c r="J370" s="7"/>
      <c r="K370" s="7"/>
      <c r="L370" s="7"/>
      <c r="M370" s="7"/>
      <c r="N370" s="7"/>
      <c r="O370" s="7"/>
      <c r="P370" s="7"/>
      <c r="Q370" s="7"/>
      <c r="R370" s="7"/>
      <c r="S370" s="7"/>
      <c r="T370" s="7"/>
    </row>
    <row r="371" ht="14.25" customHeight="1">
      <c r="A371" s="7"/>
      <c r="B371" s="7"/>
      <c r="C371" s="7"/>
      <c r="D371" s="7"/>
      <c r="E371" s="7"/>
      <c r="F371" s="7"/>
      <c r="G371" s="7"/>
      <c r="H371" s="7"/>
      <c r="I371" s="7"/>
      <c r="J371" s="7"/>
      <c r="K371" s="7"/>
      <c r="L371" s="7"/>
      <c r="M371" s="7"/>
      <c r="N371" s="7"/>
      <c r="O371" s="7"/>
      <c r="P371" s="7"/>
      <c r="Q371" s="7"/>
      <c r="R371" s="7"/>
      <c r="S371" s="7"/>
      <c r="T371" s="7"/>
    </row>
    <row r="372" ht="14.25" customHeight="1">
      <c r="A372" s="7"/>
      <c r="B372" s="7"/>
      <c r="C372" s="7"/>
      <c r="D372" s="7"/>
      <c r="E372" s="7"/>
      <c r="F372" s="7"/>
      <c r="G372" s="7"/>
      <c r="H372" s="7"/>
      <c r="I372" s="7"/>
      <c r="J372" s="7"/>
      <c r="K372" s="7"/>
      <c r="L372" s="7"/>
      <c r="M372" s="7"/>
      <c r="N372" s="7"/>
      <c r="O372" s="7"/>
      <c r="P372" s="7"/>
      <c r="Q372" s="7"/>
      <c r="R372" s="7"/>
      <c r="S372" s="7"/>
      <c r="T372" s="7"/>
    </row>
    <row r="373" ht="14.25" customHeight="1">
      <c r="A373" s="7"/>
      <c r="B373" s="7"/>
      <c r="C373" s="7"/>
      <c r="D373" s="7"/>
      <c r="E373" s="7"/>
      <c r="F373" s="7"/>
      <c r="G373" s="7"/>
      <c r="H373" s="7"/>
      <c r="I373" s="7"/>
      <c r="J373" s="7"/>
      <c r="K373" s="7"/>
      <c r="L373" s="7"/>
      <c r="M373" s="7"/>
      <c r="N373" s="7"/>
      <c r="O373" s="7"/>
      <c r="P373" s="7"/>
      <c r="Q373" s="7"/>
      <c r="R373" s="7"/>
      <c r="S373" s="7"/>
      <c r="T373" s="7"/>
    </row>
    <row r="374" ht="14.25" customHeight="1">
      <c r="A374" s="7"/>
      <c r="B374" s="7"/>
      <c r="C374" s="7"/>
      <c r="D374" s="7"/>
      <c r="E374" s="7"/>
      <c r="F374" s="7"/>
      <c r="G374" s="7"/>
      <c r="H374" s="7"/>
      <c r="I374" s="7"/>
      <c r="J374" s="7"/>
      <c r="K374" s="7"/>
      <c r="L374" s="7"/>
      <c r="M374" s="7"/>
      <c r="N374" s="7"/>
      <c r="O374" s="7"/>
      <c r="P374" s="7"/>
      <c r="Q374" s="7"/>
      <c r="R374" s="7"/>
      <c r="S374" s="7"/>
      <c r="T374" s="7"/>
    </row>
    <row r="375" ht="14.25" customHeight="1">
      <c r="A375" s="7"/>
      <c r="B375" s="7"/>
      <c r="C375" s="7"/>
      <c r="D375" s="7"/>
      <c r="E375" s="7"/>
      <c r="F375" s="7"/>
      <c r="G375" s="7"/>
      <c r="H375" s="7"/>
      <c r="I375" s="7"/>
      <c r="J375" s="7"/>
      <c r="K375" s="7"/>
      <c r="L375" s="7"/>
      <c r="M375" s="7"/>
      <c r="N375" s="7"/>
      <c r="O375" s="7"/>
      <c r="P375" s="7"/>
      <c r="Q375" s="7"/>
      <c r="R375" s="7"/>
      <c r="S375" s="7"/>
      <c r="T375" s="7"/>
    </row>
    <row r="376" ht="14.25" customHeight="1">
      <c r="A376" s="7"/>
      <c r="B376" s="7"/>
      <c r="C376" s="7"/>
      <c r="D376" s="7"/>
      <c r="E376" s="7"/>
      <c r="F376" s="7"/>
      <c r="G376" s="7"/>
      <c r="H376" s="7"/>
      <c r="I376" s="7"/>
      <c r="J376" s="7"/>
      <c r="K376" s="7"/>
      <c r="L376" s="7"/>
      <c r="M376" s="7"/>
      <c r="N376" s="7"/>
      <c r="O376" s="7"/>
      <c r="P376" s="7"/>
      <c r="Q376" s="7"/>
      <c r="R376" s="7"/>
      <c r="S376" s="7"/>
      <c r="T376" s="7"/>
    </row>
    <row r="377" ht="14.25" customHeight="1">
      <c r="A377" s="7"/>
      <c r="B377" s="7"/>
      <c r="C377" s="7"/>
      <c r="D377" s="7"/>
      <c r="E377" s="7"/>
      <c r="F377" s="7"/>
      <c r="G377" s="7"/>
      <c r="H377" s="7"/>
      <c r="I377" s="7"/>
      <c r="J377" s="7"/>
      <c r="K377" s="7"/>
      <c r="L377" s="7"/>
      <c r="M377" s="7"/>
      <c r="N377" s="7"/>
      <c r="O377" s="7"/>
      <c r="P377" s="7"/>
      <c r="Q377" s="7"/>
      <c r="R377" s="7"/>
      <c r="S377" s="7"/>
      <c r="T377" s="7"/>
    </row>
    <row r="378" ht="14.25" customHeight="1">
      <c r="A378" s="7"/>
      <c r="B378" s="7"/>
      <c r="C378" s="7"/>
      <c r="D378" s="7"/>
      <c r="E378" s="7"/>
      <c r="F378" s="7"/>
      <c r="G378" s="7"/>
      <c r="H378" s="7"/>
      <c r="I378" s="7"/>
      <c r="J378" s="7"/>
      <c r="K378" s="7"/>
      <c r="L378" s="7"/>
      <c r="M378" s="7"/>
      <c r="N378" s="7"/>
      <c r="O378" s="7"/>
      <c r="P378" s="7"/>
      <c r="Q378" s="7"/>
      <c r="R378" s="7"/>
      <c r="S378" s="7"/>
      <c r="T378" s="7"/>
    </row>
    <row r="379" ht="14.25" customHeight="1">
      <c r="A379" s="7"/>
      <c r="B379" s="7"/>
      <c r="C379" s="7"/>
      <c r="D379" s="7"/>
      <c r="E379" s="7"/>
      <c r="F379" s="7"/>
      <c r="G379" s="7"/>
      <c r="H379" s="7"/>
      <c r="I379" s="7"/>
      <c r="J379" s="7"/>
      <c r="K379" s="7"/>
      <c r="L379" s="7"/>
      <c r="M379" s="7"/>
      <c r="N379" s="7"/>
      <c r="O379" s="7"/>
      <c r="P379" s="7"/>
      <c r="Q379" s="7"/>
      <c r="R379" s="7"/>
      <c r="S379" s="7"/>
      <c r="T379" s="7"/>
    </row>
    <row r="380" ht="14.25" customHeight="1">
      <c r="A380" s="7"/>
      <c r="B380" s="7"/>
      <c r="C380" s="7"/>
      <c r="D380" s="7"/>
      <c r="E380" s="7"/>
      <c r="F380" s="7"/>
      <c r="G380" s="7"/>
      <c r="H380" s="7"/>
      <c r="I380" s="7"/>
      <c r="J380" s="7"/>
      <c r="K380" s="7"/>
      <c r="L380" s="7"/>
      <c r="M380" s="7"/>
      <c r="N380" s="7"/>
      <c r="O380" s="7"/>
      <c r="P380" s="7"/>
      <c r="Q380" s="7"/>
      <c r="R380" s="7"/>
      <c r="S380" s="7"/>
      <c r="T380" s="7"/>
    </row>
    <row r="381" ht="14.25" customHeight="1">
      <c r="A381" s="7"/>
      <c r="B381" s="7"/>
      <c r="C381" s="7"/>
      <c r="D381" s="7"/>
      <c r="E381" s="7"/>
      <c r="F381" s="7"/>
      <c r="G381" s="7"/>
      <c r="H381" s="7"/>
      <c r="I381" s="7"/>
      <c r="J381" s="7"/>
      <c r="K381" s="7"/>
      <c r="L381" s="7"/>
      <c r="M381" s="7"/>
      <c r="N381" s="7"/>
      <c r="O381" s="7"/>
      <c r="P381" s="7"/>
      <c r="Q381" s="7"/>
      <c r="R381" s="7"/>
      <c r="S381" s="7"/>
      <c r="T381" s="7"/>
    </row>
    <row r="382" ht="14.25" customHeight="1">
      <c r="A382" s="7"/>
      <c r="B382" s="7"/>
      <c r="C382" s="7"/>
      <c r="D382" s="7"/>
      <c r="E382" s="7"/>
      <c r="F382" s="7"/>
      <c r="G382" s="7"/>
      <c r="H382" s="7"/>
      <c r="I382" s="7"/>
      <c r="J382" s="7"/>
      <c r="K382" s="7"/>
      <c r="L382" s="7"/>
      <c r="M382" s="7"/>
      <c r="N382" s="7"/>
      <c r="O382" s="7"/>
      <c r="P382" s="7"/>
      <c r="Q382" s="7"/>
      <c r="R382" s="7"/>
      <c r="S382" s="7"/>
      <c r="T382" s="7"/>
    </row>
    <row r="383" ht="14.25" customHeight="1">
      <c r="A383" s="7"/>
      <c r="B383" s="7"/>
      <c r="C383" s="7"/>
      <c r="D383" s="7"/>
      <c r="E383" s="7"/>
      <c r="F383" s="7"/>
      <c r="G383" s="7"/>
      <c r="H383" s="7"/>
      <c r="I383" s="7"/>
      <c r="J383" s="7"/>
      <c r="K383" s="7"/>
      <c r="L383" s="7"/>
      <c r="M383" s="7"/>
      <c r="N383" s="7"/>
      <c r="O383" s="7"/>
      <c r="P383" s="7"/>
      <c r="Q383" s="7"/>
      <c r="R383" s="7"/>
      <c r="S383" s="7"/>
      <c r="T383" s="7"/>
    </row>
    <row r="384" ht="14.25" customHeight="1">
      <c r="A384" s="7"/>
      <c r="B384" s="7"/>
      <c r="C384" s="7"/>
      <c r="D384" s="7"/>
      <c r="E384" s="7"/>
      <c r="F384" s="7"/>
      <c r="G384" s="7"/>
      <c r="H384" s="7"/>
      <c r="I384" s="7"/>
      <c r="J384" s="7"/>
      <c r="K384" s="7"/>
      <c r="L384" s="7"/>
      <c r="M384" s="7"/>
      <c r="N384" s="7"/>
      <c r="O384" s="7"/>
      <c r="P384" s="7"/>
      <c r="Q384" s="7"/>
      <c r="R384" s="7"/>
      <c r="S384" s="7"/>
      <c r="T384" s="7"/>
    </row>
    <row r="385" ht="14.25" customHeight="1">
      <c r="A385" s="7"/>
      <c r="B385" s="7"/>
      <c r="C385" s="7"/>
      <c r="D385" s="7"/>
      <c r="E385" s="7"/>
      <c r="F385" s="7"/>
      <c r="G385" s="7"/>
      <c r="H385" s="7"/>
      <c r="I385" s="7"/>
      <c r="J385" s="7"/>
      <c r="K385" s="7"/>
      <c r="L385" s="7"/>
      <c r="M385" s="7"/>
      <c r="N385" s="7"/>
      <c r="O385" s="7"/>
      <c r="P385" s="7"/>
      <c r="Q385" s="7"/>
      <c r="R385" s="7"/>
      <c r="S385" s="7"/>
      <c r="T385" s="7"/>
    </row>
    <row r="386" ht="14.25" customHeight="1">
      <c r="A386" s="7"/>
      <c r="B386" s="7"/>
      <c r="C386" s="7"/>
      <c r="D386" s="7"/>
      <c r="E386" s="7"/>
      <c r="F386" s="7"/>
      <c r="G386" s="7"/>
      <c r="H386" s="7"/>
      <c r="I386" s="7"/>
      <c r="J386" s="7"/>
      <c r="K386" s="7"/>
      <c r="L386" s="7"/>
      <c r="M386" s="7"/>
      <c r="N386" s="7"/>
      <c r="O386" s="7"/>
      <c r="P386" s="7"/>
      <c r="Q386" s="7"/>
      <c r="R386" s="7"/>
      <c r="S386" s="7"/>
      <c r="T386" s="7"/>
    </row>
    <row r="387" ht="14.25" customHeight="1">
      <c r="A387" s="7"/>
      <c r="B387" s="7"/>
      <c r="C387" s="7"/>
      <c r="D387" s="7"/>
      <c r="E387" s="7"/>
      <c r="F387" s="7"/>
      <c r="G387" s="7"/>
      <c r="H387" s="7"/>
      <c r="I387" s="7"/>
      <c r="J387" s="7"/>
      <c r="K387" s="7"/>
      <c r="L387" s="7"/>
      <c r="M387" s="7"/>
      <c r="N387" s="7"/>
      <c r="O387" s="7"/>
      <c r="P387" s="7"/>
      <c r="Q387" s="7"/>
      <c r="R387" s="7"/>
      <c r="S387" s="7"/>
      <c r="T387" s="7"/>
    </row>
    <row r="388" ht="14.25" customHeight="1">
      <c r="A388" s="7"/>
      <c r="B388" s="7"/>
      <c r="C388" s="7"/>
      <c r="D388" s="7"/>
      <c r="E388" s="7"/>
      <c r="F388" s="7"/>
      <c r="G388" s="7"/>
      <c r="H388" s="7"/>
      <c r="I388" s="7"/>
      <c r="J388" s="7"/>
      <c r="K388" s="7"/>
      <c r="L388" s="7"/>
      <c r="M388" s="7"/>
      <c r="N388" s="7"/>
      <c r="O388" s="7"/>
      <c r="P388" s="7"/>
      <c r="Q388" s="7"/>
      <c r="R388" s="7"/>
      <c r="S388" s="7"/>
      <c r="T388" s="7"/>
    </row>
    <row r="389" ht="14.25" customHeight="1">
      <c r="A389" s="7"/>
      <c r="B389" s="7"/>
      <c r="C389" s="7"/>
      <c r="D389" s="7"/>
      <c r="E389" s="7"/>
      <c r="F389" s="7"/>
      <c r="G389" s="7"/>
      <c r="H389" s="7"/>
      <c r="I389" s="7"/>
      <c r="J389" s="7"/>
      <c r="K389" s="7"/>
      <c r="L389" s="7"/>
      <c r="M389" s="7"/>
      <c r="N389" s="7"/>
      <c r="O389" s="7"/>
      <c r="P389" s="7"/>
      <c r="Q389" s="7"/>
      <c r="R389" s="7"/>
      <c r="S389" s="7"/>
      <c r="T389" s="7"/>
    </row>
    <row r="390" ht="14.25" customHeight="1">
      <c r="A390" s="7"/>
      <c r="B390" s="7"/>
      <c r="C390" s="7"/>
      <c r="D390" s="7"/>
      <c r="E390" s="7"/>
      <c r="F390" s="7"/>
      <c r="G390" s="7"/>
      <c r="H390" s="7"/>
      <c r="I390" s="7"/>
      <c r="J390" s="7"/>
      <c r="K390" s="7"/>
      <c r="L390" s="7"/>
      <c r="M390" s="7"/>
      <c r="N390" s="7"/>
      <c r="O390" s="7"/>
      <c r="P390" s="7"/>
      <c r="Q390" s="7"/>
      <c r="R390" s="7"/>
      <c r="S390" s="7"/>
      <c r="T390" s="7"/>
    </row>
    <row r="391" ht="14.25" customHeight="1">
      <c r="A391" s="7"/>
      <c r="B391" s="7"/>
      <c r="C391" s="7"/>
      <c r="D391" s="7"/>
      <c r="E391" s="7"/>
      <c r="F391" s="7"/>
      <c r="G391" s="7"/>
      <c r="H391" s="7"/>
      <c r="I391" s="7"/>
      <c r="J391" s="7"/>
      <c r="K391" s="7"/>
      <c r="L391" s="7"/>
      <c r="M391" s="7"/>
      <c r="N391" s="7"/>
      <c r="O391" s="7"/>
      <c r="P391" s="7"/>
      <c r="Q391" s="7"/>
      <c r="R391" s="7"/>
      <c r="S391" s="7"/>
      <c r="T391" s="7"/>
    </row>
    <row r="392" ht="14.25" customHeight="1">
      <c r="A392" s="7"/>
      <c r="B392" s="7"/>
      <c r="C392" s="7"/>
      <c r="D392" s="7"/>
      <c r="E392" s="7"/>
      <c r="F392" s="7"/>
      <c r="G392" s="7"/>
      <c r="H392" s="7"/>
      <c r="I392" s="7"/>
      <c r="J392" s="7"/>
      <c r="K392" s="7"/>
      <c r="L392" s="7"/>
      <c r="M392" s="7"/>
      <c r="N392" s="7"/>
      <c r="O392" s="7"/>
      <c r="P392" s="7"/>
      <c r="Q392" s="7"/>
      <c r="R392" s="7"/>
      <c r="S392" s="7"/>
      <c r="T392" s="7"/>
    </row>
    <row r="393" ht="14.25" customHeight="1">
      <c r="A393" s="7"/>
      <c r="B393" s="7"/>
      <c r="C393" s="7"/>
      <c r="D393" s="7"/>
      <c r="E393" s="7"/>
      <c r="F393" s="7"/>
      <c r="G393" s="7"/>
      <c r="H393" s="7"/>
      <c r="I393" s="7"/>
      <c r="J393" s="7"/>
      <c r="K393" s="7"/>
      <c r="L393" s="7"/>
      <c r="M393" s="7"/>
      <c r="N393" s="7"/>
      <c r="O393" s="7"/>
      <c r="P393" s="7"/>
      <c r="Q393" s="7"/>
      <c r="R393" s="7"/>
      <c r="S393" s="7"/>
      <c r="T393" s="7"/>
    </row>
    <row r="394" ht="14.25" customHeight="1">
      <c r="A394" s="7"/>
      <c r="B394" s="7"/>
      <c r="C394" s="7"/>
      <c r="D394" s="7"/>
      <c r="E394" s="7"/>
      <c r="F394" s="7"/>
      <c r="G394" s="7"/>
      <c r="H394" s="7"/>
      <c r="I394" s="7"/>
      <c r="J394" s="7"/>
      <c r="K394" s="7"/>
      <c r="L394" s="7"/>
      <c r="M394" s="7"/>
      <c r="N394" s="7"/>
      <c r="O394" s="7"/>
      <c r="P394" s="7"/>
      <c r="Q394" s="7"/>
      <c r="R394" s="7"/>
      <c r="S394" s="7"/>
      <c r="T394" s="7"/>
    </row>
    <row r="395" ht="14.25" customHeight="1">
      <c r="A395" s="7"/>
      <c r="B395" s="7"/>
      <c r="C395" s="7"/>
      <c r="D395" s="7"/>
      <c r="E395" s="7"/>
      <c r="F395" s="7"/>
      <c r="G395" s="7"/>
      <c r="H395" s="7"/>
      <c r="I395" s="7"/>
      <c r="J395" s="7"/>
      <c r="K395" s="7"/>
      <c r="L395" s="7"/>
      <c r="M395" s="7"/>
      <c r="N395" s="7"/>
      <c r="O395" s="7"/>
      <c r="P395" s="7"/>
      <c r="Q395" s="7"/>
      <c r="R395" s="7"/>
      <c r="S395" s="7"/>
      <c r="T395" s="7"/>
    </row>
    <row r="396" ht="14.25" customHeight="1">
      <c r="A396" s="7"/>
      <c r="B396" s="7"/>
      <c r="C396" s="7"/>
      <c r="D396" s="7"/>
      <c r="E396" s="7"/>
      <c r="F396" s="7"/>
      <c r="G396" s="7"/>
      <c r="H396" s="7"/>
      <c r="I396" s="7"/>
      <c r="J396" s="7"/>
      <c r="K396" s="7"/>
      <c r="L396" s="7"/>
      <c r="M396" s="7"/>
      <c r="N396" s="7"/>
      <c r="O396" s="7"/>
      <c r="P396" s="7"/>
      <c r="Q396" s="7"/>
      <c r="R396" s="7"/>
      <c r="S396" s="7"/>
      <c r="T396" s="7"/>
    </row>
    <row r="397" ht="14.25" customHeight="1">
      <c r="A397" s="7"/>
      <c r="B397" s="7"/>
      <c r="C397" s="7"/>
      <c r="D397" s="7"/>
      <c r="E397" s="7"/>
      <c r="F397" s="7"/>
      <c r="G397" s="7"/>
      <c r="H397" s="7"/>
      <c r="I397" s="7"/>
      <c r="J397" s="7"/>
      <c r="K397" s="7"/>
      <c r="L397" s="7"/>
      <c r="M397" s="7"/>
      <c r="N397" s="7"/>
      <c r="O397" s="7"/>
      <c r="P397" s="7"/>
      <c r="Q397" s="7"/>
      <c r="R397" s="7"/>
      <c r="S397" s="7"/>
      <c r="T397" s="7"/>
    </row>
    <row r="398" ht="14.25" customHeight="1">
      <c r="A398" s="7"/>
      <c r="B398" s="7"/>
      <c r="C398" s="7"/>
      <c r="D398" s="7"/>
      <c r="E398" s="7"/>
      <c r="F398" s="7"/>
      <c r="G398" s="7"/>
      <c r="H398" s="7"/>
      <c r="I398" s="7"/>
      <c r="J398" s="7"/>
      <c r="K398" s="7"/>
      <c r="L398" s="7"/>
      <c r="M398" s="7"/>
      <c r="N398" s="7"/>
      <c r="O398" s="7"/>
      <c r="P398" s="7"/>
      <c r="Q398" s="7"/>
      <c r="R398" s="7"/>
      <c r="S398" s="7"/>
      <c r="T398" s="7"/>
    </row>
    <row r="399" ht="14.25" customHeight="1">
      <c r="A399" s="7"/>
      <c r="B399" s="7"/>
      <c r="C399" s="7"/>
      <c r="D399" s="7"/>
      <c r="E399" s="7"/>
      <c r="F399" s="7"/>
      <c r="G399" s="7"/>
      <c r="H399" s="7"/>
      <c r="I399" s="7"/>
      <c r="J399" s="7"/>
      <c r="K399" s="7"/>
      <c r="L399" s="7"/>
      <c r="M399" s="7"/>
      <c r="N399" s="7"/>
      <c r="O399" s="7"/>
      <c r="P399" s="7"/>
      <c r="Q399" s="7"/>
      <c r="R399" s="7"/>
      <c r="S399" s="7"/>
      <c r="T399" s="7"/>
    </row>
    <row r="400" ht="14.25" customHeight="1">
      <c r="A400" s="7"/>
      <c r="B400" s="7"/>
      <c r="C400" s="7"/>
      <c r="D400" s="7"/>
      <c r="E400" s="7"/>
      <c r="F400" s="7"/>
      <c r="G400" s="7"/>
      <c r="H400" s="7"/>
      <c r="I400" s="7"/>
      <c r="J400" s="7"/>
      <c r="K400" s="7"/>
      <c r="L400" s="7"/>
      <c r="M400" s="7"/>
      <c r="N400" s="7"/>
      <c r="O400" s="7"/>
      <c r="P400" s="7"/>
      <c r="Q400" s="7"/>
      <c r="R400" s="7"/>
      <c r="S400" s="7"/>
      <c r="T400" s="7"/>
    </row>
    <row r="401" ht="14.25" customHeight="1">
      <c r="A401" s="7"/>
      <c r="B401" s="7"/>
      <c r="C401" s="7"/>
      <c r="D401" s="7"/>
      <c r="E401" s="7"/>
      <c r="F401" s="7"/>
      <c r="G401" s="7"/>
      <c r="H401" s="7"/>
      <c r="I401" s="7"/>
      <c r="J401" s="7"/>
      <c r="K401" s="7"/>
      <c r="L401" s="7"/>
      <c r="M401" s="7"/>
      <c r="N401" s="7"/>
      <c r="O401" s="7"/>
      <c r="P401" s="7"/>
      <c r="Q401" s="7"/>
      <c r="R401" s="7"/>
      <c r="S401" s="7"/>
      <c r="T401" s="7"/>
    </row>
    <row r="402" ht="14.25" customHeight="1">
      <c r="A402" s="7"/>
      <c r="B402" s="7"/>
      <c r="C402" s="7"/>
      <c r="D402" s="7"/>
      <c r="E402" s="7"/>
      <c r="F402" s="7"/>
      <c r="G402" s="7"/>
      <c r="H402" s="7"/>
      <c r="I402" s="7"/>
      <c r="J402" s="7"/>
      <c r="K402" s="7"/>
      <c r="L402" s="7"/>
      <c r="M402" s="7"/>
      <c r="N402" s="7"/>
      <c r="O402" s="7"/>
      <c r="P402" s="7"/>
      <c r="Q402" s="7"/>
      <c r="R402" s="7"/>
      <c r="S402" s="7"/>
      <c r="T402" s="7"/>
    </row>
    <row r="403" ht="14.25" customHeight="1">
      <c r="A403" s="7"/>
      <c r="B403" s="7"/>
      <c r="C403" s="7"/>
      <c r="D403" s="7"/>
      <c r="E403" s="7"/>
      <c r="F403" s="7"/>
      <c r="G403" s="7"/>
      <c r="H403" s="7"/>
      <c r="I403" s="7"/>
      <c r="J403" s="7"/>
      <c r="K403" s="7"/>
      <c r="L403" s="7"/>
      <c r="M403" s="7"/>
      <c r="N403" s="7"/>
      <c r="O403" s="7"/>
      <c r="P403" s="7"/>
      <c r="Q403" s="7"/>
      <c r="R403" s="7"/>
      <c r="S403" s="7"/>
      <c r="T403" s="7"/>
    </row>
    <row r="404" ht="14.25" customHeight="1">
      <c r="A404" s="7"/>
      <c r="B404" s="7"/>
      <c r="C404" s="7"/>
      <c r="D404" s="7"/>
      <c r="E404" s="7"/>
      <c r="F404" s="7"/>
      <c r="G404" s="7"/>
      <c r="H404" s="7"/>
      <c r="I404" s="7"/>
      <c r="J404" s="7"/>
      <c r="K404" s="7"/>
      <c r="L404" s="7"/>
      <c r="M404" s="7"/>
      <c r="N404" s="7"/>
      <c r="O404" s="7"/>
      <c r="P404" s="7"/>
      <c r="Q404" s="7"/>
      <c r="R404" s="7"/>
      <c r="S404" s="7"/>
      <c r="T404" s="7"/>
    </row>
    <row r="405" ht="14.25" customHeight="1">
      <c r="A405" s="7"/>
      <c r="B405" s="7"/>
      <c r="C405" s="7"/>
      <c r="D405" s="7"/>
      <c r="E405" s="7"/>
      <c r="F405" s="7"/>
      <c r="G405" s="7"/>
      <c r="H405" s="7"/>
      <c r="I405" s="7"/>
      <c r="J405" s="7"/>
      <c r="K405" s="7"/>
      <c r="L405" s="7"/>
      <c r="M405" s="7"/>
      <c r="N405" s="7"/>
      <c r="O405" s="7"/>
      <c r="P405" s="7"/>
      <c r="Q405" s="7"/>
      <c r="R405" s="7"/>
      <c r="S405" s="7"/>
      <c r="T405" s="7"/>
    </row>
    <row r="406" ht="14.25" customHeight="1">
      <c r="A406" s="7"/>
      <c r="B406" s="7"/>
      <c r="C406" s="7"/>
      <c r="D406" s="7"/>
      <c r="E406" s="7"/>
      <c r="F406" s="7"/>
      <c r="G406" s="7"/>
      <c r="H406" s="7"/>
      <c r="I406" s="7"/>
      <c r="J406" s="7"/>
      <c r="K406" s="7"/>
      <c r="L406" s="7"/>
      <c r="M406" s="7"/>
      <c r="N406" s="7"/>
      <c r="O406" s="7"/>
      <c r="P406" s="7"/>
      <c r="Q406" s="7"/>
      <c r="R406" s="7"/>
      <c r="S406" s="7"/>
      <c r="T406" s="7"/>
    </row>
    <row r="407" ht="14.25" customHeight="1">
      <c r="A407" s="7"/>
      <c r="B407" s="7"/>
      <c r="C407" s="7"/>
      <c r="D407" s="7"/>
      <c r="E407" s="7"/>
      <c r="F407" s="7"/>
      <c r="G407" s="7"/>
      <c r="H407" s="7"/>
      <c r="I407" s="7"/>
      <c r="J407" s="7"/>
      <c r="K407" s="7"/>
      <c r="L407" s="7"/>
      <c r="M407" s="7"/>
      <c r="N407" s="7"/>
      <c r="O407" s="7"/>
      <c r="P407" s="7"/>
      <c r="Q407" s="7"/>
      <c r="R407" s="7"/>
      <c r="S407" s="7"/>
      <c r="T407" s="7"/>
    </row>
    <row r="408" ht="14.25" customHeight="1">
      <c r="A408" s="7"/>
      <c r="B408" s="7"/>
      <c r="C408" s="7"/>
      <c r="D408" s="7"/>
      <c r="E408" s="7"/>
      <c r="F408" s="7"/>
      <c r="G408" s="7"/>
      <c r="H408" s="7"/>
      <c r="I408" s="7"/>
      <c r="J408" s="7"/>
      <c r="K408" s="7"/>
      <c r="L408" s="7"/>
      <c r="M408" s="7"/>
      <c r="N408" s="7"/>
      <c r="O408" s="7"/>
      <c r="P408" s="7"/>
      <c r="Q408" s="7"/>
      <c r="R408" s="7"/>
      <c r="S408" s="7"/>
      <c r="T408" s="7"/>
    </row>
    <row r="409" ht="14.25" customHeight="1">
      <c r="A409" s="7"/>
      <c r="B409" s="7"/>
      <c r="C409" s="7"/>
      <c r="D409" s="7"/>
      <c r="E409" s="7"/>
      <c r="F409" s="7"/>
      <c r="G409" s="7"/>
      <c r="H409" s="7"/>
      <c r="I409" s="7"/>
      <c r="J409" s="7"/>
      <c r="K409" s="7"/>
      <c r="L409" s="7"/>
      <c r="M409" s="7"/>
      <c r="N409" s="7"/>
      <c r="O409" s="7"/>
      <c r="P409" s="7"/>
      <c r="Q409" s="7"/>
      <c r="R409" s="7"/>
      <c r="S409" s="7"/>
      <c r="T409" s="7"/>
    </row>
    <row r="410" ht="14.25" customHeight="1">
      <c r="A410" s="7"/>
      <c r="B410" s="7"/>
      <c r="C410" s="7"/>
      <c r="D410" s="7"/>
      <c r="E410" s="7"/>
      <c r="F410" s="7"/>
      <c r="G410" s="7"/>
      <c r="H410" s="7"/>
      <c r="I410" s="7"/>
      <c r="J410" s="7"/>
      <c r="K410" s="7"/>
      <c r="L410" s="7"/>
      <c r="M410" s="7"/>
      <c r="N410" s="7"/>
      <c r="O410" s="7"/>
      <c r="P410" s="7"/>
      <c r="Q410" s="7"/>
      <c r="R410" s="7"/>
      <c r="S410" s="7"/>
      <c r="T410" s="7"/>
    </row>
    <row r="411" ht="14.25" customHeight="1">
      <c r="A411" s="7"/>
      <c r="B411" s="7"/>
      <c r="C411" s="7"/>
      <c r="D411" s="7"/>
      <c r="E411" s="7"/>
      <c r="F411" s="7"/>
      <c r="G411" s="7"/>
      <c r="H411" s="7"/>
      <c r="I411" s="7"/>
      <c r="J411" s="7"/>
      <c r="K411" s="7"/>
      <c r="L411" s="7"/>
      <c r="M411" s="7"/>
      <c r="N411" s="7"/>
      <c r="O411" s="7"/>
      <c r="P411" s="7"/>
      <c r="Q411" s="7"/>
      <c r="R411" s="7"/>
      <c r="S411" s="7"/>
      <c r="T411" s="7"/>
    </row>
    <row r="412" ht="14.25" customHeight="1">
      <c r="A412" s="7"/>
      <c r="B412" s="7"/>
      <c r="C412" s="7"/>
      <c r="D412" s="7"/>
      <c r="E412" s="7"/>
      <c r="F412" s="7"/>
      <c r="G412" s="7"/>
      <c r="H412" s="7"/>
      <c r="I412" s="7"/>
      <c r="J412" s="7"/>
      <c r="K412" s="7"/>
      <c r="L412" s="7"/>
      <c r="M412" s="7"/>
      <c r="N412" s="7"/>
      <c r="O412" s="7"/>
      <c r="P412" s="7"/>
      <c r="Q412" s="7"/>
      <c r="R412" s="7"/>
      <c r="S412" s="7"/>
      <c r="T412" s="7"/>
    </row>
    <row r="413" ht="14.25" customHeight="1">
      <c r="A413" s="7"/>
      <c r="B413" s="7"/>
      <c r="C413" s="7"/>
      <c r="D413" s="7"/>
      <c r="E413" s="7"/>
      <c r="F413" s="7"/>
      <c r="G413" s="7"/>
      <c r="H413" s="7"/>
      <c r="I413" s="7"/>
      <c r="J413" s="7"/>
      <c r="K413" s="7"/>
      <c r="L413" s="7"/>
      <c r="M413" s="7"/>
      <c r="N413" s="7"/>
      <c r="O413" s="7"/>
      <c r="P413" s="7"/>
      <c r="Q413" s="7"/>
      <c r="R413" s="7"/>
      <c r="S413" s="7"/>
      <c r="T413" s="7"/>
    </row>
    <row r="414" ht="14.25" customHeight="1">
      <c r="A414" s="7"/>
      <c r="B414" s="7"/>
      <c r="C414" s="7"/>
      <c r="D414" s="7"/>
      <c r="E414" s="7"/>
      <c r="F414" s="7"/>
      <c r="G414" s="7"/>
      <c r="H414" s="7"/>
      <c r="I414" s="7"/>
      <c r="J414" s="7"/>
      <c r="K414" s="7"/>
      <c r="L414" s="7"/>
      <c r="M414" s="7"/>
      <c r="N414" s="7"/>
      <c r="O414" s="7"/>
      <c r="P414" s="7"/>
      <c r="Q414" s="7"/>
      <c r="R414" s="7"/>
      <c r="S414" s="7"/>
      <c r="T414" s="7"/>
    </row>
    <row r="415" ht="14.25" customHeight="1">
      <c r="A415" s="7"/>
      <c r="B415" s="7"/>
      <c r="C415" s="7"/>
      <c r="D415" s="7"/>
      <c r="E415" s="7"/>
      <c r="F415" s="7"/>
      <c r="G415" s="7"/>
      <c r="H415" s="7"/>
      <c r="I415" s="7"/>
      <c r="J415" s="7"/>
      <c r="K415" s="7"/>
      <c r="L415" s="7"/>
      <c r="M415" s="7"/>
      <c r="N415" s="7"/>
      <c r="O415" s="7"/>
      <c r="P415" s="7"/>
      <c r="Q415" s="7"/>
      <c r="R415" s="7"/>
      <c r="S415" s="7"/>
      <c r="T415" s="7"/>
    </row>
    <row r="416" ht="14.25" customHeight="1">
      <c r="A416" s="7"/>
      <c r="B416" s="7"/>
      <c r="C416" s="7"/>
      <c r="D416" s="7"/>
      <c r="E416" s="7"/>
      <c r="F416" s="7"/>
      <c r="G416" s="7"/>
      <c r="H416" s="7"/>
      <c r="I416" s="7"/>
      <c r="J416" s="7"/>
      <c r="K416" s="7"/>
      <c r="L416" s="7"/>
      <c r="M416" s="7"/>
      <c r="N416" s="7"/>
      <c r="O416" s="7"/>
      <c r="P416" s="7"/>
      <c r="Q416" s="7"/>
      <c r="R416" s="7"/>
      <c r="S416" s="7"/>
      <c r="T416" s="7"/>
    </row>
    <row r="417" ht="14.25" customHeight="1">
      <c r="A417" s="7"/>
      <c r="B417" s="7"/>
      <c r="C417" s="7"/>
      <c r="D417" s="7"/>
      <c r="E417" s="7"/>
      <c r="F417" s="7"/>
      <c r="G417" s="7"/>
      <c r="H417" s="7"/>
      <c r="I417" s="7"/>
      <c r="J417" s="7"/>
      <c r="K417" s="7"/>
      <c r="L417" s="7"/>
      <c r="M417" s="7"/>
      <c r="N417" s="7"/>
      <c r="O417" s="7"/>
      <c r="P417" s="7"/>
      <c r="Q417" s="7"/>
      <c r="R417" s="7"/>
      <c r="S417" s="7"/>
      <c r="T417" s="7"/>
    </row>
    <row r="418" ht="14.25" customHeight="1">
      <c r="A418" s="7"/>
      <c r="B418" s="7"/>
      <c r="C418" s="7"/>
      <c r="D418" s="7"/>
      <c r="E418" s="7"/>
      <c r="F418" s="7"/>
      <c r="G418" s="7"/>
      <c r="H418" s="7"/>
      <c r="I418" s="7"/>
      <c r="J418" s="7"/>
      <c r="K418" s="7"/>
      <c r="L418" s="7"/>
      <c r="M418" s="7"/>
      <c r="N418" s="7"/>
      <c r="O418" s="7"/>
      <c r="P418" s="7"/>
      <c r="Q418" s="7"/>
      <c r="R418" s="7"/>
      <c r="S418" s="7"/>
      <c r="T418" s="7"/>
    </row>
    <row r="419" ht="14.25" customHeight="1">
      <c r="A419" s="7"/>
      <c r="B419" s="7"/>
      <c r="C419" s="7"/>
      <c r="D419" s="7"/>
      <c r="E419" s="7"/>
      <c r="F419" s="7"/>
      <c r="G419" s="7"/>
      <c r="H419" s="7"/>
      <c r="I419" s="7"/>
      <c r="J419" s="7"/>
      <c r="K419" s="7"/>
      <c r="L419" s="7"/>
      <c r="M419" s="7"/>
      <c r="N419" s="7"/>
      <c r="O419" s="7"/>
      <c r="P419" s="7"/>
      <c r="Q419" s="7"/>
      <c r="R419" s="7"/>
      <c r="S419" s="7"/>
      <c r="T419" s="7"/>
    </row>
    <row r="420" ht="14.25" customHeight="1">
      <c r="A420" s="7"/>
      <c r="B420" s="7"/>
      <c r="C420" s="7"/>
      <c r="D420" s="7"/>
      <c r="E420" s="7"/>
      <c r="F420" s="7"/>
      <c r="G420" s="7"/>
      <c r="H420" s="7"/>
      <c r="I420" s="7"/>
      <c r="J420" s="7"/>
      <c r="K420" s="7"/>
      <c r="L420" s="7"/>
      <c r="M420" s="7"/>
      <c r="N420" s="7"/>
      <c r="O420" s="7"/>
      <c r="P420" s="7"/>
      <c r="Q420" s="7"/>
      <c r="R420" s="7"/>
      <c r="S420" s="7"/>
      <c r="T420" s="7"/>
    </row>
    <row r="421" ht="14.25" customHeight="1">
      <c r="A421" s="7"/>
      <c r="B421" s="7"/>
      <c r="C421" s="7"/>
      <c r="D421" s="7"/>
      <c r="E421" s="7"/>
      <c r="F421" s="7"/>
      <c r="G421" s="7"/>
      <c r="H421" s="7"/>
      <c r="I421" s="7"/>
      <c r="J421" s="7"/>
      <c r="K421" s="7"/>
      <c r="L421" s="7"/>
      <c r="M421" s="7"/>
      <c r="N421" s="7"/>
      <c r="O421" s="7"/>
      <c r="P421" s="7"/>
      <c r="Q421" s="7"/>
      <c r="R421" s="7"/>
      <c r="S421" s="7"/>
      <c r="T421" s="7"/>
    </row>
    <row r="422" ht="14.25" customHeight="1">
      <c r="A422" s="7"/>
      <c r="B422" s="7"/>
      <c r="C422" s="7"/>
      <c r="D422" s="7"/>
      <c r="E422" s="7"/>
      <c r="F422" s="7"/>
      <c r="G422" s="7"/>
      <c r="H422" s="7"/>
      <c r="I422" s="7"/>
      <c r="J422" s="7"/>
      <c r="K422" s="7"/>
      <c r="L422" s="7"/>
      <c r="M422" s="7"/>
      <c r="N422" s="7"/>
      <c r="O422" s="7"/>
      <c r="P422" s="7"/>
      <c r="Q422" s="7"/>
      <c r="R422" s="7"/>
      <c r="S422" s="7"/>
      <c r="T422" s="7"/>
    </row>
    <row r="423" ht="14.25" customHeight="1">
      <c r="A423" s="7"/>
      <c r="B423" s="7"/>
      <c r="C423" s="7"/>
      <c r="D423" s="7"/>
      <c r="E423" s="7"/>
      <c r="F423" s="7"/>
      <c r="G423" s="7"/>
      <c r="H423" s="7"/>
      <c r="I423" s="7"/>
      <c r="J423" s="7"/>
      <c r="K423" s="7"/>
      <c r="L423" s="7"/>
      <c r="M423" s="7"/>
      <c r="N423" s="7"/>
      <c r="O423" s="7"/>
      <c r="P423" s="7"/>
      <c r="Q423" s="7"/>
      <c r="R423" s="7"/>
      <c r="S423" s="7"/>
      <c r="T423" s="7"/>
    </row>
    <row r="424" ht="14.25" customHeight="1">
      <c r="A424" s="7"/>
      <c r="B424" s="7"/>
      <c r="C424" s="7"/>
      <c r="D424" s="7"/>
      <c r="E424" s="7"/>
      <c r="F424" s="7"/>
      <c r="G424" s="7"/>
      <c r="H424" s="7"/>
      <c r="I424" s="7"/>
      <c r="J424" s="7"/>
      <c r="K424" s="7"/>
      <c r="L424" s="7"/>
      <c r="M424" s="7"/>
      <c r="N424" s="7"/>
      <c r="O424" s="7"/>
      <c r="P424" s="7"/>
      <c r="Q424" s="7"/>
      <c r="R424" s="7"/>
      <c r="S424" s="7"/>
      <c r="T424" s="7"/>
    </row>
    <row r="425" ht="14.25" customHeight="1">
      <c r="A425" s="7"/>
      <c r="B425" s="7"/>
      <c r="C425" s="7"/>
      <c r="D425" s="7"/>
      <c r="E425" s="7"/>
      <c r="F425" s="7"/>
      <c r="G425" s="7"/>
      <c r="H425" s="7"/>
      <c r="I425" s="7"/>
      <c r="J425" s="7"/>
      <c r="K425" s="7"/>
      <c r="L425" s="7"/>
      <c r="M425" s="7"/>
      <c r="N425" s="7"/>
      <c r="O425" s="7"/>
      <c r="P425" s="7"/>
      <c r="Q425" s="7"/>
      <c r="R425" s="7"/>
      <c r="S425" s="7"/>
      <c r="T425" s="7"/>
    </row>
    <row r="426" ht="14.25" customHeight="1">
      <c r="A426" s="7"/>
      <c r="B426" s="7"/>
      <c r="C426" s="7"/>
      <c r="D426" s="7"/>
      <c r="E426" s="7"/>
      <c r="F426" s="7"/>
      <c r="G426" s="7"/>
      <c r="H426" s="7"/>
      <c r="I426" s="7"/>
      <c r="J426" s="7"/>
      <c r="K426" s="7"/>
      <c r="L426" s="7"/>
      <c r="M426" s="7"/>
      <c r="N426" s="7"/>
      <c r="O426" s="7"/>
      <c r="P426" s="7"/>
      <c r="Q426" s="7"/>
      <c r="R426" s="7"/>
      <c r="S426" s="7"/>
      <c r="T426" s="7"/>
    </row>
    <row r="427" ht="14.25" customHeight="1">
      <c r="A427" s="7"/>
      <c r="B427" s="7"/>
      <c r="C427" s="7"/>
      <c r="D427" s="7"/>
      <c r="E427" s="7"/>
      <c r="F427" s="7"/>
      <c r="G427" s="7"/>
      <c r="H427" s="7"/>
      <c r="I427" s="7"/>
      <c r="J427" s="7"/>
      <c r="K427" s="7"/>
      <c r="L427" s="7"/>
      <c r="M427" s="7"/>
      <c r="N427" s="7"/>
      <c r="O427" s="7"/>
      <c r="P427" s="7"/>
      <c r="Q427" s="7"/>
      <c r="R427" s="7"/>
      <c r="S427" s="7"/>
      <c r="T427" s="7"/>
    </row>
    <row r="428" ht="14.25" customHeight="1">
      <c r="A428" s="7"/>
      <c r="B428" s="7"/>
      <c r="C428" s="7"/>
      <c r="D428" s="7"/>
      <c r="E428" s="7"/>
      <c r="F428" s="7"/>
      <c r="G428" s="7"/>
      <c r="H428" s="7"/>
      <c r="I428" s="7"/>
      <c r="J428" s="7"/>
      <c r="K428" s="7"/>
      <c r="L428" s="7"/>
      <c r="M428" s="7"/>
      <c r="N428" s="7"/>
      <c r="O428" s="7"/>
      <c r="P428" s="7"/>
      <c r="Q428" s="7"/>
      <c r="R428" s="7"/>
      <c r="S428" s="7"/>
      <c r="T428" s="7"/>
    </row>
    <row r="429" ht="14.25" customHeight="1">
      <c r="A429" s="7"/>
      <c r="B429" s="7"/>
      <c r="C429" s="7"/>
      <c r="D429" s="7"/>
      <c r="E429" s="7"/>
      <c r="F429" s="7"/>
      <c r="G429" s="7"/>
      <c r="H429" s="7"/>
      <c r="I429" s="7"/>
      <c r="J429" s="7"/>
      <c r="K429" s="7"/>
      <c r="L429" s="7"/>
      <c r="M429" s="7"/>
      <c r="N429" s="7"/>
      <c r="O429" s="7"/>
      <c r="P429" s="7"/>
      <c r="Q429" s="7"/>
      <c r="R429" s="7"/>
      <c r="S429" s="7"/>
      <c r="T429" s="7"/>
    </row>
    <row r="430" ht="14.25" customHeight="1">
      <c r="A430" s="7"/>
      <c r="B430" s="7"/>
      <c r="C430" s="7"/>
      <c r="D430" s="7"/>
      <c r="E430" s="7"/>
      <c r="F430" s="7"/>
      <c r="G430" s="7"/>
      <c r="H430" s="7"/>
      <c r="I430" s="7"/>
      <c r="J430" s="7"/>
      <c r="K430" s="7"/>
      <c r="L430" s="7"/>
      <c r="M430" s="7"/>
      <c r="N430" s="7"/>
      <c r="O430" s="7"/>
      <c r="P430" s="7"/>
      <c r="Q430" s="7"/>
      <c r="R430" s="7"/>
      <c r="S430" s="7"/>
      <c r="T430" s="7"/>
    </row>
    <row r="431" ht="14.25" customHeight="1">
      <c r="A431" s="7"/>
      <c r="B431" s="7"/>
      <c r="C431" s="7"/>
      <c r="D431" s="7"/>
      <c r="E431" s="7"/>
      <c r="F431" s="7"/>
      <c r="G431" s="7"/>
      <c r="H431" s="7"/>
      <c r="I431" s="7"/>
      <c r="J431" s="7"/>
      <c r="K431" s="7"/>
      <c r="L431" s="7"/>
      <c r="M431" s="7"/>
      <c r="N431" s="7"/>
      <c r="O431" s="7"/>
      <c r="P431" s="7"/>
      <c r="Q431" s="7"/>
      <c r="R431" s="7"/>
      <c r="S431" s="7"/>
      <c r="T431" s="7"/>
    </row>
    <row r="432" ht="14.25" customHeight="1">
      <c r="A432" s="7"/>
      <c r="B432" s="7"/>
      <c r="C432" s="7"/>
      <c r="D432" s="7"/>
      <c r="E432" s="7"/>
      <c r="F432" s="7"/>
      <c r="G432" s="7"/>
      <c r="H432" s="7"/>
      <c r="I432" s="7"/>
      <c r="J432" s="7"/>
      <c r="K432" s="7"/>
      <c r="L432" s="7"/>
      <c r="M432" s="7"/>
      <c r="N432" s="7"/>
      <c r="O432" s="7"/>
      <c r="P432" s="7"/>
      <c r="Q432" s="7"/>
      <c r="R432" s="7"/>
      <c r="S432" s="7"/>
      <c r="T432" s="7"/>
    </row>
    <row r="433" ht="14.25" customHeight="1">
      <c r="A433" s="7"/>
      <c r="B433" s="7"/>
      <c r="C433" s="7"/>
      <c r="D433" s="7"/>
      <c r="E433" s="7"/>
      <c r="F433" s="7"/>
      <c r="G433" s="7"/>
      <c r="H433" s="7"/>
      <c r="I433" s="7"/>
      <c r="J433" s="7"/>
      <c r="K433" s="7"/>
      <c r="L433" s="7"/>
      <c r="M433" s="7"/>
      <c r="N433" s="7"/>
      <c r="O433" s="7"/>
      <c r="P433" s="7"/>
      <c r="Q433" s="7"/>
      <c r="R433" s="7"/>
      <c r="S433" s="7"/>
      <c r="T433" s="7"/>
    </row>
    <row r="434" ht="14.25" customHeight="1">
      <c r="A434" s="7"/>
      <c r="B434" s="7"/>
      <c r="C434" s="7"/>
      <c r="D434" s="7"/>
      <c r="E434" s="7"/>
      <c r="F434" s="7"/>
      <c r="G434" s="7"/>
      <c r="H434" s="7"/>
      <c r="I434" s="7"/>
      <c r="J434" s="7"/>
      <c r="K434" s="7"/>
      <c r="L434" s="7"/>
      <c r="M434" s="7"/>
      <c r="N434" s="7"/>
      <c r="O434" s="7"/>
      <c r="P434" s="7"/>
      <c r="Q434" s="7"/>
      <c r="R434" s="7"/>
      <c r="S434" s="7"/>
      <c r="T434" s="7"/>
    </row>
    <row r="435" ht="14.25" customHeight="1">
      <c r="A435" s="7"/>
      <c r="B435" s="7"/>
      <c r="C435" s="7"/>
      <c r="D435" s="7"/>
      <c r="E435" s="7"/>
      <c r="F435" s="7"/>
      <c r="G435" s="7"/>
      <c r="H435" s="7"/>
      <c r="I435" s="7"/>
      <c r="J435" s="7"/>
      <c r="K435" s="7"/>
      <c r="L435" s="7"/>
      <c r="M435" s="7"/>
      <c r="N435" s="7"/>
      <c r="O435" s="7"/>
      <c r="P435" s="7"/>
      <c r="Q435" s="7"/>
      <c r="R435" s="7"/>
      <c r="S435" s="7"/>
      <c r="T435" s="7"/>
    </row>
    <row r="436" ht="14.25" customHeight="1">
      <c r="A436" s="7"/>
      <c r="B436" s="7"/>
      <c r="C436" s="7"/>
      <c r="D436" s="7"/>
      <c r="E436" s="7"/>
      <c r="F436" s="7"/>
      <c r="G436" s="7"/>
      <c r="H436" s="7"/>
      <c r="I436" s="7"/>
      <c r="J436" s="7"/>
      <c r="K436" s="7"/>
      <c r="L436" s="7"/>
      <c r="M436" s="7"/>
      <c r="N436" s="7"/>
      <c r="O436" s="7"/>
      <c r="P436" s="7"/>
      <c r="Q436" s="7"/>
      <c r="R436" s="7"/>
      <c r="S436" s="7"/>
      <c r="T436" s="7"/>
    </row>
    <row r="437" ht="14.25" customHeight="1">
      <c r="A437" s="7"/>
      <c r="B437" s="7"/>
      <c r="C437" s="7"/>
      <c r="D437" s="7"/>
      <c r="E437" s="7"/>
      <c r="F437" s="7"/>
      <c r="G437" s="7"/>
      <c r="H437" s="7"/>
      <c r="I437" s="7"/>
      <c r="J437" s="7"/>
      <c r="K437" s="7"/>
      <c r="L437" s="7"/>
      <c r="M437" s="7"/>
      <c r="N437" s="7"/>
      <c r="O437" s="7"/>
      <c r="P437" s="7"/>
      <c r="Q437" s="7"/>
      <c r="R437" s="7"/>
      <c r="S437" s="7"/>
      <c r="T437" s="7"/>
    </row>
    <row r="438" ht="14.25" customHeight="1">
      <c r="A438" s="7"/>
      <c r="B438" s="7"/>
      <c r="C438" s="7"/>
      <c r="D438" s="7"/>
      <c r="E438" s="7"/>
      <c r="F438" s="7"/>
      <c r="G438" s="7"/>
      <c r="H438" s="7"/>
      <c r="I438" s="7"/>
      <c r="J438" s="7"/>
      <c r="K438" s="7"/>
      <c r="L438" s="7"/>
      <c r="M438" s="7"/>
      <c r="N438" s="7"/>
      <c r="O438" s="7"/>
      <c r="P438" s="7"/>
      <c r="Q438" s="7"/>
      <c r="R438" s="7"/>
      <c r="S438" s="7"/>
      <c r="T438" s="7"/>
    </row>
    <row r="439" ht="14.25" customHeight="1">
      <c r="A439" s="7"/>
      <c r="B439" s="7"/>
      <c r="C439" s="7"/>
      <c r="D439" s="7"/>
      <c r="E439" s="7"/>
      <c r="F439" s="7"/>
      <c r="G439" s="7"/>
      <c r="H439" s="7"/>
      <c r="I439" s="7"/>
      <c r="J439" s="7"/>
      <c r="K439" s="7"/>
      <c r="L439" s="7"/>
      <c r="M439" s="7"/>
      <c r="N439" s="7"/>
      <c r="O439" s="7"/>
      <c r="P439" s="7"/>
      <c r="Q439" s="7"/>
      <c r="R439" s="7"/>
      <c r="S439" s="7"/>
      <c r="T439" s="7"/>
    </row>
    <row r="440" ht="14.25" customHeight="1">
      <c r="A440" s="7"/>
      <c r="B440" s="7"/>
      <c r="C440" s="7"/>
      <c r="D440" s="7"/>
      <c r="E440" s="7"/>
      <c r="F440" s="7"/>
      <c r="G440" s="7"/>
      <c r="H440" s="7"/>
      <c r="I440" s="7"/>
      <c r="J440" s="7"/>
      <c r="K440" s="7"/>
      <c r="L440" s="7"/>
      <c r="M440" s="7"/>
      <c r="N440" s="7"/>
      <c r="O440" s="7"/>
      <c r="P440" s="7"/>
      <c r="Q440" s="7"/>
      <c r="R440" s="7"/>
      <c r="S440" s="7"/>
      <c r="T440" s="7"/>
    </row>
    <row r="441" ht="14.25" customHeight="1">
      <c r="A441" s="7"/>
      <c r="B441" s="7"/>
      <c r="C441" s="7"/>
      <c r="D441" s="7"/>
      <c r="E441" s="7"/>
      <c r="F441" s="7"/>
      <c r="G441" s="7"/>
      <c r="H441" s="7"/>
      <c r="I441" s="7"/>
      <c r="J441" s="7"/>
      <c r="K441" s="7"/>
      <c r="L441" s="7"/>
      <c r="M441" s="7"/>
      <c r="N441" s="7"/>
      <c r="O441" s="7"/>
      <c r="P441" s="7"/>
      <c r="Q441" s="7"/>
      <c r="R441" s="7"/>
      <c r="S441" s="7"/>
      <c r="T441" s="7"/>
    </row>
    <row r="442" ht="14.25" customHeight="1">
      <c r="A442" s="7"/>
      <c r="B442" s="7"/>
      <c r="C442" s="7"/>
      <c r="D442" s="7"/>
      <c r="E442" s="7"/>
      <c r="F442" s="7"/>
      <c r="G442" s="7"/>
      <c r="H442" s="7"/>
      <c r="I442" s="7"/>
      <c r="J442" s="7"/>
      <c r="K442" s="7"/>
      <c r="L442" s="7"/>
      <c r="M442" s="7"/>
      <c r="N442" s="7"/>
      <c r="O442" s="7"/>
      <c r="P442" s="7"/>
      <c r="Q442" s="7"/>
      <c r="R442" s="7"/>
      <c r="S442" s="7"/>
      <c r="T442" s="7"/>
    </row>
    <row r="443" ht="14.25" customHeight="1">
      <c r="A443" s="7"/>
      <c r="B443" s="7"/>
      <c r="C443" s="7"/>
      <c r="D443" s="7"/>
      <c r="E443" s="7"/>
      <c r="F443" s="7"/>
      <c r="G443" s="7"/>
      <c r="H443" s="7"/>
      <c r="I443" s="7"/>
      <c r="J443" s="7"/>
      <c r="K443" s="7"/>
      <c r="L443" s="7"/>
      <c r="M443" s="7"/>
      <c r="N443" s="7"/>
      <c r="O443" s="7"/>
      <c r="P443" s="7"/>
      <c r="Q443" s="7"/>
      <c r="R443" s="7"/>
      <c r="S443" s="7"/>
      <c r="T443" s="7"/>
    </row>
    <row r="444" ht="14.25" customHeight="1">
      <c r="A444" s="7"/>
      <c r="B444" s="7"/>
      <c r="C444" s="7"/>
      <c r="D444" s="7"/>
      <c r="E444" s="7"/>
      <c r="F444" s="7"/>
      <c r="G444" s="7"/>
      <c r="H444" s="7"/>
      <c r="I444" s="7"/>
      <c r="J444" s="7"/>
      <c r="K444" s="7"/>
      <c r="L444" s="7"/>
      <c r="M444" s="7"/>
      <c r="N444" s="7"/>
      <c r="O444" s="7"/>
      <c r="P444" s="7"/>
      <c r="Q444" s="7"/>
      <c r="R444" s="7"/>
      <c r="S444" s="7"/>
      <c r="T444" s="7"/>
    </row>
    <row r="445" ht="14.25" customHeight="1">
      <c r="A445" s="7"/>
      <c r="B445" s="7"/>
      <c r="C445" s="7"/>
      <c r="D445" s="7"/>
      <c r="E445" s="7"/>
      <c r="F445" s="7"/>
      <c r="G445" s="7"/>
      <c r="H445" s="7"/>
      <c r="I445" s="7"/>
      <c r="J445" s="7"/>
      <c r="K445" s="7"/>
      <c r="L445" s="7"/>
      <c r="M445" s="7"/>
      <c r="N445" s="7"/>
      <c r="O445" s="7"/>
      <c r="P445" s="7"/>
      <c r="Q445" s="7"/>
      <c r="R445" s="7"/>
      <c r="S445" s="7"/>
      <c r="T445" s="7"/>
    </row>
    <row r="446" ht="14.25" customHeight="1">
      <c r="A446" s="7"/>
      <c r="B446" s="7"/>
      <c r="C446" s="7"/>
      <c r="D446" s="7"/>
      <c r="E446" s="7"/>
      <c r="F446" s="7"/>
      <c r="G446" s="7"/>
      <c r="H446" s="7"/>
      <c r="I446" s="7"/>
      <c r="J446" s="7"/>
      <c r="K446" s="7"/>
      <c r="L446" s="7"/>
      <c r="M446" s="7"/>
      <c r="N446" s="7"/>
      <c r="O446" s="7"/>
      <c r="P446" s="7"/>
      <c r="Q446" s="7"/>
      <c r="R446" s="7"/>
      <c r="S446" s="7"/>
      <c r="T446" s="7"/>
    </row>
    <row r="447" ht="14.25" customHeight="1">
      <c r="A447" s="7"/>
      <c r="B447" s="7"/>
      <c r="C447" s="7"/>
      <c r="D447" s="7"/>
      <c r="E447" s="7"/>
      <c r="F447" s="7"/>
      <c r="G447" s="7"/>
      <c r="H447" s="7"/>
      <c r="I447" s="7"/>
      <c r="J447" s="7"/>
      <c r="K447" s="7"/>
      <c r="L447" s="7"/>
      <c r="M447" s="7"/>
      <c r="N447" s="7"/>
      <c r="O447" s="7"/>
      <c r="P447" s="7"/>
      <c r="Q447" s="7"/>
      <c r="R447" s="7"/>
      <c r="S447" s="7"/>
      <c r="T447" s="7"/>
    </row>
    <row r="448" ht="14.25" customHeight="1">
      <c r="A448" s="7"/>
      <c r="B448" s="7"/>
      <c r="C448" s="7"/>
      <c r="D448" s="7"/>
      <c r="E448" s="7"/>
      <c r="F448" s="7"/>
      <c r="G448" s="7"/>
      <c r="H448" s="7"/>
      <c r="I448" s="7"/>
      <c r="J448" s="7"/>
      <c r="K448" s="7"/>
      <c r="L448" s="7"/>
      <c r="M448" s="7"/>
      <c r="N448" s="7"/>
      <c r="O448" s="7"/>
      <c r="P448" s="7"/>
      <c r="Q448" s="7"/>
      <c r="R448" s="7"/>
      <c r="S448" s="7"/>
      <c r="T448" s="7"/>
    </row>
    <row r="449" ht="14.25" customHeight="1">
      <c r="A449" s="7"/>
      <c r="B449" s="7"/>
      <c r="C449" s="7"/>
      <c r="D449" s="7"/>
      <c r="E449" s="7"/>
      <c r="F449" s="7"/>
      <c r="G449" s="7"/>
      <c r="H449" s="7"/>
      <c r="I449" s="7"/>
      <c r="J449" s="7"/>
      <c r="K449" s="7"/>
      <c r="L449" s="7"/>
      <c r="M449" s="7"/>
      <c r="N449" s="7"/>
      <c r="O449" s="7"/>
      <c r="P449" s="7"/>
      <c r="Q449" s="7"/>
      <c r="R449" s="7"/>
      <c r="S449" s="7"/>
      <c r="T449" s="7"/>
    </row>
    <row r="450" ht="14.25" customHeight="1">
      <c r="A450" s="7"/>
      <c r="B450" s="7"/>
      <c r="C450" s="7"/>
      <c r="D450" s="7"/>
      <c r="E450" s="7"/>
      <c r="F450" s="7"/>
      <c r="G450" s="7"/>
      <c r="H450" s="7"/>
      <c r="I450" s="7"/>
      <c r="J450" s="7"/>
      <c r="K450" s="7"/>
      <c r="L450" s="7"/>
      <c r="M450" s="7"/>
      <c r="N450" s="7"/>
      <c r="O450" s="7"/>
      <c r="P450" s="7"/>
      <c r="Q450" s="7"/>
      <c r="R450" s="7"/>
      <c r="S450" s="7"/>
      <c r="T450" s="7"/>
    </row>
    <row r="451" ht="14.25" customHeight="1">
      <c r="A451" s="7"/>
      <c r="B451" s="7"/>
      <c r="C451" s="7"/>
      <c r="D451" s="7"/>
      <c r="E451" s="7"/>
      <c r="F451" s="7"/>
      <c r="G451" s="7"/>
      <c r="H451" s="7"/>
      <c r="I451" s="7"/>
      <c r="J451" s="7"/>
      <c r="K451" s="7"/>
      <c r="L451" s="7"/>
      <c r="M451" s="7"/>
      <c r="N451" s="7"/>
      <c r="O451" s="7"/>
      <c r="P451" s="7"/>
      <c r="Q451" s="7"/>
      <c r="R451" s="7"/>
      <c r="S451" s="7"/>
      <c r="T451" s="7"/>
    </row>
    <row r="452" ht="14.25" customHeight="1">
      <c r="A452" s="7"/>
      <c r="B452" s="7"/>
      <c r="C452" s="7"/>
      <c r="D452" s="7"/>
      <c r="E452" s="7"/>
      <c r="F452" s="7"/>
      <c r="G452" s="7"/>
      <c r="H452" s="7"/>
      <c r="I452" s="7"/>
      <c r="J452" s="7"/>
      <c r="K452" s="7"/>
      <c r="L452" s="7"/>
      <c r="M452" s="7"/>
      <c r="N452" s="7"/>
      <c r="O452" s="7"/>
      <c r="P452" s="7"/>
      <c r="Q452" s="7"/>
      <c r="R452" s="7"/>
      <c r="S452" s="7"/>
      <c r="T452" s="7"/>
    </row>
    <row r="453" ht="14.25" customHeight="1">
      <c r="A453" s="7"/>
      <c r="B453" s="7"/>
      <c r="C453" s="7"/>
      <c r="D453" s="7"/>
      <c r="E453" s="7"/>
      <c r="F453" s="7"/>
      <c r="G453" s="7"/>
      <c r="H453" s="7"/>
      <c r="I453" s="7"/>
      <c r="J453" s="7"/>
      <c r="K453" s="7"/>
      <c r="L453" s="7"/>
      <c r="M453" s="7"/>
      <c r="N453" s="7"/>
      <c r="O453" s="7"/>
      <c r="P453" s="7"/>
      <c r="Q453" s="7"/>
      <c r="R453" s="7"/>
      <c r="S453" s="7"/>
      <c r="T453" s="7"/>
    </row>
    <row r="454" ht="14.25" customHeight="1">
      <c r="A454" s="7"/>
      <c r="B454" s="7"/>
      <c r="C454" s="7"/>
      <c r="D454" s="7"/>
      <c r="E454" s="7"/>
      <c r="F454" s="7"/>
      <c r="G454" s="7"/>
      <c r="H454" s="7"/>
      <c r="I454" s="7"/>
      <c r="J454" s="7"/>
      <c r="K454" s="7"/>
      <c r="L454" s="7"/>
      <c r="M454" s="7"/>
      <c r="N454" s="7"/>
      <c r="O454" s="7"/>
      <c r="P454" s="7"/>
      <c r="Q454" s="7"/>
      <c r="R454" s="7"/>
      <c r="S454" s="7"/>
      <c r="T454" s="7"/>
    </row>
    <row r="455" ht="14.25" customHeight="1">
      <c r="A455" s="7"/>
      <c r="B455" s="7"/>
      <c r="C455" s="7"/>
      <c r="D455" s="7"/>
      <c r="E455" s="7"/>
      <c r="F455" s="7"/>
      <c r="G455" s="7"/>
      <c r="H455" s="7"/>
      <c r="I455" s="7"/>
      <c r="J455" s="7"/>
      <c r="K455" s="7"/>
      <c r="L455" s="7"/>
      <c r="M455" s="7"/>
      <c r="N455" s="7"/>
      <c r="O455" s="7"/>
      <c r="P455" s="7"/>
      <c r="Q455" s="7"/>
      <c r="R455" s="7"/>
      <c r="S455" s="7"/>
      <c r="T455" s="7"/>
    </row>
    <row r="456" ht="14.25" customHeight="1">
      <c r="A456" s="7"/>
      <c r="B456" s="7"/>
      <c r="C456" s="7"/>
      <c r="D456" s="7"/>
      <c r="E456" s="7"/>
      <c r="F456" s="7"/>
      <c r="G456" s="7"/>
      <c r="H456" s="7"/>
      <c r="I456" s="7"/>
      <c r="J456" s="7"/>
      <c r="K456" s="7"/>
      <c r="L456" s="7"/>
      <c r="M456" s="7"/>
      <c r="N456" s="7"/>
      <c r="O456" s="7"/>
      <c r="P456" s="7"/>
      <c r="Q456" s="7"/>
      <c r="R456" s="7"/>
      <c r="S456" s="7"/>
      <c r="T456" s="7"/>
    </row>
    <row r="457" ht="14.25" customHeight="1">
      <c r="A457" s="7"/>
      <c r="B457" s="7"/>
      <c r="C457" s="7"/>
      <c r="D457" s="7"/>
      <c r="E457" s="7"/>
      <c r="F457" s="7"/>
      <c r="G457" s="7"/>
      <c r="H457" s="7"/>
      <c r="I457" s="7"/>
      <c r="J457" s="7"/>
      <c r="K457" s="7"/>
      <c r="L457" s="7"/>
      <c r="M457" s="7"/>
      <c r="N457" s="7"/>
      <c r="O457" s="7"/>
      <c r="P457" s="7"/>
      <c r="Q457" s="7"/>
      <c r="R457" s="7"/>
      <c r="S457" s="7"/>
      <c r="T457" s="7"/>
    </row>
    <row r="458" ht="14.25" customHeight="1">
      <c r="A458" s="7"/>
      <c r="B458" s="7"/>
      <c r="C458" s="7"/>
      <c r="D458" s="7"/>
      <c r="E458" s="7"/>
      <c r="F458" s="7"/>
      <c r="G458" s="7"/>
      <c r="H458" s="7"/>
      <c r="I458" s="7"/>
      <c r="J458" s="7"/>
      <c r="K458" s="7"/>
      <c r="L458" s="7"/>
      <c r="M458" s="7"/>
      <c r="N458" s="7"/>
      <c r="O458" s="7"/>
      <c r="P458" s="7"/>
      <c r="Q458" s="7"/>
      <c r="R458" s="7"/>
      <c r="S458" s="7"/>
      <c r="T458" s="7"/>
    </row>
    <row r="459" ht="14.25" customHeight="1">
      <c r="A459" s="7"/>
      <c r="B459" s="7"/>
      <c r="C459" s="7"/>
      <c r="D459" s="7"/>
      <c r="E459" s="7"/>
      <c r="F459" s="7"/>
      <c r="G459" s="7"/>
      <c r="H459" s="7"/>
      <c r="I459" s="7"/>
      <c r="J459" s="7"/>
      <c r="K459" s="7"/>
      <c r="L459" s="7"/>
      <c r="M459" s="7"/>
      <c r="N459" s="7"/>
      <c r="O459" s="7"/>
      <c r="P459" s="7"/>
      <c r="Q459" s="7"/>
      <c r="R459" s="7"/>
      <c r="S459" s="7"/>
      <c r="T459" s="7"/>
    </row>
    <row r="460" ht="14.25" customHeight="1">
      <c r="A460" s="7"/>
      <c r="B460" s="7"/>
      <c r="C460" s="7"/>
      <c r="D460" s="7"/>
      <c r="E460" s="7"/>
      <c r="F460" s="7"/>
      <c r="G460" s="7"/>
      <c r="H460" s="7"/>
      <c r="I460" s="7"/>
      <c r="J460" s="7"/>
      <c r="K460" s="7"/>
      <c r="L460" s="7"/>
      <c r="M460" s="7"/>
      <c r="N460" s="7"/>
      <c r="O460" s="7"/>
      <c r="P460" s="7"/>
      <c r="Q460" s="7"/>
      <c r="R460" s="7"/>
      <c r="S460" s="7"/>
      <c r="T460" s="7"/>
    </row>
    <row r="461" ht="14.25" customHeight="1">
      <c r="A461" s="7"/>
      <c r="B461" s="7"/>
      <c r="C461" s="7"/>
      <c r="D461" s="7"/>
      <c r="E461" s="7"/>
      <c r="F461" s="7"/>
      <c r="G461" s="7"/>
      <c r="H461" s="7"/>
      <c r="I461" s="7"/>
      <c r="J461" s="7"/>
      <c r="K461" s="7"/>
      <c r="L461" s="7"/>
      <c r="M461" s="7"/>
      <c r="N461" s="7"/>
      <c r="O461" s="7"/>
      <c r="P461" s="7"/>
      <c r="Q461" s="7"/>
      <c r="R461" s="7"/>
      <c r="S461" s="7"/>
      <c r="T461" s="7"/>
    </row>
    <row r="462" ht="14.25" customHeight="1">
      <c r="A462" s="7"/>
      <c r="B462" s="7"/>
      <c r="C462" s="7"/>
      <c r="D462" s="7"/>
      <c r="E462" s="7"/>
      <c r="F462" s="7"/>
      <c r="G462" s="7"/>
      <c r="H462" s="7"/>
      <c r="I462" s="7"/>
      <c r="J462" s="7"/>
      <c r="K462" s="7"/>
      <c r="L462" s="7"/>
      <c r="M462" s="7"/>
      <c r="N462" s="7"/>
      <c r="O462" s="7"/>
      <c r="P462" s="7"/>
      <c r="Q462" s="7"/>
      <c r="R462" s="7"/>
      <c r="S462" s="7"/>
      <c r="T462" s="7"/>
    </row>
    <row r="463" ht="14.25" customHeight="1">
      <c r="A463" s="7"/>
      <c r="B463" s="7"/>
      <c r="C463" s="7"/>
      <c r="D463" s="7"/>
      <c r="E463" s="7"/>
      <c r="F463" s="7"/>
      <c r="G463" s="7"/>
      <c r="H463" s="7"/>
      <c r="I463" s="7"/>
      <c r="J463" s="7"/>
      <c r="K463" s="7"/>
      <c r="L463" s="7"/>
      <c r="M463" s="7"/>
      <c r="N463" s="7"/>
      <c r="O463" s="7"/>
      <c r="P463" s="7"/>
      <c r="Q463" s="7"/>
      <c r="R463" s="7"/>
      <c r="S463" s="7"/>
      <c r="T463" s="7"/>
    </row>
    <row r="464" ht="14.25" customHeight="1">
      <c r="A464" s="7"/>
      <c r="B464" s="7"/>
      <c r="C464" s="7"/>
      <c r="D464" s="7"/>
      <c r="E464" s="7"/>
      <c r="F464" s="7"/>
      <c r="G464" s="7"/>
      <c r="H464" s="7"/>
      <c r="I464" s="7"/>
      <c r="J464" s="7"/>
      <c r="K464" s="7"/>
      <c r="L464" s="7"/>
      <c r="M464" s="7"/>
      <c r="N464" s="7"/>
      <c r="O464" s="7"/>
      <c r="P464" s="7"/>
      <c r="Q464" s="7"/>
      <c r="R464" s="7"/>
      <c r="S464" s="7"/>
      <c r="T464" s="7"/>
    </row>
    <row r="465" ht="14.25" customHeight="1">
      <c r="A465" s="7"/>
      <c r="B465" s="7"/>
      <c r="C465" s="7"/>
      <c r="D465" s="7"/>
      <c r="E465" s="7"/>
      <c r="F465" s="7"/>
      <c r="G465" s="7"/>
      <c r="H465" s="7"/>
      <c r="I465" s="7"/>
      <c r="J465" s="7"/>
      <c r="K465" s="7"/>
      <c r="L465" s="7"/>
      <c r="M465" s="7"/>
      <c r="N465" s="7"/>
      <c r="O465" s="7"/>
      <c r="P465" s="7"/>
      <c r="Q465" s="7"/>
      <c r="R465" s="7"/>
      <c r="S465" s="7"/>
      <c r="T465" s="7"/>
    </row>
    <row r="466" ht="14.25" customHeight="1">
      <c r="A466" s="7"/>
      <c r="B466" s="7"/>
      <c r="C466" s="7"/>
      <c r="D466" s="7"/>
      <c r="E466" s="7"/>
      <c r="F466" s="7"/>
      <c r="G466" s="7"/>
      <c r="H466" s="7"/>
      <c r="I466" s="7"/>
      <c r="J466" s="7"/>
      <c r="K466" s="7"/>
      <c r="L466" s="7"/>
      <c r="M466" s="7"/>
      <c r="N466" s="7"/>
      <c r="O466" s="7"/>
      <c r="P466" s="7"/>
      <c r="Q466" s="7"/>
      <c r="R466" s="7"/>
      <c r="S466" s="7"/>
      <c r="T466" s="7"/>
    </row>
    <row r="467" ht="14.25" customHeight="1">
      <c r="A467" s="7"/>
      <c r="B467" s="7"/>
      <c r="C467" s="7"/>
      <c r="D467" s="7"/>
      <c r="E467" s="7"/>
      <c r="F467" s="7"/>
      <c r="G467" s="7"/>
      <c r="H467" s="7"/>
      <c r="I467" s="7"/>
      <c r="J467" s="7"/>
      <c r="K467" s="7"/>
      <c r="L467" s="7"/>
      <c r="M467" s="7"/>
      <c r="N467" s="7"/>
      <c r="O467" s="7"/>
      <c r="P467" s="7"/>
      <c r="Q467" s="7"/>
      <c r="R467" s="7"/>
      <c r="S467" s="7"/>
      <c r="T467" s="7"/>
    </row>
    <row r="468" ht="14.25" customHeight="1">
      <c r="A468" s="7"/>
      <c r="B468" s="7"/>
      <c r="C468" s="7"/>
      <c r="D468" s="7"/>
      <c r="E468" s="7"/>
      <c r="F468" s="7"/>
      <c r="G468" s="7"/>
      <c r="H468" s="7"/>
      <c r="I468" s="7"/>
      <c r="J468" s="7"/>
      <c r="K468" s="7"/>
      <c r="L468" s="7"/>
      <c r="M468" s="7"/>
      <c r="N468" s="7"/>
      <c r="O468" s="7"/>
      <c r="P468" s="7"/>
      <c r="Q468" s="7"/>
      <c r="R468" s="7"/>
      <c r="S468" s="7"/>
      <c r="T468" s="7"/>
    </row>
    <row r="469" ht="14.25" customHeight="1">
      <c r="A469" s="7"/>
      <c r="B469" s="7"/>
      <c r="C469" s="7"/>
      <c r="D469" s="7"/>
      <c r="E469" s="7"/>
      <c r="F469" s="7"/>
      <c r="G469" s="7"/>
      <c r="H469" s="7"/>
      <c r="I469" s="7"/>
      <c r="J469" s="7"/>
      <c r="K469" s="7"/>
      <c r="L469" s="7"/>
      <c r="M469" s="7"/>
      <c r="N469" s="7"/>
      <c r="O469" s="7"/>
      <c r="P469" s="7"/>
      <c r="Q469" s="7"/>
      <c r="R469" s="7"/>
      <c r="S469" s="7"/>
      <c r="T469" s="7"/>
    </row>
    <row r="470" ht="14.25" customHeight="1">
      <c r="A470" s="7"/>
      <c r="B470" s="7"/>
      <c r="C470" s="7"/>
      <c r="D470" s="7"/>
      <c r="E470" s="7"/>
      <c r="F470" s="7"/>
      <c r="G470" s="7"/>
      <c r="H470" s="7"/>
      <c r="I470" s="7"/>
      <c r="J470" s="7"/>
      <c r="K470" s="7"/>
      <c r="L470" s="7"/>
      <c r="M470" s="7"/>
      <c r="N470" s="7"/>
      <c r="O470" s="7"/>
      <c r="P470" s="7"/>
      <c r="Q470" s="7"/>
      <c r="R470" s="7"/>
      <c r="S470" s="7"/>
      <c r="T470" s="7"/>
    </row>
    <row r="471" ht="14.25" customHeight="1">
      <c r="A471" s="7"/>
      <c r="B471" s="7"/>
      <c r="C471" s="7"/>
      <c r="D471" s="7"/>
      <c r="E471" s="7"/>
      <c r="F471" s="7"/>
      <c r="G471" s="7"/>
      <c r="H471" s="7"/>
      <c r="I471" s="7"/>
      <c r="J471" s="7"/>
      <c r="K471" s="7"/>
      <c r="L471" s="7"/>
      <c r="M471" s="7"/>
      <c r="N471" s="7"/>
      <c r="O471" s="7"/>
      <c r="P471" s="7"/>
      <c r="Q471" s="7"/>
      <c r="R471" s="7"/>
      <c r="S471" s="7"/>
      <c r="T471" s="7"/>
    </row>
    <row r="472" ht="14.25" customHeight="1">
      <c r="A472" s="7"/>
      <c r="B472" s="7"/>
      <c r="C472" s="7"/>
      <c r="D472" s="7"/>
      <c r="E472" s="7"/>
      <c r="F472" s="7"/>
      <c r="G472" s="7"/>
      <c r="H472" s="7"/>
      <c r="I472" s="7"/>
      <c r="J472" s="7"/>
      <c r="K472" s="7"/>
      <c r="L472" s="7"/>
      <c r="M472" s="7"/>
      <c r="N472" s="7"/>
      <c r="O472" s="7"/>
      <c r="P472" s="7"/>
      <c r="Q472" s="7"/>
      <c r="R472" s="7"/>
      <c r="S472" s="7"/>
      <c r="T472" s="7"/>
    </row>
    <row r="473" ht="14.25" customHeight="1">
      <c r="A473" s="7"/>
      <c r="B473" s="7"/>
      <c r="C473" s="7"/>
      <c r="D473" s="7"/>
      <c r="E473" s="7"/>
      <c r="F473" s="7"/>
      <c r="G473" s="7"/>
      <c r="H473" s="7"/>
      <c r="I473" s="7"/>
      <c r="J473" s="7"/>
      <c r="K473" s="7"/>
      <c r="L473" s="7"/>
      <c r="M473" s="7"/>
      <c r="N473" s="7"/>
      <c r="O473" s="7"/>
      <c r="P473" s="7"/>
      <c r="Q473" s="7"/>
      <c r="R473" s="7"/>
      <c r="S473" s="7"/>
      <c r="T473" s="7"/>
    </row>
    <row r="474" ht="14.25" customHeight="1">
      <c r="A474" s="7"/>
      <c r="B474" s="7"/>
      <c r="C474" s="7"/>
      <c r="D474" s="7"/>
      <c r="E474" s="7"/>
      <c r="F474" s="7"/>
      <c r="G474" s="7"/>
      <c r="H474" s="7"/>
      <c r="I474" s="7"/>
      <c r="J474" s="7"/>
      <c r="K474" s="7"/>
      <c r="L474" s="7"/>
      <c r="M474" s="7"/>
      <c r="N474" s="7"/>
      <c r="O474" s="7"/>
      <c r="P474" s="7"/>
      <c r="Q474" s="7"/>
      <c r="R474" s="7"/>
      <c r="S474" s="7"/>
      <c r="T474" s="7"/>
    </row>
    <row r="475" ht="14.25" customHeight="1">
      <c r="A475" s="7"/>
      <c r="B475" s="7"/>
      <c r="C475" s="7"/>
      <c r="D475" s="7"/>
      <c r="E475" s="7"/>
      <c r="F475" s="7"/>
      <c r="G475" s="7"/>
      <c r="H475" s="7"/>
      <c r="I475" s="7"/>
      <c r="J475" s="7"/>
      <c r="K475" s="7"/>
      <c r="L475" s="7"/>
      <c r="M475" s="7"/>
      <c r="N475" s="7"/>
      <c r="O475" s="7"/>
      <c r="P475" s="7"/>
      <c r="Q475" s="7"/>
      <c r="R475" s="7"/>
      <c r="S475" s="7"/>
      <c r="T475" s="7"/>
    </row>
    <row r="476" ht="14.25" customHeight="1">
      <c r="A476" s="7"/>
      <c r="B476" s="7"/>
      <c r="C476" s="7"/>
      <c r="D476" s="7"/>
      <c r="E476" s="7"/>
      <c r="F476" s="7"/>
      <c r="G476" s="7"/>
      <c r="H476" s="7"/>
      <c r="I476" s="7"/>
      <c r="J476" s="7"/>
      <c r="K476" s="7"/>
      <c r="L476" s="7"/>
      <c r="M476" s="7"/>
      <c r="N476" s="7"/>
      <c r="O476" s="7"/>
      <c r="P476" s="7"/>
      <c r="Q476" s="7"/>
      <c r="R476" s="7"/>
      <c r="S476" s="7"/>
      <c r="T476" s="7"/>
    </row>
    <row r="477" ht="14.25" customHeight="1">
      <c r="A477" s="7"/>
      <c r="B477" s="7"/>
      <c r="C477" s="7"/>
      <c r="D477" s="7"/>
      <c r="E477" s="7"/>
      <c r="F477" s="7"/>
      <c r="G477" s="7"/>
      <c r="H477" s="7"/>
      <c r="I477" s="7"/>
      <c r="J477" s="7"/>
      <c r="K477" s="7"/>
      <c r="L477" s="7"/>
      <c r="M477" s="7"/>
      <c r="N477" s="7"/>
      <c r="O477" s="7"/>
      <c r="P477" s="7"/>
      <c r="Q477" s="7"/>
      <c r="R477" s="7"/>
      <c r="S477" s="7"/>
      <c r="T477" s="7"/>
    </row>
    <row r="478" ht="14.25" customHeight="1">
      <c r="A478" s="7"/>
      <c r="B478" s="7"/>
      <c r="C478" s="7"/>
      <c r="D478" s="7"/>
      <c r="E478" s="7"/>
      <c r="F478" s="7"/>
      <c r="G478" s="7"/>
      <c r="H478" s="7"/>
      <c r="I478" s="7"/>
      <c r="J478" s="7"/>
      <c r="K478" s="7"/>
      <c r="L478" s="7"/>
      <c r="M478" s="7"/>
      <c r="N478" s="7"/>
      <c r="O478" s="7"/>
      <c r="P478" s="7"/>
      <c r="Q478" s="7"/>
      <c r="R478" s="7"/>
      <c r="S478" s="7"/>
      <c r="T478" s="7"/>
    </row>
    <row r="479" ht="14.25" customHeight="1">
      <c r="A479" s="7"/>
      <c r="B479" s="7"/>
      <c r="C479" s="7"/>
      <c r="D479" s="7"/>
      <c r="E479" s="7"/>
      <c r="F479" s="7"/>
      <c r="G479" s="7"/>
      <c r="H479" s="7"/>
      <c r="I479" s="7"/>
      <c r="J479" s="7"/>
      <c r="K479" s="7"/>
      <c r="L479" s="7"/>
      <c r="M479" s="7"/>
      <c r="N479" s="7"/>
      <c r="O479" s="7"/>
      <c r="P479" s="7"/>
      <c r="Q479" s="7"/>
      <c r="R479" s="7"/>
      <c r="S479" s="7"/>
      <c r="T479" s="7"/>
    </row>
    <row r="480" ht="14.25" customHeight="1">
      <c r="A480" s="7"/>
      <c r="B480" s="7"/>
      <c r="C480" s="7"/>
      <c r="D480" s="7"/>
      <c r="E480" s="7"/>
      <c r="F480" s="7"/>
      <c r="G480" s="7"/>
      <c r="H480" s="7"/>
      <c r="I480" s="7"/>
      <c r="J480" s="7"/>
      <c r="K480" s="7"/>
      <c r="L480" s="7"/>
      <c r="M480" s="7"/>
      <c r="N480" s="7"/>
      <c r="O480" s="7"/>
      <c r="P480" s="7"/>
      <c r="Q480" s="7"/>
      <c r="R480" s="7"/>
      <c r="S480" s="7"/>
      <c r="T480" s="7"/>
    </row>
    <row r="481" ht="14.25" customHeight="1">
      <c r="A481" s="7"/>
      <c r="B481" s="7"/>
      <c r="C481" s="7"/>
      <c r="D481" s="7"/>
      <c r="E481" s="7"/>
      <c r="F481" s="7"/>
      <c r="G481" s="7"/>
      <c r="H481" s="7"/>
      <c r="I481" s="7"/>
      <c r="J481" s="7"/>
      <c r="K481" s="7"/>
      <c r="L481" s="7"/>
      <c r="M481" s="7"/>
      <c r="N481" s="7"/>
      <c r="O481" s="7"/>
      <c r="P481" s="7"/>
      <c r="Q481" s="7"/>
      <c r="R481" s="7"/>
      <c r="S481" s="7"/>
      <c r="T481" s="7"/>
    </row>
    <row r="482" ht="14.25" customHeight="1">
      <c r="A482" s="7"/>
      <c r="B482" s="7"/>
      <c r="C482" s="7"/>
      <c r="D482" s="7"/>
      <c r="E482" s="7"/>
      <c r="F482" s="7"/>
      <c r="G482" s="7"/>
      <c r="H482" s="7"/>
      <c r="I482" s="7"/>
      <c r="J482" s="7"/>
      <c r="K482" s="7"/>
      <c r="L482" s="7"/>
      <c r="M482" s="7"/>
      <c r="N482" s="7"/>
      <c r="O482" s="7"/>
      <c r="P482" s="7"/>
      <c r="Q482" s="7"/>
      <c r="R482" s="7"/>
      <c r="S482" s="7"/>
      <c r="T482" s="7"/>
    </row>
    <row r="483" ht="14.25" customHeight="1">
      <c r="A483" s="7"/>
      <c r="B483" s="7"/>
      <c r="C483" s="7"/>
      <c r="D483" s="7"/>
      <c r="E483" s="7"/>
      <c r="F483" s="7"/>
      <c r="G483" s="7"/>
      <c r="H483" s="7"/>
      <c r="I483" s="7"/>
      <c r="J483" s="7"/>
      <c r="K483" s="7"/>
      <c r="L483" s="7"/>
      <c r="M483" s="7"/>
      <c r="N483" s="7"/>
      <c r="O483" s="7"/>
      <c r="P483" s="7"/>
      <c r="Q483" s="7"/>
      <c r="R483" s="7"/>
      <c r="S483" s="7"/>
      <c r="T483" s="7"/>
    </row>
    <row r="484" ht="14.25" customHeight="1">
      <c r="A484" s="7"/>
      <c r="B484" s="7"/>
      <c r="C484" s="7"/>
      <c r="D484" s="7"/>
      <c r="E484" s="7"/>
      <c r="F484" s="7"/>
      <c r="G484" s="7"/>
      <c r="H484" s="7"/>
      <c r="I484" s="7"/>
      <c r="J484" s="7"/>
      <c r="K484" s="7"/>
      <c r="L484" s="7"/>
      <c r="M484" s="7"/>
      <c r="N484" s="7"/>
      <c r="O484" s="7"/>
      <c r="P484" s="7"/>
      <c r="Q484" s="7"/>
      <c r="R484" s="7"/>
      <c r="S484" s="7"/>
      <c r="T484" s="7"/>
    </row>
    <row r="485" ht="14.25" customHeight="1">
      <c r="A485" s="7"/>
      <c r="B485" s="7"/>
      <c r="C485" s="7"/>
      <c r="D485" s="7"/>
      <c r="E485" s="7"/>
      <c r="F485" s="7"/>
      <c r="G485" s="7"/>
      <c r="H485" s="7"/>
      <c r="I485" s="7"/>
      <c r="J485" s="7"/>
      <c r="K485" s="7"/>
      <c r="L485" s="7"/>
      <c r="M485" s="7"/>
      <c r="N485" s="7"/>
      <c r="O485" s="7"/>
      <c r="P485" s="7"/>
      <c r="Q485" s="7"/>
      <c r="R485" s="7"/>
      <c r="S485" s="7"/>
      <c r="T485" s="7"/>
    </row>
    <row r="486" ht="14.25" customHeight="1">
      <c r="A486" s="7"/>
      <c r="B486" s="7"/>
      <c r="C486" s="7"/>
      <c r="D486" s="7"/>
      <c r="E486" s="7"/>
      <c r="F486" s="7"/>
      <c r="G486" s="7"/>
      <c r="H486" s="7"/>
      <c r="I486" s="7"/>
      <c r="J486" s="7"/>
      <c r="K486" s="7"/>
      <c r="L486" s="7"/>
      <c r="M486" s="7"/>
      <c r="N486" s="7"/>
      <c r="O486" s="7"/>
      <c r="P486" s="7"/>
      <c r="Q486" s="7"/>
      <c r="R486" s="7"/>
      <c r="S486" s="7"/>
      <c r="T486" s="7"/>
    </row>
    <row r="487" ht="14.25" customHeight="1">
      <c r="A487" s="7"/>
      <c r="B487" s="7"/>
      <c r="C487" s="7"/>
      <c r="D487" s="7"/>
      <c r="E487" s="7"/>
      <c r="F487" s="7"/>
      <c r="G487" s="7"/>
      <c r="H487" s="7"/>
      <c r="I487" s="7"/>
      <c r="J487" s="7"/>
      <c r="K487" s="7"/>
      <c r="L487" s="7"/>
      <c r="M487" s="7"/>
      <c r="N487" s="7"/>
      <c r="O487" s="7"/>
      <c r="P487" s="7"/>
      <c r="Q487" s="7"/>
      <c r="R487" s="7"/>
      <c r="S487" s="7"/>
      <c r="T487" s="7"/>
    </row>
    <row r="488" ht="14.25" customHeight="1">
      <c r="A488" s="7"/>
      <c r="B488" s="7"/>
      <c r="C488" s="7"/>
      <c r="D488" s="7"/>
      <c r="E488" s="7"/>
      <c r="F488" s="7"/>
      <c r="G488" s="7"/>
      <c r="H488" s="7"/>
      <c r="I488" s="7"/>
      <c r="J488" s="7"/>
      <c r="K488" s="7"/>
      <c r="L488" s="7"/>
      <c r="M488" s="7"/>
      <c r="N488" s="7"/>
      <c r="O488" s="7"/>
      <c r="P488" s="7"/>
      <c r="Q488" s="7"/>
      <c r="R488" s="7"/>
      <c r="S488" s="7"/>
      <c r="T488" s="7"/>
    </row>
    <row r="489" ht="14.25" customHeight="1">
      <c r="A489" s="7"/>
      <c r="B489" s="7"/>
      <c r="C489" s="7"/>
      <c r="D489" s="7"/>
      <c r="E489" s="7"/>
      <c r="F489" s="7"/>
      <c r="G489" s="7"/>
      <c r="H489" s="7"/>
      <c r="I489" s="7"/>
      <c r="J489" s="7"/>
      <c r="K489" s="7"/>
      <c r="L489" s="7"/>
      <c r="M489" s="7"/>
      <c r="N489" s="7"/>
      <c r="O489" s="7"/>
      <c r="P489" s="7"/>
      <c r="Q489" s="7"/>
      <c r="R489" s="7"/>
      <c r="S489" s="7"/>
      <c r="T489" s="7"/>
    </row>
    <row r="490" ht="14.25" customHeight="1">
      <c r="A490" s="7"/>
      <c r="B490" s="7"/>
      <c r="C490" s="7"/>
      <c r="D490" s="7"/>
      <c r="E490" s="7"/>
      <c r="F490" s="7"/>
      <c r="G490" s="7"/>
      <c r="H490" s="7"/>
      <c r="I490" s="7"/>
      <c r="J490" s="7"/>
      <c r="K490" s="7"/>
      <c r="L490" s="7"/>
      <c r="M490" s="7"/>
      <c r="N490" s="7"/>
      <c r="O490" s="7"/>
      <c r="P490" s="7"/>
      <c r="Q490" s="7"/>
      <c r="R490" s="7"/>
      <c r="S490" s="7"/>
      <c r="T490" s="7"/>
    </row>
    <row r="491" ht="14.25" customHeight="1">
      <c r="A491" s="7"/>
      <c r="B491" s="7"/>
      <c r="C491" s="7"/>
      <c r="D491" s="7"/>
      <c r="E491" s="7"/>
      <c r="F491" s="7"/>
      <c r="G491" s="7"/>
      <c r="H491" s="7"/>
      <c r="I491" s="7"/>
      <c r="J491" s="7"/>
      <c r="K491" s="7"/>
      <c r="L491" s="7"/>
      <c r="M491" s="7"/>
      <c r="N491" s="7"/>
      <c r="O491" s="7"/>
      <c r="P491" s="7"/>
      <c r="Q491" s="7"/>
      <c r="R491" s="7"/>
      <c r="S491" s="7"/>
      <c r="T491" s="7"/>
    </row>
    <row r="492" ht="14.25" customHeight="1">
      <c r="A492" s="7"/>
      <c r="B492" s="7"/>
      <c r="C492" s="7"/>
      <c r="D492" s="7"/>
      <c r="E492" s="7"/>
      <c r="F492" s="7"/>
      <c r="G492" s="7"/>
      <c r="H492" s="7"/>
      <c r="I492" s="7"/>
      <c r="J492" s="7"/>
      <c r="K492" s="7"/>
      <c r="L492" s="7"/>
      <c r="M492" s="7"/>
      <c r="N492" s="7"/>
      <c r="O492" s="7"/>
      <c r="P492" s="7"/>
      <c r="Q492" s="7"/>
      <c r="R492" s="7"/>
      <c r="S492" s="7"/>
      <c r="T492" s="7"/>
    </row>
    <row r="493" ht="14.25" customHeight="1">
      <c r="A493" s="7"/>
      <c r="B493" s="7"/>
      <c r="C493" s="7"/>
      <c r="D493" s="7"/>
      <c r="E493" s="7"/>
      <c r="F493" s="7"/>
      <c r="G493" s="7"/>
      <c r="H493" s="7"/>
      <c r="I493" s="7"/>
      <c r="J493" s="7"/>
      <c r="K493" s="7"/>
      <c r="L493" s="7"/>
      <c r="M493" s="7"/>
      <c r="N493" s="7"/>
      <c r="O493" s="7"/>
      <c r="P493" s="7"/>
      <c r="Q493" s="7"/>
      <c r="R493" s="7"/>
      <c r="S493" s="7"/>
      <c r="T493" s="7"/>
    </row>
    <row r="494" ht="14.25" customHeight="1">
      <c r="A494" s="7"/>
      <c r="B494" s="7"/>
      <c r="C494" s="7"/>
      <c r="D494" s="7"/>
      <c r="E494" s="7"/>
      <c r="F494" s="7"/>
      <c r="G494" s="7"/>
      <c r="H494" s="7"/>
      <c r="I494" s="7"/>
      <c r="J494" s="7"/>
      <c r="K494" s="7"/>
      <c r="L494" s="7"/>
      <c r="M494" s="7"/>
      <c r="N494" s="7"/>
      <c r="O494" s="7"/>
      <c r="P494" s="7"/>
      <c r="Q494" s="7"/>
      <c r="R494" s="7"/>
      <c r="S494" s="7"/>
      <c r="T494" s="7"/>
    </row>
    <row r="495" ht="14.25" customHeight="1">
      <c r="A495" s="7"/>
      <c r="B495" s="7"/>
      <c r="C495" s="7"/>
      <c r="D495" s="7"/>
      <c r="E495" s="7"/>
      <c r="F495" s="7"/>
      <c r="G495" s="7"/>
      <c r="H495" s="7"/>
      <c r="I495" s="7"/>
      <c r="J495" s="7"/>
      <c r="K495" s="7"/>
      <c r="L495" s="7"/>
      <c r="M495" s="7"/>
      <c r="N495" s="7"/>
      <c r="O495" s="7"/>
      <c r="P495" s="7"/>
      <c r="Q495" s="7"/>
      <c r="R495" s="7"/>
      <c r="S495" s="7"/>
      <c r="T495" s="7"/>
    </row>
    <row r="496" ht="14.25" customHeight="1">
      <c r="A496" s="7"/>
      <c r="B496" s="7"/>
      <c r="C496" s="7"/>
      <c r="D496" s="7"/>
      <c r="E496" s="7"/>
      <c r="F496" s="7"/>
      <c r="G496" s="7"/>
      <c r="H496" s="7"/>
      <c r="I496" s="7"/>
      <c r="J496" s="7"/>
      <c r="K496" s="7"/>
      <c r="L496" s="7"/>
      <c r="M496" s="7"/>
      <c r="N496" s="7"/>
      <c r="O496" s="7"/>
      <c r="P496" s="7"/>
      <c r="Q496" s="7"/>
      <c r="R496" s="7"/>
      <c r="S496" s="7"/>
      <c r="T496" s="7"/>
    </row>
    <row r="497" ht="14.25" customHeight="1">
      <c r="A497" s="7"/>
      <c r="B497" s="7"/>
      <c r="C497" s="7"/>
      <c r="D497" s="7"/>
      <c r="E497" s="7"/>
      <c r="F497" s="7"/>
      <c r="G497" s="7"/>
      <c r="H497" s="7"/>
      <c r="I497" s="7"/>
      <c r="J497" s="7"/>
      <c r="K497" s="7"/>
      <c r="L497" s="7"/>
      <c r="M497" s="7"/>
      <c r="N497" s="7"/>
      <c r="O497" s="7"/>
      <c r="P497" s="7"/>
      <c r="Q497" s="7"/>
      <c r="R497" s="7"/>
      <c r="S497" s="7"/>
      <c r="T497" s="7"/>
    </row>
    <row r="498" ht="14.25" customHeight="1">
      <c r="A498" s="7"/>
      <c r="B498" s="7"/>
      <c r="C498" s="7"/>
      <c r="D498" s="7"/>
      <c r="E498" s="7"/>
      <c r="F498" s="7"/>
      <c r="G498" s="7"/>
      <c r="H498" s="7"/>
      <c r="I498" s="7"/>
      <c r="J498" s="7"/>
      <c r="K498" s="7"/>
      <c r="L498" s="7"/>
      <c r="M498" s="7"/>
      <c r="N498" s="7"/>
      <c r="O498" s="7"/>
      <c r="P498" s="7"/>
      <c r="Q498" s="7"/>
      <c r="R498" s="7"/>
      <c r="S498" s="7"/>
      <c r="T498" s="7"/>
    </row>
    <row r="499" ht="14.25" customHeight="1">
      <c r="A499" s="7"/>
      <c r="B499" s="7"/>
      <c r="C499" s="7"/>
      <c r="D499" s="7"/>
      <c r="E499" s="7"/>
      <c r="F499" s="7"/>
      <c r="G499" s="7"/>
      <c r="H499" s="7"/>
      <c r="I499" s="7"/>
      <c r="J499" s="7"/>
      <c r="K499" s="7"/>
      <c r="L499" s="7"/>
      <c r="M499" s="7"/>
      <c r="N499" s="7"/>
      <c r="O499" s="7"/>
      <c r="P499" s="7"/>
      <c r="Q499" s="7"/>
      <c r="R499" s="7"/>
      <c r="S499" s="7"/>
      <c r="T499" s="7"/>
    </row>
    <row r="500" ht="14.25" customHeight="1">
      <c r="A500" s="7"/>
      <c r="B500" s="7"/>
      <c r="C500" s="7"/>
      <c r="D500" s="7"/>
      <c r="E500" s="7"/>
      <c r="F500" s="7"/>
      <c r="G500" s="7"/>
      <c r="H500" s="7"/>
      <c r="I500" s="7"/>
      <c r="J500" s="7"/>
      <c r="K500" s="7"/>
      <c r="L500" s="7"/>
      <c r="M500" s="7"/>
      <c r="N500" s="7"/>
      <c r="O500" s="7"/>
      <c r="P500" s="7"/>
      <c r="Q500" s="7"/>
      <c r="R500" s="7"/>
      <c r="S500" s="7"/>
      <c r="T500" s="7"/>
    </row>
    <row r="501" ht="14.25" customHeight="1">
      <c r="A501" s="7"/>
      <c r="B501" s="7"/>
      <c r="C501" s="7"/>
      <c r="D501" s="7"/>
      <c r="E501" s="7"/>
      <c r="F501" s="7"/>
      <c r="G501" s="7"/>
      <c r="H501" s="7"/>
      <c r="I501" s="7"/>
      <c r="J501" s="7"/>
      <c r="K501" s="7"/>
      <c r="L501" s="7"/>
      <c r="M501" s="7"/>
      <c r="N501" s="7"/>
      <c r="O501" s="7"/>
      <c r="P501" s="7"/>
      <c r="Q501" s="7"/>
      <c r="R501" s="7"/>
      <c r="S501" s="7"/>
      <c r="T501" s="7"/>
    </row>
    <row r="502" ht="14.25" customHeight="1">
      <c r="A502" s="7"/>
      <c r="B502" s="7"/>
      <c r="C502" s="7"/>
      <c r="D502" s="7"/>
      <c r="E502" s="7"/>
      <c r="F502" s="7"/>
      <c r="G502" s="7"/>
      <c r="H502" s="7"/>
      <c r="I502" s="7"/>
      <c r="J502" s="7"/>
      <c r="K502" s="7"/>
      <c r="L502" s="7"/>
      <c r="M502" s="7"/>
      <c r="N502" s="7"/>
      <c r="O502" s="7"/>
      <c r="P502" s="7"/>
      <c r="Q502" s="7"/>
      <c r="R502" s="7"/>
      <c r="S502" s="7"/>
      <c r="T502" s="7"/>
    </row>
    <row r="503" ht="14.25" customHeight="1">
      <c r="A503" s="7"/>
      <c r="B503" s="7"/>
      <c r="C503" s="7"/>
      <c r="D503" s="7"/>
      <c r="E503" s="7"/>
      <c r="F503" s="7"/>
      <c r="G503" s="7"/>
      <c r="H503" s="7"/>
      <c r="I503" s="7"/>
      <c r="J503" s="7"/>
      <c r="K503" s="7"/>
      <c r="L503" s="7"/>
      <c r="M503" s="7"/>
      <c r="N503" s="7"/>
      <c r="O503" s="7"/>
      <c r="P503" s="7"/>
      <c r="Q503" s="7"/>
      <c r="R503" s="7"/>
      <c r="S503" s="7"/>
      <c r="T503" s="7"/>
    </row>
    <row r="504" ht="14.25" customHeight="1">
      <c r="A504" s="7"/>
      <c r="B504" s="7"/>
      <c r="C504" s="7"/>
      <c r="D504" s="7"/>
      <c r="E504" s="7"/>
      <c r="F504" s="7"/>
      <c r="G504" s="7"/>
      <c r="H504" s="7"/>
      <c r="I504" s="7"/>
      <c r="J504" s="7"/>
      <c r="K504" s="7"/>
      <c r="L504" s="7"/>
      <c r="M504" s="7"/>
      <c r="N504" s="7"/>
      <c r="O504" s="7"/>
      <c r="P504" s="7"/>
      <c r="Q504" s="7"/>
      <c r="R504" s="7"/>
      <c r="S504" s="7"/>
      <c r="T504" s="7"/>
    </row>
    <row r="505" ht="14.25" customHeight="1">
      <c r="A505" s="7"/>
      <c r="B505" s="7"/>
      <c r="C505" s="7"/>
      <c r="D505" s="7"/>
      <c r="E505" s="7"/>
      <c r="F505" s="7"/>
      <c r="G505" s="7"/>
      <c r="H505" s="7"/>
      <c r="I505" s="7"/>
      <c r="J505" s="7"/>
      <c r="K505" s="7"/>
      <c r="L505" s="7"/>
      <c r="M505" s="7"/>
      <c r="N505" s="7"/>
      <c r="O505" s="7"/>
      <c r="P505" s="7"/>
      <c r="Q505" s="7"/>
      <c r="R505" s="7"/>
      <c r="S505" s="7"/>
      <c r="T505" s="7"/>
    </row>
    <row r="506" ht="14.25" customHeight="1">
      <c r="A506" s="7"/>
      <c r="B506" s="7"/>
      <c r="C506" s="7"/>
      <c r="D506" s="7"/>
      <c r="E506" s="7"/>
      <c r="F506" s="7"/>
      <c r="G506" s="7"/>
      <c r="H506" s="7"/>
      <c r="I506" s="7"/>
      <c r="J506" s="7"/>
      <c r="K506" s="7"/>
      <c r="L506" s="7"/>
      <c r="M506" s="7"/>
      <c r="N506" s="7"/>
      <c r="O506" s="7"/>
      <c r="P506" s="7"/>
      <c r="Q506" s="7"/>
      <c r="R506" s="7"/>
      <c r="S506" s="7"/>
      <c r="T506" s="7"/>
    </row>
    <row r="507" ht="14.25" customHeight="1">
      <c r="A507" s="7"/>
      <c r="B507" s="7"/>
      <c r="C507" s="7"/>
      <c r="D507" s="7"/>
      <c r="E507" s="7"/>
      <c r="F507" s="7"/>
      <c r="G507" s="7"/>
      <c r="H507" s="7"/>
      <c r="I507" s="7"/>
      <c r="J507" s="7"/>
      <c r="K507" s="7"/>
      <c r="L507" s="7"/>
      <c r="M507" s="7"/>
      <c r="N507" s="7"/>
      <c r="O507" s="7"/>
      <c r="P507" s="7"/>
      <c r="Q507" s="7"/>
      <c r="R507" s="7"/>
      <c r="S507" s="7"/>
      <c r="T507" s="7"/>
    </row>
    <row r="508" ht="14.25" customHeight="1">
      <c r="A508" s="7"/>
      <c r="B508" s="7"/>
      <c r="C508" s="7"/>
      <c r="D508" s="7"/>
      <c r="E508" s="7"/>
      <c r="F508" s="7"/>
      <c r="G508" s="7"/>
      <c r="H508" s="7"/>
      <c r="I508" s="7"/>
      <c r="J508" s="7"/>
      <c r="K508" s="7"/>
      <c r="L508" s="7"/>
      <c r="M508" s="7"/>
      <c r="N508" s="7"/>
      <c r="O508" s="7"/>
      <c r="P508" s="7"/>
      <c r="Q508" s="7"/>
      <c r="R508" s="7"/>
      <c r="S508" s="7"/>
      <c r="T508" s="7"/>
    </row>
    <row r="509" ht="14.25" customHeight="1">
      <c r="A509" s="7"/>
      <c r="B509" s="7"/>
      <c r="C509" s="7"/>
      <c r="D509" s="7"/>
      <c r="E509" s="7"/>
      <c r="F509" s="7"/>
      <c r="G509" s="7"/>
      <c r="H509" s="7"/>
      <c r="I509" s="7"/>
      <c r="J509" s="7"/>
      <c r="K509" s="7"/>
      <c r="L509" s="7"/>
      <c r="M509" s="7"/>
      <c r="N509" s="7"/>
      <c r="O509" s="7"/>
      <c r="P509" s="7"/>
      <c r="Q509" s="7"/>
      <c r="R509" s="7"/>
      <c r="S509" s="7"/>
      <c r="T509" s="7"/>
    </row>
    <row r="510" ht="14.25" customHeight="1">
      <c r="A510" s="7"/>
      <c r="B510" s="7"/>
      <c r="C510" s="7"/>
      <c r="D510" s="7"/>
      <c r="E510" s="7"/>
      <c r="F510" s="7"/>
      <c r="G510" s="7"/>
      <c r="H510" s="7"/>
      <c r="I510" s="7"/>
      <c r="J510" s="7"/>
      <c r="K510" s="7"/>
      <c r="L510" s="7"/>
      <c r="M510" s="7"/>
      <c r="N510" s="7"/>
      <c r="O510" s="7"/>
      <c r="P510" s="7"/>
      <c r="Q510" s="7"/>
      <c r="R510" s="7"/>
      <c r="S510" s="7"/>
      <c r="T510" s="7"/>
    </row>
    <row r="511" ht="14.25" customHeight="1">
      <c r="A511" s="7"/>
      <c r="B511" s="7"/>
      <c r="C511" s="7"/>
      <c r="D511" s="7"/>
      <c r="E511" s="7"/>
      <c r="F511" s="7"/>
      <c r="G511" s="7"/>
      <c r="H511" s="7"/>
      <c r="I511" s="7"/>
      <c r="J511" s="7"/>
      <c r="K511" s="7"/>
      <c r="L511" s="7"/>
      <c r="M511" s="7"/>
      <c r="N511" s="7"/>
      <c r="O511" s="7"/>
      <c r="P511" s="7"/>
      <c r="Q511" s="7"/>
      <c r="R511" s="7"/>
      <c r="S511" s="7"/>
      <c r="T511" s="7"/>
    </row>
    <row r="512" ht="14.25" customHeight="1">
      <c r="A512" s="7"/>
      <c r="B512" s="7"/>
      <c r="C512" s="7"/>
      <c r="D512" s="7"/>
      <c r="E512" s="7"/>
      <c r="F512" s="7"/>
      <c r="G512" s="7"/>
      <c r="H512" s="7"/>
      <c r="I512" s="7"/>
      <c r="J512" s="7"/>
      <c r="K512" s="7"/>
      <c r="L512" s="7"/>
      <c r="M512" s="7"/>
      <c r="N512" s="7"/>
      <c r="O512" s="7"/>
      <c r="P512" s="7"/>
      <c r="Q512" s="7"/>
      <c r="R512" s="7"/>
      <c r="S512" s="7"/>
      <c r="T512" s="7"/>
    </row>
    <row r="513" ht="14.25" customHeight="1">
      <c r="A513" s="7"/>
      <c r="B513" s="7"/>
      <c r="C513" s="7"/>
      <c r="D513" s="7"/>
      <c r="E513" s="7"/>
      <c r="F513" s="7"/>
      <c r="G513" s="7"/>
      <c r="H513" s="7"/>
      <c r="I513" s="7"/>
      <c r="J513" s="7"/>
      <c r="K513" s="7"/>
      <c r="L513" s="7"/>
      <c r="M513" s="7"/>
      <c r="N513" s="7"/>
      <c r="O513" s="7"/>
      <c r="P513" s="7"/>
      <c r="Q513" s="7"/>
      <c r="R513" s="7"/>
      <c r="S513" s="7"/>
      <c r="T513" s="7"/>
    </row>
    <row r="514" ht="14.25" customHeight="1">
      <c r="A514" s="7"/>
      <c r="B514" s="7"/>
      <c r="C514" s="7"/>
      <c r="D514" s="7"/>
      <c r="E514" s="7"/>
      <c r="F514" s="7"/>
      <c r="G514" s="7"/>
      <c r="H514" s="7"/>
      <c r="I514" s="7"/>
      <c r="J514" s="7"/>
      <c r="K514" s="7"/>
      <c r="L514" s="7"/>
      <c r="M514" s="7"/>
      <c r="N514" s="7"/>
      <c r="O514" s="7"/>
      <c r="P514" s="7"/>
      <c r="Q514" s="7"/>
      <c r="R514" s="7"/>
      <c r="S514" s="7"/>
      <c r="T514" s="7"/>
    </row>
    <row r="515" ht="14.25" customHeight="1">
      <c r="A515" s="7"/>
      <c r="B515" s="7"/>
      <c r="C515" s="7"/>
      <c r="D515" s="7"/>
      <c r="E515" s="7"/>
      <c r="F515" s="7"/>
      <c r="G515" s="7"/>
      <c r="H515" s="7"/>
      <c r="I515" s="7"/>
      <c r="J515" s="7"/>
      <c r="K515" s="7"/>
      <c r="L515" s="7"/>
      <c r="M515" s="7"/>
      <c r="N515" s="7"/>
      <c r="O515" s="7"/>
      <c r="P515" s="7"/>
      <c r="Q515" s="7"/>
      <c r="R515" s="7"/>
      <c r="S515" s="7"/>
      <c r="T515" s="7"/>
    </row>
    <row r="516" ht="14.25" customHeight="1">
      <c r="A516" s="7"/>
      <c r="B516" s="7"/>
      <c r="C516" s="7"/>
      <c r="D516" s="7"/>
      <c r="E516" s="7"/>
      <c r="F516" s="7"/>
      <c r="G516" s="7"/>
      <c r="H516" s="7"/>
      <c r="I516" s="7"/>
      <c r="J516" s="7"/>
      <c r="K516" s="7"/>
      <c r="L516" s="7"/>
      <c r="M516" s="7"/>
      <c r="N516" s="7"/>
      <c r="O516" s="7"/>
      <c r="P516" s="7"/>
      <c r="Q516" s="7"/>
      <c r="R516" s="7"/>
      <c r="S516" s="7"/>
      <c r="T516" s="7"/>
    </row>
    <row r="517" ht="14.25" customHeight="1">
      <c r="A517" s="7"/>
      <c r="B517" s="7"/>
      <c r="C517" s="7"/>
      <c r="D517" s="7"/>
      <c r="E517" s="7"/>
      <c r="F517" s="7"/>
      <c r="G517" s="7"/>
      <c r="H517" s="7"/>
      <c r="I517" s="7"/>
      <c r="J517" s="7"/>
      <c r="K517" s="7"/>
      <c r="L517" s="7"/>
      <c r="M517" s="7"/>
      <c r="N517" s="7"/>
      <c r="O517" s="7"/>
      <c r="P517" s="7"/>
      <c r="Q517" s="7"/>
      <c r="R517" s="7"/>
      <c r="S517" s="7"/>
      <c r="T517" s="7"/>
    </row>
    <row r="518" ht="14.25" customHeight="1">
      <c r="A518" s="7"/>
      <c r="B518" s="7"/>
      <c r="C518" s="7"/>
      <c r="D518" s="7"/>
      <c r="E518" s="7"/>
      <c r="F518" s="7"/>
      <c r="G518" s="7"/>
      <c r="H518" s="7"/>
      <c r="I518" s="7"/>
      <c r="J518" s="7"/>
      <c r="K518" s="7"/>
      <c r="L518" s="7"/>
      <c r="M518" s="7"/>
      <c r="N518" s="7"/>
      <c r="O518" s="7"/>
      <c r="P518" s="7"/>
      <c r="Q518" s="7"/>
      <c r="R518" s="7"/>
      <c r="S518" s="7"/>
      <c r="T518" s="7"/>
    </row>
    <row r="519" ht="14.25" customHeight="1">
      <c r="A519" s="7"/>
      <c r="B519" s="7"/>
      <c r="C519" s="7"/>
      <c r="D519" s="7"/>
      <c r="E519" s="7"/>
      <c r="F519" s="7"/>
      <c r="G519" s="7"/>
      <c r="H519" s="7"/>
      <c r="I519" s="7"/>
      <c r="J519" s="7"/>
      <c r="K519" s="7"/>
      <c r="L519" s="7"/>
      <c r="M519" s="7"/>
      <c r="N519" s="7"/>
      <c r="O519" s="7"/>
      <c r="P519" s="7"/>
      <c r="Q519" s="7"/>
      <c r="R519" s="7"/>
      <c r="S519" s="7"/>
      <c r="T519" s="7"/>
    </row>
    <row r="520" ht="14.25" customHeight="1">
      <c r="A520" s="7"/>
      <c r="B520" s="7"/>
      <c r="C520" s="7"/>
      <c r="D520" s="7"/>
      <c r="E520" s="7"/>
      <c r="F520" s="7"/>
      <c r="G520" s="7"/>
      <c r="H520" s="7"/>
      <c r="I520" s="7"/>
      <c r="J520" s="7"/>
      <c r="K520" s="7"/>
      <c r="L520" s="7"/>
      <c r="M520" s="7"/>
      <c r="N520" s="7"/>
      <c r="O520" s="7"/>
      <c r="P520" s="7"/>
      <c r="Q520" s="7"/>
      <c r="R520" s="7"/>
      <c r="S520" s="7"/>
      <c r="T520" s="7"/>
    </row>
    <row r="521" ht="14.25" customHeight="1">
      <c r="A521" s="7"/>
      <c r="B521" s="7"/>
      <c r="C521" s="7"/>
      <c r="D521" s="7"/>
      <c r="E521" s="7"/>
      <c r="F521" s="7"/>
      <c r="G521" s="7"/>
      <c r="H521" s="7"/>
      <c r="I521" s="7"/>
      <c r="J521" s="7"/>
      <c r="K521" s="7"/>
      <c r="L521" s="7"/>
      <c r="M521" s="7"/>
      <c r="N521" s="7"/>
      <c r="O521" s="7"/>
      <c r="P521" s="7"/>
      <c r="Q521" s="7"/>
      <c r="R521" s="7"/>
      <c r="S521" s="7"/>
      <c r="T521" s="7"/>
    </row>
    <row r="522" ht="14.25" customHeight="1">
      <c r="A522" s="7"/>
      <c r="B522" s="7"/>
      <c r="C522" s="7"/>
      <c r="D522" s="7"/>
      <c r="E522" s="7"/>
      <c r="F522" s="7"/>
      <c r="G522" s="7"/>
      <c r="H522" s="7"/>
      <c r="I522" s="7"/>
      <c r="J522" s="7"/>
      <c r="K522" s="7"/>
      <c r="L522" s="7"/>
      <c r="M522" s="7"/>
      <c r="N522" s="7"/>
      <c r="O522" s="7"/>
      <c r="P522" s="7"/>
      <c r="Q522" s="7"/>
      <c r="R522" s="7"/>
      <c r="S522" s="7"/>
      <c r="T522" s="7"/>
    </row>
    <row r="523" ht="14.25" customHeight="1">
      <c r="A523" s="7"/>
      <c r="B523" s="7"/>
      <c r="C523" s="7"/>
      <c r="D523" s="7"/>
      <c r="E523" s="7"/>
      <c r="F523" s="7"/>
      <c r="G523" s="7"/>
      <c r="H523" s="7"/>
      <c r="I523" s="7"/>
      <c r="J523" s="7"/>
      <c r="K523" s="7"/>
      <c r="L523" s="7"/>
      <c r="M523" s="7"/>
      <c r="N523" s="7"/>
      <c r="O523" s="7"/>
      <c r="P523" s="7"/>
      <c r="Q523" s="7"/>
      <c r="R523" s="7"/>
      <c r="S523" s="7"/>
      <c r="T523" s="7"/>
    </row>
    <row r="524" ht="14.25" customHeight="1">
      <c r="A524" s="7"/>
      <c r="B524" s="7"/>
      <c r="C524" s="7"/>
      <c r="D524" s="7"/>
      <c r="E524" s="7"/>
      <c r="F524" s="7"/>
      <c r="G524" s="7"/>
      <c r="H524" s="7"/>
      <c r="I524" s="7"/>
      <c r="J524" s="7"/>
      <c r="K524" s="7"/>
      <c r="L524" s="7"/>
      <c r="M524" s="7"/>
      <c r="N524" s="7"/>
      <c r="O524" s="7"/>
      <c r="P524" s="7"/>
      <c r="Q524" s="7"/>
      <c r="R524" s="7"/>
      <c r="S524" s="7"/>
      <c r="T524" s="7"/>
    </row>
    <row r="525" ht="14.25" customHeight="1">
      <c r="A525" s="7"/>
      <c r="B525" s="7"/>
      <c r="C525" s="7"/>
      <c r="D525" s="7"/>
      <c r="E525" s="7"/>
      <c r="F525" s="7"/>
      <c r="G525" s="7"/>
      <c r="H525" s="7"/>
      <c r="I525" s="7"/>
      <c r="J525" s="7"/>
      <c r="K525" s="7"/>
      <c r="L525" s="7"/>
      <c r="M525" s="7"/>
      <c r="N525" s="7"/>
      <c r="O525" s="7"/>
      <c r="P525" s="7"/>
      <c r="Q525" s="7"/>
      <c r="R525" s="7"/>
      <c r="S525" s="7"/>
      <c r="T525" s="7"/>
    </row>
    <row r="526" ht="14.25" customHeight="1">
      <c r="A526" s="7"/>
      <c r="B526" s="7"/>
      <c r="C526" s="7"/>
      <c r="D526" s="7"/>
      <c r="E526" s="7"/>
      <c r="F526" s="7"/>
      <c r="G526" s="7"/>
      <c r="H526" s="7"/>
      <c r="I526" s="7"/>
      <c r="J526" s="7"/>
      <c r="K526" s="7"/>
      <c r="L526" s="7"/>
      <c r="M526" s="7"/>
      <c r="N526" s="7"/>
      <c r="O526" s="7"/>
      <c r="P526" s="7"/>
      <c r="Q526" s="7"/>
      <c r="R526" s="7"/>
      <c r="S526" s="7"/>
      <c r="T526" s="7"/>
    </row>
    <row r="527" ht="14.25" customHeight="1">
      <c r="A527" s="7"/>
      <c r="B527" s="7"/>
      <c r="C527" s="7"/>
      <c r="D527" s="7"/>
      <c r="E527" s="7"/>
      <c r="F527" s="7"/>
      <c r="G527" s="7"/>
      <c r="H527" s="7"/>
      <c r="I527" s="7"/>
      <c r="J527" s="7"/>
      <c r="K527" s="7"/>
      <c r="L527" s="7"/>
      <c r="M527" s="7"/>
      <c r="N527" s="7"/>
      <c r="O527" s="7"/>
      <c r="P527" s="7"/>
      <c r="Q527" s="7"/>
      <c r="R527" s="7"/>
      <c r="S527" s="7"/>
      <c r="T527" s="7"/>
    </row>
    <row r="528" ht="14.25" customHeight="1">
      <c r="A528" s="7"/>
      <c r="B528" s="7"/>
      <c r="C528" s="7"/>
      <c r="D528" s="7"/>
      <c r="E528" s="7"/>
      <c r="F528" s="7"/>
      <c r="G528" s="7"/>
      <c r="H528" s="7"/>
      <c r="I528" s="7"/>
      <c r="J528" s="7"/>
      <c r="K528" s="7"/>
      <c r="L528" s="7"/>
      <c r="M528" s="7"/>
      <c r="N528" s="7"/>
      <c r="O528" s="7"/>
      <c r="P528" s="7"/>
      <c r="Q528" s="7"/>
      <c r="R528" s="7"/>
      <c r="S528" s="7"/>
      <c r="T528" s="7"/>
    </row>
    <row r="529" ht="14.25" customHeight="1">
      <c r="A529" s="7"/>
      <c r="B529" s="7"/>
      <c r="C529" s="7"/>
      <c r="D529" s="7"/>
      <c r="E529" s="7"/>
      <c r="F529" s="7"/>
      <c r="G529" s="7"/>
      <c r="H529" s="7"/>
      <c r="I529" s="7"/>
      <c r="J529" s="7"/>
      <c r="K529" s="7"/>
      <c r="L529" s="7"/>
      <c r="M529" s="7"/>
      <c r="N529" s="7"/>
      <c r="O529" s="7"/>
      <c r="P529" s="7"/>
      <c r="Q529" s="7"/>
      <c r="R529" s="7"/>
      <c r="S529" s="7"/>
      <c r="T529" s="7"/>
    </row>
    <row r="530" ht="14.25" customHeight="1">
      <c r="A530" s="7"/>
      <c r="B530" s="7"/>
      <c r="C530" s="7"/>
      <c r="D530" s="7"/>
      <c r="E530" s="7"/>
      <c r="F530" s="7"/>
      <c r="G530" s="7"/>
      <c r="H530" s="7"/>
      <c r="I530" s="7"/>
      <c r="J530" s="7"/>
      <c r="K530" s="7"/>
      <c r="L530" s="7"/>
      <c r="M530" s="7"/>
      <c r="N530" s="7"/>
      <c r="O530" s="7"/>
      <c r="P530" s="7"/>
      <c r="Q530" s="7"/>
      <c r="R530" s="7"/>
      <c r="S530" s="7"/>
      <c r="T530" s="7"/>
    </row>
    <row r="531" ht="14.25" customHeight="1">
      <c r="A531" s="7"/>
      <c r="B531" s="7"/>
      <c r="C531" s="7"/>
      <c r="D531" s="7"/>
      <c r="E531" s="7"/>
      <c r="F531" s="7"/>
      <c r="G531" s="7"/>
      <c r="H531" s="7"/>
      <c r="I531" s="7"/>
      <c r="J531" s="7"/>
      <c r="K531" s="7"/>
      <c r="L531" s="7"/>
      <c r="M531" s="7"/>
      <c r="N531" s="7"/>
      <c r="O531" s="7"/>
      <c r="P531" s="7"/>
      <c r="Q531" s="7"/>
      <c r="R531" s="7"/>
      <c r="S531" s="7"/>
      <c r="T531" s="7"/>
    </row>
    <row r="532" ht="14.25" customHeight="1">
      <c r="A532" s="7"/>
      <c r="B532" s="7"/>
      <c r="C532" s="7"/>
      <c r="D532" s="7"/>
      <c r="E532" s="7"/>
      <c r="F532" s="7"/>
      <c r="G532" s="7"/>
      <c r="H532" s="7"/>
      <c r="I532" s="7"/>
      <c r="J532" s="7"/>
      <c r="K532" s="7"/>
      <c r="L532" s="7"/>
      <c r="M532" s="7"/>
      <c r="N532" s="7"/>
      <c r="O532" s="7"/>
      <c r="P532" s="7"/>
      <c r="Q532" s="7"/>
      <c r="R532" s="7"/>
      <c r="S532" s="7"/>
      <c r="T532" s="7"/>
    </row>
    <row r="533" ht="14.25" customHeight="1">
      <c r="A533" s="7"/>
      <c r="B533" s="7"/>
      <c r="C533" s="7"/>
      <c r="D533" s="7"/>
      <c r="E533" s="7"/>
      <c r="F533" s="7"/>
      <c r="G533" s="7"/>
      <c r="H533" s="7"/>
      <c r="I533" s="7"/>
      <c r="J533" s="7"/>
      <c r="K533" s="7"/>
      <c r="L533" s="7"/>
      <c r="M533" s="7"/>
      <c r="N533" s="7"/>
      <c r="O533" s="7"/>
      <c r="P533" s="7"/>
      <c r="Q533" s="7"/>
      <c r="R533" s="7"/>
      <c r="S533" s="7"/>
      <c r="T533" s="7"/>
    </row>
    <row r="534" ht="14.25" customHeight="1">
      <c r="A534" s="7"/>
      <c r="B534" s="7"/>
      <c r="C534" s="7"/>
      <c r="D534" s="7"/>
      <c r="E534" s="7"/>
      <c r="F534" s="7"/>
      <c r="G534" s="7"/>
      <c r="H534" s="7"/>
      <c r="I534" s="7"/>
      <c r="J534" s="7"/>
      <c r="K534" s="7"/>
      <c r="L534" s="7"/>
      <c r="M534" s="7"/>
      <c r="N534" s="7"/>
      <c r="O534" s="7"/>
      <c r="P534" s="7"/>
      <c r="Q534" s="7"/>
      <c r="R534" s="7"/>
      <c r="S534" s="7"/>
      <c r="T534" s="7"/>
    </row>
    <row r="535" ht="14.25" customHeight="1">
      <c r="A535" s="7"/>
      <c r="B535" s="7"/>
      <c r="C535" s="7"/>
      <c r="D535" s="7"/>
      <c r="E535" s="7"/>
      <c r="F535" s="7"/>
      <c r="G535" s="7"/>
      <c r="H535" s="7"/>
      <c r="I535" s="7"/>
      <c r="J535" s="7"/>
      <c r="K535" s="7"/>
      <c r="L535" s="7"/>
      <c r="M535" s="7"/>
      <c r="N535" s="7"/>
      <c r="O535" s="7"/>
      <c r="P535" s="7"/>
      <c r="Q535" s="7"/>
      <c r="R535" s="7"/>
      <c r="S535" s="7"/>
      <c r="T535" s="7"/>
    </row>
    <row r="536" ht="14.25" customHeight="1">
      <c r="A536" s="7"/>
      <c r="B536" s="7"/>
      <c r="C536" s="7"/>
      <c r="D536" s="7"/>
      <c r="E536" s="7"/>
      <c r="F536" s="7"/>
      <c r="G536" s="7"/>
      <c r="H536" s="7"/>
      <c r="I536" s="7"/>
      <c r="J536" s="7"/>
      <c r="K536" s="7"/>
      <c r="L536" s="7"/>
      <c r="M536" s="7"/>
      <c r="N536" s="7"/>
      <c r="O536" s="7"/>
      <c r="P536" s="7"/>
      <c r="Q536" s="7"/>
      <c r="R536" s="7"/>
      <c r="S536" s="7"/>
      <c r="T536" s="7"/>
    </row>
    <row r="537" ht="14.25" customHeight="1">
      <c r="A537" s="7"/>
      <c r="B537" s="7"/>
      <c r="C537" s="7"/>
      <c r="D537" s="7"/>
      <c r="E537" s="7"/>
      <c r="F537" s="7"/>
      <c r="G537" s="7"/>
      <c r="H537" s="7"/>
      <c r="I537" s="7"/>
      <c r="J537" s="7"/>
      <c r="K537" s="7"/>
      <c r="L537" s="7"/>
      <c r="M537" s="7"/>
      <c r="N537" s="7"/>
      <c r="O537" s="7"/>
      <c r="P537" s="7"/>
      <c r="Q537" s="7"/>
      <c r="R537" s="7"/>
      <c r="S537" s="7"/>
      <c r="T537" s="7"/>
    </row>
    <row r="538" ht="14.25" customHeight="1">
      <c r="A538" s="7"/>
      <c r="B538" s="7"/>
      <c r="C538" s="7"/>
      <c r="D538" s="7"/>
      <c r="E538" s="7"/>
      <c r="F538" s="7"/>
      <c r="G538" s="7"/>
      <c r="H538" s="7"/>
      <c r="I538" s="7"/>
      <c r="J538" s="7"/>
      <c r="K538" s="7"/>
      <c r="L538" s="7"/>
      <c r="M538" s="7"/>
      <c r="N538" s="7"/>
      <c r="O538" s="7"/>
      <c r="P538" s="7"/>
      <c r="Q538" s="7"/>
      <c r="R538" s="7"/>
      <c r="S538" s="7"/>
      <c r="T538" s="7"/>
    </row>
    <row r="539" ht="14.25" customHeight="1">
      <c r="A539" s="7"/>
      <c r="B539" s="7"/>
      <c r="C539" s="7"/>
      <c r="D539" s="7"/>
      <c r="E539" s="7"/>
      <c r="F539" s="7"/>
      <c r="G539" s="7"/>
      <c r="H539" s="7"/>
      <c r="I539" s="7"/>
      <c r="J539" s="7"/>
      <c r="K539" s="7"/>
      <c r="L539" s="7"/>
      <c r="M539" s="7"/>
      <c r="N539" s="7"/>
      <c r="O539" s="7"/>
      <c r="P539" s="7"/>
      <c r="Q539" s="7"/>
      <c r="R539" s="7"/>
      <c r="S539" s="7"/>
      <c r="T539" s="7"/>
    </row>
    <row r="540" ht="14.25" customHeight="1">
      <c r="A540" s="7"/>
      <c r="B540" s="7"/>
      <c r="C540" s="7"/>
      <c r="D540" s="7"/>
      <c r="E540" s="7"/>
      <c r="F540" s="7"/>
      <c r="G540" s="7"/>
      <c r="H540" s="7"/>
      <c r="I540" s="7"/>
      <c r="J540" s="7"/>
      <c r="K540" s="7"/>
      <c r="L540" s="7"/>
      <c r="M540" s="7"/>
      <c r="N540" s="7"/>
      <c r="O540" s="7"/>
      <c r="P540" s="7"/>
      <c r="Q540" s="7"/>
      <c r="R540" s="7"/>
      <c r="S540" s="7"/>
      <c r="T540" s="7"/>
    </row>
    <row r="541" ht="14.25" customHeight="1">
      <c r="A541" s="7"/>
      <c r="B541" s="7"/>
      <c r="C541" s="7"/>
      <c r="D541" s="7"/>
      <c r="E541" s="7"/>
      <c r="F541" s="7"/>
      <c r="G541" s="7"/>
      <c r="H541" s="7"/>
      <c r="I541" s="7"/>
      <c r="J541" s="7"/>
      <c r="K541" s="7"/>
      <c r="L541" s="7"/>
      <c r="M541" s="7"/>
      <c r="N541" s="7"/>
      <c r="O541" s="7"/>
      <c r="P541" s="7"/>
      <c r="Q541" s="7"/>
      <c r="R541" s="7"/>
      <c r="S541" s="7"/>
      <c r="T541" s="7"/>
    </row>
    <row r="542" ht="14.25" customHeight="1">
      <c r="A542" s="7"/>
      <c r="B542" s="7"/>
      <c r="C542" s="7"/>
      <c r="D542" s="7"/>
      <c r="E542" s="7"/>
      <c r="F542" s="7"/>
      <c r="G542" s="7"/>
      <c r="H542" s="7"/>
      <c r="I542" s="7"/>
      <c r="J542" s="7"/>
      <c r="K542" s="7"/>
      <c r="L542" s="7"/>
      <c r="M542" s="7"/>
      <c r="N542" s="7"/>
      <c r="O542" s="7"/>
      <c r="P542" s="7"/>
      <c r="Q542" s="7"/>
      <c r="R542" s="7"/>
      <c r="S542" s="7"/>
      <c r="T542" s="7"/>
    </row>
    <row r="543" ht="14.25" customHeight="1">
      <c r="A543" s="7"/>
      <c r="B543" s="7"/>
      <c r="C543" s="7"/>
      <c r="D543" s="7"/>
      <c r="E543" s="7"/>
      <c r="F543" s="7"/>
      <c r="G543" s="7"/>
      <c r="H543" s="7"/>
      <c r="I543" s="7"/>
      <c r="J543" s="7"/>
      <c r="K543" s="7"/>
      <c r="L543" s="7"/>
      <c r="M543" s="7"/>
      <c r="N543" s="7"/>
      <c r="O543" s="7"/>
      <c r="P543" s="7"/>
      <c r="Q543" s="7"/>
      <c r="R543" s="7"/>
      <c r="S543" s="7"/>
      <c r="T543" s="7"/>
    </row>
    <row r="544" ht="14.25" customHeight="1">
      <c r="A544" s="7"/>
      <c r="B544" s="7"/>
      <c r="C544" s="7"/>
      <c r="D544" s="7"/>
      <c r="E544" s="7"/>
      <c r="F544" s="7"/>
      <c r="G544" s="7"/>
      <c r="H544" s="7"/>
      <c r="I544" s="7"/>
      <c r="J544" s="7"/>
      <c r="K544" s="7"/>
      <c r="L544" s="7"/>
      <c r="M544" s="7"/>
      <c r="N544" s="7"/>
      <c r="O544" s="7"/>
      <c r="P544" s="7"/>
      <c r="Q544" s="7"/>
      <c r="R544" s="7"/>
      <c r="S544" s="7"/>
      <c r="T544" s="7"/>
    </row>
    <row r="545" ht="14.25" customHeight="1">
      <c r="A545" s="7"/>
      <c r="B545" s="7"/>
      <c r="C545" s="7"/>
      <c r="D545" s="7"/>
      <c r="E545" s="7"/>
      <c r="F545" s="7"/>
      <c r="G545" s="7"/>
      <c r="H545" s="7"/>
      <c r="I545" s="7"/>
      <c r="J545" s="7"/>
      <c r="K545" s="7"/>
      <c r="L545" s="7"/>
      <c r="M545" s="7"/>
      <c r="N545" s="7"/>
      <c r="O545" s="7"/>
      <c r="P545" s="7"/>
      <c r="Q545" s="7"/>
      <c r="R545" s="7"/>
      <c r="S545" s="7"/>
      <c r="T545" s="7"/>
    </row>
    <row r="546" ht="14.25" customHeight="1">
      <c r="A546" s="7"/>
      <c r="B546" s="7"/>
      <c r="C546" s="7"/>
      <c r="D546" s="7"/>
      <c r="E546" s="7"/>
      <c r="F546" s="7"/>
      <c r="G546" s="7"/>
      <c r="H546" s="7"/>
      <c r="I546" s="7"/>
      <c r="J546" s="7"/>
      <c r="K546" s="7"/>
      <c r="L546" s="7"/>
      <c r="M546" s="7"/>
      <c r="N546" s="7"/>
      <c r="O546" s="7"/>
      <c r="P546" s="7"/>
      <c r="Q546" s="7"/>
      <c r="R546" s="7"/>
      <c r="S546" s="7"/>
      <c r="T546" s="7"/>
    </row>
    <row r="547" ht="14.25" customHeight="1">
      <c r="A547" s="7"/>
      <c r="B547" s="7"/>
      <c r="C547" s="7"/>
      <c r="D547" s="7"/>
      <c r="E547" s="7"/>
      <c r="F547" s="7"/>
      <c r="G547" s="7"/>
      <c r="H547" s="7"/>
      <c r="I547" s="7"/>
      <c r="J547" s="7"/>
      <c r="K547" s="7"/>
      <c r="L547" s="7"/>
      <c r="M547" s="7"/>
      <c r="N547" s="7"/>
      <c r="O547" s="7"/>
      <c r="P547" s="7"/>
      <c r="Q547" s="7"/>
      <c r="R547" s="7"/>
      <c r="S547" s="7"/>
      <c r="T547" s="7"/>
    </row>
    <row r="548" ht="14.25" customHeight="1">
      <c r="A548" s="7"/>
      <c r="B548" s="7"/>
      <c r="C548" s="7"/>
      <c r="D548" s="7"/>
      <c r="E548" s="7"/>
      <c r="F548" s="7"/>
      <c r="G548" s="7"/>
      <c r="H548" s="7"/>
      <c r="I548" s="7"/>
      <c r="J548" s="7"/>
      <c r="K548" s="7"/>
      <c r="L548" s="7"/>
      <c r="M548" s="7"/>
      <c r="N548" s="7"/>
      <c r="O548" s="7"/>
      <c r="P548" s="7"/>
      <c r="Q548" s="7"/>
      <c r="R548" s="7"/>
      <c r="S548" s="7"/>
      <c r="T548" s="7"/>
    </row>
    <row r="549" ht="14.25" customHeight="1">
      <c r="A549" s="7"/>
      <c r="B549" s="7"/>
      <c r="C549" s="7"/>
      <c r="D549" s="7"/>
      <c r="E549" s="7"/>
      <c r="F549" s="7"/>
      <c r="G549" s="7"/>
      <c r="H549" s="7"/>
      <c r="I549" s="7"/>
      <c r="J549" s="7"/>
      <c r="K549" s="7"/>
      <c r="L549" s="7"/>
      <c r="M549" s="7"/>
      <c r="N549" s="7"/>
      <c r="O549" s="7"/>
      <c r="P549" s="7"/>
      <c r="Q549" s="7"/>
      <c r="R549" s="7"/>
      <c r="S549" s="7"/>
      <c r="T549" s="7"/>
    </row>
    <row r="550" ht="14.25" customHeight="1">
      <c r="A550" s="7"/>
      <c r="B550" s="7"/>
      <c r="C550" s="7"/>
      <c r="D550" s="7"/>
      <c r="E550" s="7"/>
      <c r="F550" s="7"/>
      <c r="G550" s="7"/>
      <c r="H550" s="7"/>
      <c r="I550" s="7"/>
      <c r="J550" s="7"/>
      <c r="K550" s="7"/>
      <c r="L550" s="7"/>
      <c r="M550" s="7"/>
      <c r="N550" s="7"/>
      <c r="O550" s="7"/>
      <c r="P550" s="7"/>
      <c r="Q550" s="7"/>
      <c r="R550" s="7"/>
      <c r="S550" s="7"/>
      <c r="T550" s="7"/>
    </row>
    <row r="551" ht="14.25" customHeight="1">
      <c r="A551" s="7"/>
      <c r="B551" s="7"/>
      <c r="C551" s="7"/>
      <c r="D551" s="7"/>
      <c r="E551" s="7"/>
      <c r="F551" s="7"/>
      <c r="G551" s="7"/>
      <c r="H551" s="7"/>
      <c r="I551" s="7"/>
      <c r="J551" s="7"/>
      <c r="K551" s="7"/>
      <c r="L551" s="7"/>
      <c r="M551" s="7"/>
      <c r="N551" s="7"/>
      <c r="O551" s="7"/>
      <c r="P551" s="7"/>
      <c r="Q551" s="7"/>
      <c r="R551" s="7"/>
      <c r="S551" s="7"/>
      <c r="T551" s="7"/>
    </row>
    <row r="552" ht="14.25" customHeight="1">
      <c r="A552" s="7"/>
      <c r="B552" s="7"/>
      <c r="C552" s="7"/>
      <c r="D552" s="7"/>
      <c r="E552" s="7"/>
      <c r="F552" s="7"/>
      <c r="G552" s="7"/>
      <c r="H552" s="7"/>
      <c r="I552" s="7"/>
      <c r="J552" s="7"/>
      <c r="K552" s="7"/>
      <c r="L552" s="7"/>
      <c r="M552" s="7"/>
      <c r="N552" s="7"/>
      <c r="O552" s="7"/>
      <c r="P552" s="7"/>
      <c r="Q552" s="7"/>
      <c r="R552" s="7"/>
      <c r="S552" s="7"/>
      <c r="T552" s="7"/>
    </row>
    <row r="553" ht="14.25" customHeight="1">
      <c r="A553" s="7"/>
      <c r="B553" s="7"/>
      <c r="C553" s="7"/>
      <c r="D553" s="7"/>
      <c r="E553" s="7"/>
      <c r="F553" s="7"/>
      <c r="G553" s="7"/>
      <c r="H553" s="7"/>
      <c r="I553" s="7"/>
      <c r="J553" s="7"/>
      <c r="K553" s="7"/>
      <c r="L553" s="7"/>
      <c r="M553" s="7"/>
      <c r="N553" s="7"/>
      <c r="O553" s="7"/>
      <c r="P553" s="7"/>
      <c r="Q553" s="7"/>
      <c r="R553" s="7"/>
      <c r="S553" s="7"/>
      <c r="T553" s="7"/>
    </row>
    <row r="554" ht="14.25" customHeight="1">
      <c r="A554" s="7"/>
      <c r="B554" s="7"/>
      <c r="C554" s="7"/>
      <c r="D554" s="7"/>
      <c r="E554" s="7"/>
      <c r="F554" s="7"/>
      <c r="G554" s="7"/>
      <c r="H554" s="7"/>
      <c r="I554" s="7"/>
      <c r="J554" s="7"/>
      <c r="K554" s="7"/>
      <c r="L554" s="7"/>
      <c r="M554" s="7"/>
      <c r="N554" s="7"/>
      <c r="O554" s="7"/>
      <c r="P554" s="7"/>
      <c r="Q554" s="7"/>
      <c r="R554" s="7"/>
      <c r="S554" s="7"/>
      <c r="T554" s="7"/>
    </row>
    <row r="555" ht="14.25" customHeight="1">
      <c r="A555" s="7"/>
      <c r="B555" s="7"/>
      <c r="C555" s="7"/>
      <c r="D555" s="7"/>
      <c r="E555" s="7"/>
      <c r="F555" s="7"/>
      <c r="G555" s="7"/>
      <c r="H555" s="7"/>
      <c r="I555" s="7"/>
      <c r="J555" s="7"/>
      <c r="K555" s="7"/>
      <c r="L555" s="7"/>
      <c r="M555" s="7"/>
      <c r="N555" s="7"/>
      <c r="O555" s="7"/>
      <c r="P555" s="7"/>
      <c r="Q555" s="7"/>
      <c r="R555" s="7"/>
      <c r="S555" s="7"/>
      <c r="T555" s="7"/>
    </row>
    <row r="556" ht="14.25" customHeight="1">
      <c r="A556" s="7"/>
      <c r="B556" s="7"/>
      <c r="C556" s="7"/>
      <c r="D556" s="7"/>
      <c r="E556" s="7"/>
      <c r="F556" s="7"/>
      <c r="G556" s="7"/>
      <c r="H556" s="7"/>
      <c r="I556" s="7"/>
      <c r="J556" s="7"/>
      <c r="K556" s="7"/>
      <c r="L556" s="7"/>
      <c r="M556" s="7"/>
      <c r="N556" s="7"/>
      <c r="O556" s="7"/>
      <c r="P556" s="7"/>
      <c r="Q556" s="7"/>
      <c r="R556" s="7"/>
      <c r="S556" s="7"/>
      <c r="T556" s="7"/>
    </row>
    <row r="557" ht="14.25" customHeight="1">
      <c r="A557" s="7"/>
      <c r="B557" s="7"/>
      <c r="C557" s="7"/>
      <c r="D557" s="7"/>
      <c r="E557" s="7"/>
      <c r="F557" s="7"/>
      <c r="G557" s="7"/>
      <c r="H557" s="7"/>
      <c r="I557" s="7"/>
      <c r="J557" s="7"/>
      <c r="K557" s="7"/>
      <c r="L557" s="7"/>
      <c r="M557" s="7"/>
      <c r="N557" s="7"/>
      <c r="O557" s="7"/>
      <c r="P557" s="7"/>
      <c r="Q557" s="7"/>
      <c r="R557" s="7"/>
      <c r="S557" s="7"/>
      <c r="T557" s="7"/>
    </row>
    <row r="558" ht="14.25" customHeight="1">
      <c r="A558" s="7"/>
      <c r="B558" s="7"/>
      <c r="C558" s="7"/>
      <c r="D558" s="7"/>
      <c r="E558" s="7"/>
      <c r="F558" s="7"/>
      <c r="G558" s="7"/>
      <c r="H558" s="7"/>
      <c r="I558" s="7"/>
      <c r="J558" s="7"/>
      <c r="K558" s="7"/>
      <c r="L558" s="7"/>
      <c r="M558" s="7"/>
      <c r="N558" s="7"/>
      <c r="O558" s="7"/>
      <c r="P558" s="7"/>
      <c r="Q558" s="7"/>
      <c r="R558" s="7"/>
      <c r="S558" s="7"/>
      <c r="T558" s="7"/>
    </row>
    <row r="559" ht="14.25" customHeight="1">
      <c r="A559" s="7"/>
      <c r="B559" s="7"/>
      <c r="C559" s="7"/>
      <c r="D559" s="7"/>
      <c r="E559" s="7"/>
      <c r="F559" s="7"/>
      <c r="G559" s="7"/>
      <c r="H559" s="7"/>
      <c r="I559" s="7"/>
      <c r="J559" s="7"/>
      <c r="K559" s="7"/>
      <c r="L559" s="7"/>
      <c r="M559" s="7"/>
      <c r="N559" s="7"/>
      <c r="O559" s="7"/>
      <c r="P559" s="7"/>
      <c r="Q559" s="7"/>
      <c r="R559" s="7"/>
      <c r="S559" s="7"/>
      <c r="T559" s="7"/>
    </row>
    <row r="560" ht="14.25" customHeight="1">
      <c r="A560" s="7"/>
      <c r="B560" s="7"/>
      <c r="C560" s="7"/>
      <c r="D560" s="7"/>
      <c r="E560" s="7"/>
      <c r="F560" s="7"/>
      <c r="G560" s="7"/>
      <c r="H560" s="7"/>
      <c r="I560" s="7"/>
      <c r="J560" s="7"/>
      <c r="K560" s="7"/>
      <c r="L560" s="7"/>
      <c r="M560" s="7"/>
      <c r="N560" s="7"/>
      <c r="O560" s="7"/>
      <c r="P560" s="7"/>
      <c r="Q560" s="7"/>
      <c r="R560" s="7"/>
      <c r="S560" s="7"/>
      <c r="T560" s="7"/>
    </row>
    <row r="561" ht="14.25" customHeight="1">
      <c r="A561" s="7"/>
      <c r="B561" s="7"/>
      <c r="C561" s="7"/>
      <c r="D561" s="7"/>
      <c r="E561" s="7"/>
      <c r="F561" s="7"/>
      <c r="G561" s="7"/>
      <c r="H561" s="7"/>
      <c r="I561" s="7"/>
      <c r="J561" s="7"/>
      <c r="K561" s="7"/>
      <c r="L561" s="7"/>
      <c r="M561" s="7"/>
      <c r="N561" s="7"/>
      <c r="O561" s="7"/>
      <c r="P561" s="7"/>
      <c r="Q561" s="7"/>
      <c r="R561" s="7"/>
      <c r="S561" s="7"/>
      <c r="T561" s="7"/>
    </row>
    <row r="562" ht="14.25" customHeight="1">
      <c r="A562" s="7"/>
      <c r="B562" s="7"/>
      <c r="C562" s="7"/>
      <c r="D562" s="7"/>
      <c r="E562" s="7"/>
      <c r="F562" s="7"/>
      <c r="G562" s="7"/>
      <c r="H562" s="7"/>
      <c r="I562" s="7"/>
      <c r="J562" s="7"/>
      <c r="K562" s="7"/>
      <c r="L562" s="7"/>
      <c r="M562" s="7"/>
      <c r="N562" s="7"/>
      <c r="O562" s="7"/>
      <c r="P562" s="7"/>
      <c r="Q562" s="7"/>
      <c r="R562" s="7"/>
      <c r="S562" s="7"/>
      <c r="T562" s="7"/>
    </row>
    <row r="563" ht="14.25" customHeight="1">
      <c r="A563" s="7"/>
      <c r="B563" s="7"/>
      <c r="C563" s="7"/>
      <c r="D563" s="7"/>
      <c r="E563" s="7"/>
      <c r="F563" s="7"/>
      <c r="G563" s="7"/>
      <c r="H563" s="7"/>
      <c r="I563" s="7"/>
      <c r="J563" s="7"/>
      <c r="K563" s="7"/>
      <c r="L563" s="7"/>
      <c r="M563" s="7"/>
      <c r="N563" s="7"/>
      <c r="O563" s="7"/>
      <c r="P563" s="7"/>
      <c r="Q563" s="7"/>
      <c r="R563" s="7"/>
      <c r="S563" s="7"/>
      <c r="T563" s="7"/>
    </row>
    <row r="564" ht="14.25" customHeight="1">
      <c r="A564" s="7"/>
      <c r="B564" s="7"/>
      <c r="C564" s="7"/>
      <c r="D564" s="7"/>
      <c r="E564" s="7"/>
      <c r="F564" s="7"/>
      <c r="G564" s="7"/>
      <c r="H564" s="7"/>
      <c r="I564" s="7"/>
      <c r="J564" s="7"/>
      <c r="K564" s="7"/>
      <c r="L564" s="7"/>
      <c r="M564" s="7"/>
      <c r="N564" s="7"/>
      <c r="O564" s="7"/>
      <c r="P564" s="7"/>
      <c r="Q564" s="7"/>
      <c r="R564" s="7"/>
      <c r="S564" s="7"/>
      <c r="T564" s="7"/>
    </row>
    <row r="565" ht="14.25" customHeight="1">
      <c r="A565" s="7"/>
      <c r="B565" s="7"/>
      <c r="C565" s="7"/>
      <c r="D565" s="7"/>
      <c r="E565" s="7"/>
      <c r="F565" s="7"/>
      <c r="G565" s="7"/>
      <c r="H565" s="7"/>
      <c r="I565" s="7"/>
      <c r="J565" s="7"/>
      <c r="K565" s="7"/>
      <c r="L565" s="7"/>
      <c r="M565" s="7"/>
      <c r="N565" s="7"/>
      <c r="O565" s="7"/>
      <c r="P565" s="7"/>
      <c r="Q565" s="7"/>
      <c r="R565" s="7"/>
      <c r="S565" s="7"/>
      <c r="T565" s="7"/>
    </row>
    <row r="566" ht="14.25" customHeight="1">
      <c r="A566" s="7"/>
      <c r="B566" s="7"/>
      <c r="C566" s="7"/>
      <c r="D566" s="7"/>
      <c r="E566" s="7"/>
      <c r="F566" s="7"/>
      <c r="G566" s="7"/>
      <c r="H566" s="7"/>
      <c r="I566" s="7"/>
      <c r="J566" s="7"/>
      <c r="K566" s="7"/>
      <c r="L566" s="7"/>
      <c r="M566" s="7"/>
      <c r="N566" s="7"/>
      <c r="O566" s="7"/>
      <c r="P566" s="7"/>
      <c r="Q566" s="7"/>
      <c r="R566" s="7"/>
      <c r="S566" s="7"/>
      <c r="T566" s="7"/>
    </row>
    <row r="567" ht="14.25" customHeight="1">
      <c r="A567" s="7"/>
      <c r="B567" s="7"/>
      <c r="C567" s="7"/>
      <c r="D567" s="7"/>
      <c r="E567" s="7"/>
      <c r="F567" s="7"/>
      <c r="G567" s="7"/>
      <c r="H567" s="7"/>
      <c r="I567" s="7"/>
      <c r="J567" s="7"/>
      <c r="K567" s="7"/>
      <c r="L567" s="7"/>
      <c r="M567" s="7"/>
      <c r="N567" s="7"/>
      <c r="O567" s="7"/>
      <c r="P567" s="7"/>
      <c r="Q567" s="7"/>
      <c r="R567" s="7"/>
      <c r="S567" s="7"/>
      <c r="T567" s="7"/>
    </row>
    <row r="568" ht="14.25" customHeight="1">
      <c r="A568" s="7"/>
      <c r="B568" s="7"/>
      <c r="C568" s="7"/>
      <c r="D568" s="7"/>
      <c r="E568" s="7"/>
      <c r="F568" s="7"/>
      <c r="G568" s="7"/>
      <c r="H568" s="7"/>
      <c r="I568" s="7"/>
      <c r="J568" s="7"/>
      <c r="K568" s="7"/>
      <c r="L568" s="7"/>
      <c r="M568" s="7"/>
      <c r="N568" s="7"/>
      <c r="O568" s="7"/>
      <c r="P568" s="7"/>
      <c r="Q568" s="7"/>
      <c r="R568" s="7"/>
      <c r="S568" s="7"/>
      <c r="T568" s="7"/>
    </row>
    <row r="569" ht="14.25" customHeight="1">
      <c r="A569" s="7"/>
      <c r="B569" s="7"/>
      <c r="C569" s="7"/>
      <c r="D569" s="7"/>
      <c r="E569" s="7"/>
      <c r="F569" s="7"/>
      <c r="G569" s="7"/>
      <c r="H569" s="7"/>
      <c r="I569" s="7"/>
      <c r="J569" s="7"/>
      <c r="K569" s="7"/>
      <c r="L569" s="7"/>
      <c r="M569" s="7"/>
      <c r="N569" s="7"/>
      <c r="O569" s="7"/>
      <c r="P569" s="7"/>
      <c r="Q569" s="7"/>
      <c r="R569" s="7"/>
      <c r="S569" s="7"/>
      <c r="T569" s="7"/>
    </row>
    <row r="570" ht="14.25" customHeight="1">
      <c r="A570" s="7"/>
      <c r="B570" s="7"/>
      <c r="C570" s="7"/>
      <c r="D570" s="7"/>
      <c r="E570" s="7"/>
      <c r="F570" s="7"/>
      <c r="G570" s="7"/>
      <c r="H570" s="7"/>
      <c r="I570" s="7"/>
      <c r="J570" s="7"/>
      <c r="K570" s="7"/>
      <c r="L570" s="7"/>
      <c r="M570" s="7"/>
      <c r="N570" s="7"/>
      <c r="O570" s="7"/>
      <c r="P570" s="7"/>
      <c r="Q570" s="7"/>
      <c r="R570" s="7"/>
      <c r="S570" s="7"/>
      <c r="T570" s="7"/>
    </row>
    <row r="571" ht="14.25" customHeight="1">
      <c r="A571" s="7"/>
      <c r="B571" s="7"/>
      <c r="C571" s="7"/>
      <c r="D571" s="7"/>
      <c r="E571" s="7"/>
      <c r="F571" s="7"/>
      <c r="G571" s="7"/>
      <c r="H571" s="7"/>
      <c r="I571" s="7"/>
      <c r="J571" s="7"/>
      <c r="K571" s="7"/>
      <c r="L571" s="7"/>
      <c r="M571" s="7"/>
      <c r="N571" s="7"/>
      <c r="O571" s="7"/>
      <c r="P571" s="7"/>
      <c r="Q571" s="7"/>
      <c r="R571" s="7"/>
      <c r="S571" s="7"/>
      <c r="T571" s="7"/>
    </row>
    <row r="572" ht="14.25" customHeight="1">
      <c r="A572" s="7"/>
      <c r="B572" s="7"/>
      <c r="C572" s="7"/>
      <c r="D572" s="7"/>
      <c r="E572" s="7"/>
      <c r="F572" s="7"/>
      <c r="G572" s="7"/>
      <c r="H572" s="7"/>
      <c r="I572" s="7"/>
      <c r="J572" s="7"/>
      <c r="K572" s="7"/>
      <c r="L572" s="7"/>
      <c r="M572" s="7"/>
      <c r="N572" s="7"/>
      <c r="O572" s="7"/>
      <c r="P572" s="7"/>
      <c r="Q572" s="7"/>
      <c r="R572" s="7"/>
      <c r="S572" s="7"/>
      <c r="T572" s="7"/>
    </row>
    <row r="573" ht="14.25" customHeight="1">
      <c r="A573" s="7"/>
      <c r="B573" s="7"/>
      <c r="C573" s="7"/>
      <c r="D573" s="7"/>
      <c r="E573" s="7"/>
      <c r="F573" s="7"/>
      <c r="G573" s="7"/>
      <c r="H573" s="7"/>
      <c r="I573" s="7"/>
      <c r="J573" s="7"/>
      <c r="K573" s="7"/>
      <c r="L573" s="7"/>
      <c r="M573" s="7"/>
      <c r="N573" s="7"/>
      <c r="O573" s="7"/>
      <c r="P573" s="7"/>
      <c r="Q573" s="7"/>
      <c r="R573" s="7"/>
      <c r="S573" s="7"/>
      <c r="T573" s="7"/>
    </row>
    <row r="574" ht="14.25" customHeight="1">
      <c r="A574" s="7"/>
      <c r="B574" s="7"/>
      <c r="C574" s="7"/>
      <c r="D574" s="7"/>
      <c r="E574" s="7"/>
      <c r="F574" s="7"/>
      <c r="G574" s="7"/>
      <c r="H574" s="7"/>
      <c r="I574" s="7"/>
      <c r="J574" s="7"/>
      <c r="K574" s="7"/>
      <c r="L574" s="7"/>
      <c r="M574" s="7"/>
      <c r="N574" s="7"/>
      <c r="O574" s="7"/>
      <c r="P574" s="7"/>
      <c r="Q574" s="7"/>
      <c r="R574" s="7"/>
      <c r="S574" s="7"/>
      <c r="T574" s="7"/>
    </row>
    <row r="575" ht="14.25" customHeight="1">
      <c r="A575" s="7"/>
      <c r="B575" s="7"/>
      <c r="C575" s="7"/>
      <c r="D575" s="7"/>
      <c r="E575" s="7"/>
      <c r="F575" s="7"/>
      <c r="G575" s="7"/>
      <c r="H575" s="7"/>
      <c r="I575" s="7"/>
      <c r="J575" s="7"/>
      <c r="K575" s="7"/>
      <c r="L575" s="7"/>
      <c r="M575" s="7"/>
      <c r="N575" s="7"/>
      <c r="O575" s="7"/>
      <c r="P575" s="7"/>
      <c r="Q575" s="7"/>
      <c r="R575" s="7"/>
      <c r="S575" s="7"/>
      <c r="T575" s="7"/>
    </row>
    <row r="576" ht="14.25" customHeight="1">
      <c r="A576" s="7"/>
      <c r="B576" s="7"/>
      <c r="C576" s="7"/>
      <c r="D576" s="7"/>
      <c r="E576" s="7"/>
      <c r="F576" s="7"/>
      <c r="G576" s="7"/>
      <c r="H576" s="7"/>
      <c r="I576" s="7"/>
      <c r="J576" s="7"/>
      <c r="K576" s="7"/>
      <c r="L576" s="7"/>
      <c r="M576" s="7"/>
      <c r="N576" s="7"/>
      <c r="O576" s="7"/>
      <c r="P576" s="7"/>
      <c r="Q576" s="7"/>
      <c r="R576" s="7"/>
      <c r="S576" s="7"/>
      <c r="T576" s="7"/>
    </row>
    <row r="577" ht="14.25" customHeight="1">
      <c r="A577" s="7"/>
      <c r="B577" s="7"/>
      <c r="C577" s="7"/>
      <c r="D577" s="7"/>
      <c r="E577" s="7"/>
      <c r="F577" s="7"/>
      <c r="G577" s="7"/>
      <c r="H577" s="7"/>
      <c r="I577" s="7"/>
      <c r="J577" s="7"/>
      <c r="K577" s="7"/>
      <c r="L577" s="7"/>
      <c r="M577" s="7"/>
      <c r="N577" s="7"/>
      <c r="O577" s="7"/>
      <c r="P577" s="7"/>
      <c r="Q577" s="7"/>
      <c r="R577" s="7"/>
      <c r="S577" s="7"/>
      <c r="T577" s="7"/>
    </row>
    <row r="578" ht="14.25" customHeight="1">
      <c r="A578" s="7"/>
      <c r="B578" s="7"/>
      <c r="C578" s="7"/>
      <c r="D578" s="7"/>
      <c r="E578" s="7"/>
      <c r="F578" s="7"/>
      <c r="G578" s="7"/>
      <c r="H578" s="7"/>
      <c r="I578" s="7"/>
      <c r="J578" s="7"/>
      <c r="K578" s="7"/>
      <c r="L578" s="7"/>
      <c r="M578" s="7"/>
      <c r="N578" s="7"/>
      <c r="O578" s="7"/>
      <c r="P578" s="7"/>
      <c r="Q578" s="7"/>
      <c r="R578" s="7"/>
      <c r="S578" s="7"/>
      <c r="T578" s="7"/>
    </row>
    <row r="579" ht="14.25" customHeight="1">
      <c r="A579" s="7"/>
      <c r="B579" s="7"/>
      <c r="C579" s="7"/>
      <c r="D579" s="7"/>
      <c r="E579" s="7"/>
      <c r="F579" s="7"/>
      <c r="G579" s="7"/>
      <c r="H579" s="7"/>
      <c r="I579" s="7"/>
      <c r="J579" s="7"/>
      <c r="K579" s="7"/>
      <c r="L579" s="7"/>
      <c r="M579" s="7"/>
      <c r="N579" s="7"/>
      <c r="O579" s="7"/>
      <c r="P579" s="7"/>
      <c r="Q579" s="7"/>
      <c r="R579" s="7"/>
      <c r="S579" s="7"/>
      <c r="T579" s="7"/>
    </row>
    <row r="580" ht="14.25" customHeight="1">
      <c r="A580" s="7"/>
      <c r="B580" s="7"/>
      <c r="C580" s="7"/>
      <c r="D580" s="7"/>
      <c r="E580" s="7"/>
      <c r="F580" s="7"/>
      <c r="G580" s="7"/>
      <c r="H580" s="7"/>
      <c r="I580" s="7"/>
      <c r="J580" s="7"/>
      <c r="K580" s="7"/>
      <c r="L580" s="7"/>
      <c r="M580" s="7"/>
      <c r="N580" s="7"/>
      <c r="O580" s="7"/>
      <c r="P580" s="7"/>
      <c r="Q580" s="7"/>
      <c r="R580" s="7"/>
      <c r="S580" s="7"/>
      <c r="T580" s="7"/>
    </row>
    <row r="581" ht="14.25" customHeight="1">
      <c r="A581" s="7"/>
      <c r="B581" s="7"/>
      <c r="C581" s="7"/>
      <c r="D581" s="7"/>
      <c r="E581" s="7"/>
      <c r="F581" s="7"/>
      <c r="G581" s="7"/>
      <c r="H581" s="7"/>
      <c r="I581" s="7"/>
      <c r="J581" s="7"/>
      <c r="K581" s="7"/>
      <c r="L581" s="7"/>
      <c r="M581" s="7"/>
      <c r="N581" s="7"/>
      <c r="O581" s="7"/>
      <c r="P581" s="7"/>
      <c r="Q581" s="7"/>
      <c r="R581" s="7"/>
      <c r="S581" s="7"/>
      <c r="T581" s="7"/>
    </row>
    <row r="582" ht="14.25" customHeight="1">
      <c r="A582" s="7"/>
      <c r="B582" s="7"/>
      <c r="C582" s="7"/>
      <c r="D582" s="7"/>
      <c r="E582" s="7"/>
      <c r="F582" s="7"/>
      <c r="G582" s="7"/>
      <c r="H582" s="7"/>
      <c r="I582" s="7"/>
      <c r="J582" s="7"/>
      <c r="K582" s="7"/>
      <c r="L582" s="7"/>
      <c r="M582" s="7"/>
      <c r="N582" s="7"/>
      <c r="O582" s="7"/>
      <c r="P582" s="7"/>
      <c r="Q582" s="7"/>
      <c r="R582" s="7"/>
      <c r="S582" s="7"/>
      <c r="T582" s="7"/>
    </row>
    <row r="583" ht="14.25" customHeight="1">
      <c r="A583" s="7"/>
      <c r="B583" s="7"/>
      <c r="C583" s="7"/>
      <c r="D583" s="7"/>
      <c r="E583" s="7"/>
      <c r="F583" s="7"/>
      <c r="G583" s="7"/>
      <c r="H583" s="7"/>
      <c r="I583" s="7"/>
      <c r="J583" s="7"/>
      <c r="K583" s="7"/>
      <c r="L583" s="7"/>
      <c r="M583" s="7"/>
      <c r="N583" s="7"/>
      <c r="O583" s="7"/>
      <c r="P583" s="7"/>
      <c r="Q583" s="7"/>
      <c r="R583" s="7"/>
      <c r="S583" s="7"/>
      <c r="T583" s="7"/>
    </row>
    <row r="584" ht="14.25" customHeight="1">
      <c r="A584" s="7"/>
      <c r="B584" s="7"/>
      <c r="C584" s="7"/>
      <c r="D584" s="7"/>
      <c r="E584" s="7"/>
      <c r="F584" s="7"/>
      <c r="G584" s="7"/>
      <c r="H584" s="7"/>
      <c r="I584" s="7"/>
      <c r="J584" s="7"/>
      <c r="K584" s="7"/>
      <c r="L584" s="7"/>
      <c r="M584" s="7"/>
      <c r="N584" s="7"/>
      <c r="O584" s="7"/>
      <c r="P584" s="7"/>
      <c r="Q584" s="7"/>
      <c r="R584" s="7"/>
      <c r="S584" s="7"/>
      <c r="T584" s="7"/>
    </row>
    <row r="585" ht="14.25" customHeight="1">
      <c r="A585" s="7"/>
      <c r="B585" s="7"/>
      <c r="C585" s="7"/>
      <c r="D585" s="7"/>
      <c r="E585" s="7"/>
      <c r="F585" s="7"/>
      <c r="G585" s="7"/>
      <c r="H585" s="7"/>
      <c r="I585" s="7"/>
      <c r="J585" s="7"/>
      <c r="K585" s="7"/>
      <c r="L585" s="7"/>
      <c r="M585" s="7"/>
      <c r="N585" s="7"/>
      <c r="O585" s="7"/>
      <c r="P585" s="7"/>
      <c r="Q585" s="7"/>
      <c r="R585" s="7"/>
      <c r="S585" s="7"/>
      <c r="T585" s="7"/>
    </row>
    <row r="586" ht="14.25" customHeight="1">
      <c r="A586" s="7"/>
      <c r="B586" s="7"/>
      <c r="C586" s="7"/>
      <c r="D586" s="7"/>
      <c r="E586" s="7"/>
      <c r="F586" s="7"/>
      <c r="G586" s="7"/>
      <c r="H586" s="7"/>
      <c r="I586" s="7"/>
      <c r="J586" s="7"/>
      <c r="K586" s="7"/>
      <c r="L586" s="7"/>
      <c r="M586" s="7"/>
      <c r="N586" s="7"/>
      <c r="O586" s="7"/>
      <c r="P586" s="7"/>
      <c r="Q586" s="7"/>
      <c r="R586" s="7"/>
      <c r="S586" s="7"/>
      <c r="T586" s="7"/>
    </row>
    <row r="587" ht="14.25" customHeight="1">
      <c r="A587" s="7"/>
      <c r="B587" s="7"/>
      <c r="C587" s="7"/>
      <c r="D587" s="7"/>
      <c r="E587" s="7"/>
      <c r="F587" s="7"/>
      <c r="G587" s="7"/>
      <c r="H587" s="7"/>
      <c r="I587" s="7"/>
      <c r="J587" s="7"/>
      <c r="K587" s="7"/>
      <c r="L587" s="7"/>
      <c r="M587" s="7"/>
      <c r="N587" s="7"/>
      <c r="O587" s="7"/>
      <c r="P587" s="7"/>
      <c r="Q587" s="7"/>
      <c r="R587" s="7"/>
      <c r="S587" s="7"/>
      <c r="T587" s="7"/>
    </row>
    <row r="588" ht="14.25" customHeight="1">
      <c r="A588" s="7"/>
      <c r="B588" s="7"/>
      <c r="C588" s="7"/>
      <c r="D588" s="7"/>
      <c r="E588" s="7"/>
      <c r="F588" s="7"/>
      <c r="G588" s="7"/>
      <c r="H588" s="7"/>
      <c r="I588" s="7"/>
      <c r="J588" s="7"/>
      <c r="K588" s="7"/>
      <c r="L588" s="7"/>
      <c r="M588" s="7"/>
      <c r="N588" s="7"/>
      <c r="O588" s="7"/>
      <c r="P588" s="7"/>
      <c r="Q588" s="7"/>
      <c r="R588" s="7"/>
      <c r="S588" s="7"/>
      <c r="T588" s="7"/>
    </row>
    <row r="589" ht="14.25" customHeight="1">
      <c r="A589" s="7"/>
      <c r="B589" s="7"/>
      <c r="C589" s="7"/>
      <c r="D589" s="7"/>
      <c r="E589" s="7"/>
      <c r="F589" s="7"/>
      <c r="G589" s="7"/>
      <c r="H589" s="7"/>
      <c r="I589" s="7"/>
      <c r="J589" s="7"/>
      <c r="K589" s="7"/>
      <c r="L589" s="7"/>
      <c r="M589" s="7"/>
      <c r="N589" s="7"/>
      <c r="O589" s="7"/>
      <c r="P589" s="7"/>
      <c r="Q589" s="7"/>
      <c r="R589" s="7"/>
      <c r="S589" s="7"/>
      <c r="T589" s="7"/>
    </row>
    <row r="590" ht="14.25" customHeight="1">
      <c r="A590" s="7"/>
      <c r="B590" s="7"/>
      <c r="C590" s="7"/>
      <c r="D590" s="7"/>
      <c r="E590" s="7"/>
      <c r="F590" s="7"/>
      <c r="G590" s="7"/>
      <c r="H590" s="7"/>
      <c r="I590" s="7"/>
      <c r="J590" s="7"/>
      <c r="K590" s="7"/>
      <c r="L590" s="7"/>
      <c r="M590" s="7"/>
      <c r="N590" s="7"/>
      <c r="O590" s="7"/>
      <c r="P590" s="7"/>
      <c r="Q590" s="7"/>
      <c r="R590" s="7"/>
      <c r="S590" s="7"/>
      <c r="T590" s="7"/>
    </row>
    <row r="591" ht="14.25" customHeight="1">
      <c r="A591" s="7"/>
      <c r="B591" s="7"/>
      <c r="C591" s="7"/>
      <c r="D591" s="7"/>
      <c r="E591" s="7"/>
      <c r="F591" s="7"/>
      <c r="G591" s="7"/>
      <c r="H591" s="7"/>
      <c r="I591" s="7"/>
      <c r="J591" s="7"/>
      <c r="K591" s="7"/>
      <c r="L591" s="7"/>
      <c r="M591" s="7"/>
      <c r="N591" s="7"/>
      <c r="O591" s="7"/>
      <c r="P591" s="7"/>
      <c r="Q591" s="7"/>
      <c r="R591" s="7"/>
      <c r="S591" s="7"/>
      <c r="T591" s="7"/>
    </row>
    <row r="592" ht="14.25" customHeight="1">
      <c r="A592" s="7"/>
      <c r="B592" s="7"/>
      <c r="C592" s="7"/>
      <c r="D592" s="7"/>
      <c r="E592" s="7"/>
      <c r="F592" s="7"/>
      <c r="G592" s="7"/>
      <c r="H592" s="7"/>
      <c r="I592" s="7"/>
      <c r="J592" s="7"/>
      <c r="K592" s="7"/>
      <c r="L592" s="7"/>
      <c r="M592" s="7"/>
      <c r="N592" s="7"/>
      <c r="O592" s="7"/>
      <c r="P592" s="7"/>
      <c r="Q592" s="7"/>
      <c r="R592" s="7"/>
      <c r="S592" s="7"/>
      <c r="T592" s="7"/>
    </row>
    <row r="593" ht="14.25" customHeight="1">
      <c r="A593" s="7"/>
      <c r="B593" s="7"/>
      <c r="C593" s="7"/>
      <c r="D593" s="7"/>
      <c r="E593" s="7"/>
      <c r="F593" s="7"/>
      <c r="G593" s="7"/>
      <c r="H593" s="7"/>
      <c r="I593" s="7"/>
      <c r="J593" s="7"/>
      <c r="K593" s="7"/>
      <c r="L593" s="7"/>
      <c r="M593" s="7"/>
      <c r="N593" s="7"/>
      <c r="O593" s="7"/>
      <c r="P593" s="7"/>
      <c r="Q593" s="7"/>
      <c r="R593" s="7"/>
      <c r="S593" s="7"/>
      <c r="T593" s="7"/>
    </row>
    <row r="594" ht="14.25" customHeight="1">
      <c r="A594" s="7"/>
      <c r="B594" s="7"/>
      <c r="C594" s="7"/>
      <c r="D594" s="7"/>
      <c r="E594" s="7"/>
      <c r="F594" s="7"/>
      <c r="G594" s="7"/>
      <c r="H594" s="7"/>
      <c r="I594" s="7"/>
      <c r="J594" s="7"/>
      <c r="K594" s="7"/>
      <c r="L594" s="7"/>
      <c r="M594" s="7"/>
      <c r="N594" s="7"/>
      <c r="O594" s="7"/>
      <c r="P594" s="7"/>
      <c r="Q594" s="7"/>
      <c r="R594" s="7"/>
      <c r="S594" s="7"/>
      <c r="T594" s="7"/>
    </row>
    <row r="595" ht="14.25" customHeight="1">
      <c r="A595" s="7"/>
      <c r="B595" s="7"/>
      <c r="C595" s="7"/>
      <c r="D595" s="7"/>
      <c r="E595" s="7"/>
      <c r="F595" s="7"/>
      <c r="G595" s="7"/>
      <c r="H595" s="7"/>
      <c r="I595" s="7"/>
      <c r="J595" s="7"/>
      <c r="K595" s="7"/>
      <c r="L595" s="7"/>
      <c r="M595" s="7"/>
      <c r="N595" s="7"/>
      <c r="O595" s="7"/>
      <c r="P595" s="7"/>
      <c r="Q595" s="7"/>
      <c r="R595" s="7"/>
      <c r="S595" s="7"/>
      <c r="T595" s="7"/>
    </row>
    <row r="596" ht="14.25" customHeight="1">
      <c r="A596" s="7"/>
      <c r="B596" s="7"/>
      <c r="C596" s="7"/>
      <c r="D596" s="7"/>
      <c r="E596" s="7"/>
      <c r="F596" s="7"/>
      <c r="G596" s="7"/>
      <c r="H596" s="7"/>
      <c r="I596" s="7"/>
      <c r="J596" s="7"/>
      <c r="K596" s="7"/>
      <c r="L596" s="7"/>
      <c r="M596" s="7"/>
      <c r="N596" s="7"/>
      <c r="O596" s="7"/>
      <c r="P596" s="7"/>
      <c r="Q596" s="7"/>
      <c r="R596" s="7"/>
      <c r="S596" s="7"/>
      <c r="T596" s="7"/>
    </row>
    <row r="597" ht="14.25" customHeight="1">
      <c r="A597" s="7"/>
      <c r="B597" s="7"/>
      <c r="C597" s="7"/>
      <c r="D597" s="7"/>
      <c r="E597" s="7"/>
      <c r="F597" s="7"/>
      <c r="G597" s="7"/>
      <c r="H597" s="7"/>
      <c r="I597" s="7"/>
      <c r="J597" s="7"/>
      <c r="K597" s="7"/>
      <c r="L597" s="7"/>
      <c r="M597" s="7"/>
      <c r="N597" s="7"/>
      <c r="O597" s="7"/>
      <c r="P597" s="7"/>
      <c r="Q597" s="7"/>
      <c r="R597" s="7"/>
      <c r="S597" s="7"/>
      <c r="T597" s="7"/>
    </row>
    <row r="598" ht="14.25" customHeight="1">
      <c r="A598" s="7"/>
      <c r="B598" s="7"/>
      <c r="C598" s="7"/>
      <c r="D598" s="7"/>
      <c r="E598" s="7"/>
      <c r="F598" s="7"/>
      <c r="G598" s="7"/>
      <c r="H598" s="7"/>
      <c r="I598" s="7"/>
      <c r="J598" s="7"/>
      <c r="K598" s="7"/>
      <c r="L598" s="7"/>
      <c r="M598" s="7"/>
      <c r="N598" s="7"/>
      <c r="O598" s="7"/>
      <c r="P598" s="7"/>
      <c r="Q598" s="7"/>
      <c r="R598" s="7"/>
      <c r="S598" s="7"/>
      <c r="T598" s="7"/>
    </row>
    <row r="599" ht="14.25" customHeight="1">
      <c r="A599" s="7"/>
      <c r="B599" s="7"/>
      <c r="C599" s="7"/>
      <c r="D599" s="7"/>
      <c r="E599" s="7"/>
      <c r="F599" s="7"/>
      <c r="G599" s="7"/>
      <c r="H599" s="7"/>
      <c r="I599" s="7"/>
      <c r="J599" s="7"/>
      <c r="K599" s="7"/>
      <c r="L599" s="7"/>
      <c r="M599" s="7"/>
      <c r="N599" s="7"/>
      <c r="O599" s="7"/>
      <c r="P599" s="7"/>
      <c r="Q599" s="7"/>
      <c r="R599" s="7"/>
      <c r="S599" s="7"/>
      <c r="T599" s="7"/>
    </row>
    <row r="600" ht="14.25" customHeight="1">
      <c r="A600" s="7"/>
      <c r="B600" s="7"/>
      <c r="C600" s="7"/>
      <c r="D600" s="7"/>
      <c r="E600" s="7"/>
      <c r="F600" s="7"/>
      <c r="G600" s="7"/>
      <c r="H600" s="7"/>
      <c r="I600" s="7"/>
      <c r="J600" s="7"/>
      <c r="K600" s="7"/>
      <c r="L600" s="7"/>
      <c r="M600" s="7"/>
      <c r="N600" s="7"/>
      <c r="O600" s="7"/>
      <c r="P600" s="7"/>
      <c r="Q600" s="7"/>
      <c r="R600" s="7"/>
      <c r="S600" s="7"/>
      <c r="T600" s="7"/>
    </row>
    <row r="601" ht="14.25" customHeight="1">
      <c r="A601" s="7"/>
      <c r="B601" s="7"/>
      <c r="C601" s="7"/>
      <c r="D601" s="7"/>
      <c r="E601" s="7"/>
      <c r="F601" s="7"/>
      <c r="G601" s="7"/>
      <c r="H601" s="7"/>
      <c r="I601" s="7"/>
      <c r="J601" s="7"/>
      <c r="K601" s="7"/>
      <c r="L601" s="7"/>
      <c r="M601" s="7"/>
      <c r="N601" s="7"/>
      <c r="O601" s="7"/>
      <c r="P601" s="7"/>
      <c r="Q601" s="7"/>
      <c r="R601" s="7"/>
      <c r="S601" s="7"/>
      <c r="T601" s="7"/>
    </row>
    <row r="602" ht="14.25" customHeight="1">
      <c r="A602" s="7"/>
      <c r="B602" s="7"/>
      <c r="C602" s="7"/>
      <c r="D602" s="7"/>
      <c r="E602" s="7"/>
      <c r="F602" s="7"/>
      <c r="G602" s="7"/>
      <c r="H602" s="7"/>
      <c r="I602" s="7"/>
      <c r="J602" s="7"/>
      <c r="K602" s="7"/>
      <c r="L602" s="7"/>
      <c r="M602" s="7"/>
      <c r="N602" s="7"/>
      <c r="O602" s="7"/>
      <c r="P602" s="7"/>
      <c r="Q602" s="7"/>
      <c r="R602" s="7"/>
      <c r="S602" s="7"/>
      <c r="T602" s="7"/>
    </row>
    <row r="603" ht="14.25" customHeight="1">
      <c r="A603" s="7"/>
      <c r="B603" s="7"/>
      <c r="C603" s="7"/>
      <c r="D603" s="7"/>
      <c r="E603" s="7"/>
      <c r="F603" s="7"/>
      <c r="G603" s="7"/>
      <c r="H603" s="7"/>
      <c r="I603" s="7"/>
      <c r="J603" s="7"/>
      <c r="K603" s="7"/>
      <c r="L603" s="7"/>
      <c r="M603" s="7"/>
      <c r="N603" s="7"/>
      <c r="O603" s="7"/>
      <c r="P603" s="7"/>
      <c r="Q603" s="7"/>
      <c r="R603" s="7"/>
      <c r="S603" s="7"/>
      <c r="T603" s="7"/>
    </row>
    <row r="604" ht="14.25" customHeight="1">
      <c r="A604" s="7"/>
      <c r="B604" s="7"/>
      <c r="C604" s="7"/>
      <c r="D604" s="7"/>
      <c r="E604" s="7"/>
      <c r="F604" s="7"/>
      <c r="G604" s="7"/>
      <c r="H604" s="7"/>
      <c r="I604" s="7"/>
      <c r="J604" s="7"/>
      <c r="K604" s="7"/>
      <c r="L604" s="7"/>
      <c r="M604" s="7"/>
      <c r="N604" s="7"/>
      <c r="O604" s="7"/>
      <c r="P604" s="7"/>
      <c r="Q604" s="7"/>
      <c r="R604" s="7"/>
      <c r="S604" s="7"/>
      <c r="T604" s="7"/>
    </row>
    <row r="605" ht="14.25" customHeight="1">
      <c r="A605" s="7"/>
      <c r="B605" s="7"/>
      <c r="C605" s="7"/>
      <c r="D605" s="7"/>
      <c r="E605" s="7"/>
      <c r="F605" s="7"/>
      <c r="G605" s="7"/>
      <c r="H605" s="7"/>
      <c r="I605" s="7"/>
      <c r="J605" s="7"/>
      <c r="K605" s="7"/>
      <c r="L605" s="7"/>
      <c r="M605" s="7"/>
      <c r="N605" s="7"/>
      <c r="O605" s="7"/>
      <c r="P605" s="7"/>
      <c r="Q605" s="7"/>
      <c r="R605" s="7"/>
      <c r="S605" s="7"/>
      <c r="T605" s="7"/>
    </row>
    <row r="606" ht="14.25" customHeight="1">
      <c r="A606" s="7"/>
      <c r="B606" s="7"/>
      <c r="C606" s="7"/>
      <c r="D606" s="7"/>
      <c r="E606" s="7"/>
      <c r="F606" s="7"/>
      <c r="G606" s="7"/>
      <c r="H606" s="7"/>
      <c r="I606" s="7"/>
      <c r="J606" s="7"/>
      <c r="K606" s="7"/>
      <c r="L606" s="7"/>
      <c r="M606" s="7"/>
      <c r="N606" s="7"/>
      <c r="O606" s="7"/>
      <c r="P606" s="7"/>
      <c r="Q606" s="7"/>
      <c r="R606" s="7"/>
      <c r="S606" s="7"/>
      <c r="T606" s="7"/>
    </row>
    <row r="607" ht="14.25" customHeight="1">
      <c r="A607" s="7"/>
      <c r="B607" s="7"/>
      <c r="C607" s="7"/>
      <c r="D607" s="7"/>
      <c r="E607" s="7"/>
      <c r="F607" s="7"/>
      <c r="G607" s="7"/>
      <c r="H607" s="7"/>
      <c r="I607" s="7"/>
      <c r="J607" s="7"/>
      <c r="K607" s="7"/>
      <c r="L607" s="7"/>
      <c r="M607" s="7"/>
      <c r="N607" s="7"/>
      <c r="O607" s="7"/>
      <c r="P607" s="7"/>
      <c r="Q607" s="7"/>
      <c r="R607" s="7"/>
      <c r="S607" s="7"/>
      <c r="T607" s="7"/>
    </row>
    <row r="608" ht="14.25" customHeight="1">
      <c r="A608" s="7"/>
      <c r="B608" s="7"/>
      <c r="C608" s="7"/>
      <c r="D608" s="7"/>
      <c r="E608" s="7"/>
      <c r="F608" s="7"/>
      <c r="G608" s="7"/>
      <c r="H608" s="7"/>
      <c r="I608" s="7"/>
      <c r="J608" s="7"/>
      <c r="K608" s="7"/>
      <c r="L608" s="7"/>
      <c r="M608" s="7"/>
      <c r="N608" s="7"/>
      <c r="O608" s="7"/>
      <c r="P608" s="7"/>
      <c r="Q608" s="7"/>
      <c r="R608" s="7"/>
      <c r="S608" s="7"/>
      <c r="T608" s="7"/>
    </row>
    <row r="609" ht="14.25" customHeight="1">
      <c r="A609" s="7"/>
      <c r="B609" s="7"/>
      <c r="C609" s="7"/>
      <c r="D609" s="7"/>
      <c r="E609" s="7"/>
      <c r="F609" s="7"/>
      <c r="G609" s="7"/>
      <c r="H609" s="7"/>
      <c r="I609" s="7"/>
      <c r="J609" s="7"/>
      <c r="K609" s="7"/>
      <c r="L609" s="7"/>
      <c r="M609" s="7"/>
      <c r="N609" s="7"/>
      <c r="O609" s="7"/>
      <c r="P609" s="7"/>
      <c r="Q609" s="7"/>
      <c r="R609" s="7"/>
      <c r="S609" s="7"/>
      <c r="T609" s="7"/>
    </row>
    <row r="610" ht="14.25" customHeight="1">
      <c r="A610" s="7"/>
      <c r="B610" s="7"/>
      <c r="C610" s="7"/>
      <c r="D610" s="7"/>
      <c r="E610" s="7"/>
      <c r="F610" s="7"/>
      <c r="G610" s="7"/>
      <c r="H610" s="7"/>
      <c r="I610" s="7"/>
      <c r="J610" s="7"/>
      <c r="K610" s="7"/>
      <c r="L610" s="7"/>
      <c r="M610" s="7"/>
      <c r="N610" s="7"/>
      <c r="O610" s="7"/>
      <c r="P610" s="7"/>
      <c r="Q610" s="7"/>
      <c r="R610" s="7"/>
      <c r="S610" s="7"/>
      <c r="T610" s="7"/>
    </row>
    <row r="611" ht="14.25" customHeight="1">
      <c r="A611" s="7"/>
      <c r="B611" s="7"/>
      <c r="C611" s="7"/>
      <c r="D611" s="7"/>
      <c r="E611" s="7"/>
      <c r="F611" s="7"/>
      <c r="G611" s="7"/>
      <c r="H611" s="7"/>
      <c r="I611" s="7"/>
      <c r="J611" s="7"/>
      <c r="K611" s="7"/>
      <c r="L611" s="7"/>
      <c r="M611" s="7"/>
      <c r="N611" s="7"/>
      <c r="O611" s="7"/>
      <c r="P611" s="7"/>
      <c r="Q611" s="7"/>
      <c r="R611" s="7"/>
      <c r="S611" s="7"/>
      <c r="T611" s="7"/>
    </row>
    <row r="612" ht="14.25" customHeight="1">
      <c r="A612" s="7"/>
      <c r="B612" s="7"/>
      <c r="C612" s="7"/>
      <c r="D612" s="7"/>
      <c r="E612" s="7"/>
      <c r="F612" s="7"/>
      <c r="G612" s="7"/>
      <c r="H612" s="7"/>
      <c r="I612" s="7"/>
      <c r="J612" s="7"/>
      <c r="K612" s="7"/>
      <c r="L612" s="7"/>
      <c r="M612" s="7"/>
      <c r="N612" s="7"/>
      <c r="O612" s="7"/>
      <c r="P612" s="7"/>
      <c r="Q612" s="7"/>
      <c r="R612" s="7"/>
      <c r="S612" s="7"/>
      <c r="T612" s="7"/>
    </row>
    <row r="613" ht="14.25" customHeight="1">
      <c r="A613" s="7"/>
      <c r="B613" s="7"/>
      <c r="C613" s="7"/>
      <c r="D613" s="7"/>
      <c r="E613" s="7"/>
      <c r="F613" s="7"/>
      <c r="G613" s="7"/>
      <c r="H613" s="7"/>
      <c r="I613" s="7"/>
      <c r="J613" s="7"/>
      <c r="K613" s="7"/>
      <c r="L613" s="7"/>
      <c r="M613" s="7"/>
      <c r="N613" s="7"/>
      <c r="O613" s="7"/>
      <c r="P613" s="7"/>
      <c r="Q613" s="7"/>
      <c r="R613" s="7"/>
      <c r="S613" s="7"/>
      <c r="T613" s="7"/>
    </row>
    <row r="614" ht="14.25" customHeight="1">
      <c r="A614" s="7"/>
      <c r="B614" s="7"/>
      <c r="C614" s="7"/>
      <c r="D614" s="7"/>
      <c r="E614" s="7"/>
      <c r="F614" s="7"/>
      <c r="G614" s="7"/>
      <c r="H614" s="7"/>
      <c r="I614" s="7"/>
      <c r="J614" s="7"/>
      <c r="K614" s="7"/>
      <c r="L614" s="7"/>
      <c r="M614" s="7"/>
      <c r="N614" s="7"/>
      <c r="O614" s="7"/>
      <c r="P614" s="7"/>
      <c r="Q614" s="7"/>
      <c r="R614" s="7"/>
      <c r="S614" s="7"/>
      <c r="T614" s="7"/>
    </row>
    <row r="615" ht="14.25" customHeight="1">
      <c r="A615" s="7"/>
      <c r="B615" s="7"/>
      <c r="C615" s="7"/>
      <c r="D615" s="7"/>
      <c r="E615" s="7"/>
      <c r="F615" s="7"/>
      <c r="G615" s="7"/>
      <c r="H615" s="7"/>
      <c r="I615" s="7"/>
      <c r="J615" s="7"/>
      <c r="K615" s="7"/>
      <c r="L615" s="7"/>
      <c r="M615" s="7"/>
      <c r="N615" s="7"/>
      <c r="O615" s="7"/>
      <c r="P615" s="7"/>
      <c r="Q615" s="7"/>
      <c r="R615" s="7"/>
      <c r="S615" s="7"/>
      <c r="T615" s="7"/>
    </row>
    <row r="616" ht="14.25" customHeight="1">
      <c r="A616" s="7"/>
      <c r="B616" s="7"/>
      <c r="C616" s="7"/>
      <c r="D616" s="7"/>
      <c r="E616" s="7"/>
      <c r="F616" s="7"/>
      <c r="G616" s="7"/>
      <c r="H616" s="7"/>
      <c r="I616" s="7"/>
      <c r="J616" s="7"/>
      <c r="K616" s="7"/>
      <c r="L616" s="7"/>
      <c r="M616" s="7"/>
      <c r="N616" s="7"/>
      <c r="O616" s="7"/>
      <c r="P616" s="7"/>
      <c r="Q616" s="7"/>
      <c r="R616" s="7"/>
      <c r="S616" s="7"/>
      <c r="T616" s="7"/>
    </row>
    <row r="617" ht="14.25" customHeight="1">
      <c r="A617" s="7"/>
      <c r="B617" s="7"/>
      <c r="C617" s="7"/>
      <c r="D617" s="7"/>
      <c r="E617" s="7"/>
      <c r="F617" s="7"/>
      <c r="G617" s="7"/>
      <c r="H617" s="7"/>
      <c r="I617" s="7"/>
      <c r="J617" s="7"/>
      <c r="K617" s="7"/>
      <c r="L617" s="7"/>
      <c r="M617" s="7"/>
      <c r="N617" s="7"/>
      <c r="O617" s="7"/>
      <c r="P617" s="7"/>
      <c r="Q617" s="7"/>
      <c r="R617" s="7"/>
      <c r="S617" s="7"/>
      <c r="T617" s="7"/>
    </row>
    <row r="618" ht="14.25" customHeight="1">
      <c r="A618" s="7"/>
      <c r="B618" s="7"/>
      <c r="C618" s="7"/>
      <c r="D618" s="7"/>
      <c r="E618" s="7"/>
      <c r="F618" s="7"/>
      <c r="G618" s="7"/>
      <c r="H618" s="7"/>
      <c r="I618" s="7"/>
      <c r="J618" s="7"/>
      <c r="K618" s="7"/>
      <c r="L618" s="7"/>
      <c r="M618" s="7"/>
      <c r="N618" s="7"/>
      <c r="O618" s="7"/>
      <c r="P618" s="7"/>
      <c r="Q618" s="7"/>
      <c r="R618" s="7"/>
      <c r="S618" s="7"/>
      <c r="T618" s="7"/>
    </row>
    <row r="619" ht="14.25" customHeight="1">
      <c r="A619" s="7"/>
      <c r="B619" s="7"/>
      <c r="C619" s="7"/>
      <c r="D619" s="7"/>
      <c r="E619" s="7"/>
      <c r="F619" s="7"/>
      <c r="G619" s="7"/>
      <c r="H619" s="7"/>
      <c r="I619" s="7"/>
      <c r="J619" s="7"/>
      <c r="K619" s="7"/>
      <c r="L619" s="7"/>
      <c r="M619" s="7"/>
      <c r="N619" s="7"/>
      <c r="O619" s="7"/>
      <c r="P619" s="7"/>
      <c r="Q619" s="7"/>
      <c r="R619" s="7"/>
      <c r="S619" s="7"/>
      <c r="T619" s="7"/>
    </row>
    <row r="620" ht="14.25" customHeight="1">
      <c r="A620" s="7"/>
      <c r="B620" s="7"/>
      <c r="C620" s="7"/>
      <c r="D620" s="7"/>
      <c r="E620" s="7"/>
      <c r="F620" s="7"/>
      <c r="G620" s="7"/>
      <c r="H620" s="7"/>
      <c r="I620" s="7"/>
      <c r="J620" s="7"/>
      <c r="K620" s="7"/>
      <c r="L620" s="7"/>
      <c r="M620" s="7"/>
      <c r="N620" s="7"/>
      <c r="O620" s="7"/>
      <c r="P620" s="7"/>
      <c r="Q620" s="7"/>
      <c r="R620" s="7"/>
      <c r="S620" s="7"/>
      <c r="T620" s="7"/>
    </row>
    <row r="621" ht="14.25" customHeight="1">
      <c r="A621" s="7"/>
      <c r="B621" s="7"/>
      <c r="C621" s="7"/>
      <c r="D621" s="7"/>
      <c r="E621" s="7"/>
      <c r="F621" s="7"/>
      <c r="G621" s="7"/>
      <c r="H621" s="7"/>
      <c r="I621" s="7"/>
      <c r="J621" s="7"/>
      <c r="K621" s="7"/>
      <c r="L621" s="7"/>
      <c r="M621" s="7"/>
      <c r="N621" s="7"/>
      <c r="O621" s="7"/>
      <c r="P621" s="7"/>
      <c r="Q621" s="7"/>
      <c r="R621" s="7"/>
      <c r="S621" s="7"/>
      <c r="T621" s="7"/>
    </row>
    <row r="622" ht="14.25" customHeight="1">
      <c r="A622" s="7"/>
      <c r="B622" s="7"/>
      <c r="C622" s="7"/>
      <c r="D622" s="7"/>
      <c r="E622" s="7"/>
      <c r="F622" s="7"/>
      <c r="G622" s="7"/>
      <c r="H622" s="7"/>
      <c r="I622" s="7"/>
      <c r="J622" s="7"/>
      <c r="K622" s="7"/>
      <c r="L622" s="7"/>
      <c r="M622" s="7"/>
      <c r="N622" s="7"/>
      <c r="O622" s="7"/>
      <c r="P622" s="7"/>
      <c r="Q622" s="7"/>
      <c r="R622" s="7"/>
      <c r="S622" s="7"/>
      <c r="T622" s="7"/>
    </row>
    <row r="623" ht="14.25" customHeight="1">
      <c r="A623" s="7"/>
      <c r="B623" s="7"/>
      <c r="C623" s="7"/>
      <c r="D623" s="7"/>
      <c r="E623" s="7"/>
      <c r="F623" s="7"/>
      <c r="G623" s="7"/>
      <c r="H623" s="7"/>
      <c r="I623" s="7"/>
      <c r="J623" s="7"/>
      <c r="K623" s="7"/>
      <c r="L623" s="7"/>
      <c r="M623" s="7"/>
      <c r="N623" s="7"/>
      <c r="O623" s="7"/>
      <c r="P623" s="7"/>
      <c r="Q623" s="7"/>
      <c r="R623" s="7"/>
      <c r="S623" s="7"/>
      <c r="T623" s="7"/>
    </row>
    <row r="624" ht="14.25" customHeight="1">
      <c r="A624" s="7"/>
      <c r="B624" s="7"/>
      <c r="C624" s="7"/>
      <c r="D624" s="7"/>
      <c r="E624" s="7"/>
      <c r="F624" s="7"/>
      <c r="G624" s="7"/>
      <c r="H624" s="7"/>
      <c r="I624" s="7"/>
      <c r="J624" s="7"/>
      <c r="K624" s="7"/>
      <c r="L624" s="7"/>
      <c r="M624" s="7"/>
      <c r="N624" s="7"/>
      <c r="O624" s="7"/>
      <c r="P624" s="7"/>
      <c r="Q624" s="7"/>
      <c r="R624" s="7"/>
      <c r="S624" s="7"/>
      <c r="T624" s="7"/>
    </row>
    <row r="625" ht="14.25" customHeight="1">
      <c r="A625" s="7"/>
      <c r="B625" s="7"/>
      <c r="C625" s="7"/>
      <c r="D625" s="7"/>
      <c r="E625" s="7"/>
      <c r="F625" s="7"/>
      <c r="G625" s="7"/>
      <c r="H625" s="7"/>
      <c r="I625" s="7"/>
      <c r="J625" s="7"/>
      <c r="K625" s="7"/>
      <c r="L625" s="7"/>
      <c r="M625" s="7"/>
      <c r="N625" s="7"/>
      <c r="O625" s="7"/>
      <c r="P625" s="7"/>
      <c r="Q625" s="7"/>
      <c r="R625" s="7"/>
      <c r="S625" s="7"/>
      <c r="T625" s="7"/>
    </row>
    <row r="626" ht="14.25" customHeight="1">
      <c r="A626" s="7"/>
      <c r="B626" s="7"/>
      <c r="C626" s="7"/>
      <c r="D626" s="7"/>
      <c r="E626" s="7"/>
      <c r="F626" s="7"/>
      <c r="G626" s="7"/>
      <c r="H626" s="7"/>
      <c r="I626" s="7"/>
      <c r="J626" s="7"/>
      <c r="K626" s="7"/>
      <c r="L626" s="7"/>
      <c r="M626" s="7"/>
      <c r="N626" s="7"/>
      <c r="O626" s="7"/>
      <c r="P626" s="7"/>
      <c r="Q626" s="7"/>
      <c r="R626" s="7"/>
      <c r="S626" s="7"/>
      <c r="T626" s="7"/>
    </row>
    <row r="627" ht="14.25" customHeight="1">
      <c r="A627" s="7"/>
      <c r="B627" s="7"/>
      <c r="C627" s="7"/>
      <c r="D627" s="7"/>
      <c r="E627" s="7"/>
      <c r="F627" s="7"/>
      <c r="G627" s="7"/>
      <c r="H627" s="7"/>
      <c r="I627" s="7"/>
      <c r="J627" s="7"/>
      <c r="K627" s="7"/>
      <c r="L627" s="7"/>
      <c r="M627" s="7"/>
      <c r="N627" s="7"/>
      <c r="O627" s="7"/>
      <c r="P627" s="7"/>
      <c r="Q627" s="7"/>
      <c r="R627" s="7"/>
      <c r="S627" s="7"/>
      <c r="T627" s="7"/>
    </row>
    <row r="628" ht="14.25" customHeight="1">
      <c r="A628" s="7"/>
      <c r="B628" s="7"/>
      <c r="C628" s="7"/>
      <c r="D628" s="7"/>
      <c r="E628" s="7"/>
      <c r="F628" s="7"/>
      <c r="G628" s="7"/>
      <c r="H628" s="7"/>
      <c r="I628" s="7"/>
      <c r="J628" s="7"/>
      <c r="K628" s="7"/>
      <c r="L628" s="7"/>
      <c r="M628" s="7"/>
      <c r="N628" s="7"/>
      <c r="O628" s="7"/>
      <c r="P628" s="7"/>
      <c r="Q628" s="7"/>
      <c r="R628" s="7"/>
      <c r="S628" s="7"/>
      <c r="T628" s="7"/>
    </row>
    <row r="629" ht="14.25" customHeight="1">
      <c r="A629" s="7"/>
      <c r="B629" s="7"/>
      <c r="C629" s="7"/>
      <c r="D629" s="7"/>
      <c r="E629" s="7"/>
      <c r="F629" s="7"/>
      <c r="G629" s="7"/>
      <c r="H629" s="7"/>
      <c r="I629" s="7"/>
      <c r="J629" s="7"/>
      <c r="K629" s="7"/>
      <c r="L629" s="7"/>
      <c r="M629" s="7"/>
      <c r="N629" s="7"/>
      <c r="O629" s="7"/>
      <c r="P629" s="7"/>
      <c r="Q629" s="7"/>
      <c r="R629" s="7"/>
      <c r="S629" s="7"/>
      <c r="T629" s="7"/>
    </row>
    <row r="630" ht="14.25" customHeight="1">
      <c r="A630" s="7"/>
      <c r="B630" s="7"/>
      <c r="C630" s="7"/>
      <c r="D630" s="7"/>
      <c r="E630" s="7"/>
      <c r="F630" s="7"/>
      <c r="G630" s="7"/>
      <c r="H630" s="7"/>
      <c r="I630" s="7"/>
      <c r="J630" s="7"/>
      <c r="K630" s="7"/>
      <c r="L630" s="7"/>
      <c r="M630" s="7"/>
      <c r="N630" s="7"/>
      <c r="O630" s="7"/>
      <c r="P630" s="7"/>
      <c r="Q630" s="7"/>
      <c r="R630" s="7"/>
      <c r="S630" s="7"/>
      <c r="T630" s="7"/>
    </row>
    <row r="631" ht="14.25" customHeight="1">
      <c r="A631" s="7"/>
      <c r="B631" s="7"/>
      <c r="C631" s="7"/>
      <c r="D631" s="7"/>
      <c r="E631" s="7"/>
      <c r="F631" s="7"/>
      <c r="G631" s="7"/>
      <c r="H631" s="7"/>
      <c r="I631" s="7"/>
      <c r="J631" s="7"/>
      <c r="K631" s="7"/>
      <c r="L631" s="7"/>
      <c r="M631" s="7"/>
      <c r="N631" s="7"/>
      <c r="O631" s="7"/>
      <c r="P631" s="7"/>
      <c r="Q631" s="7"/>
      <c r="R631" s="7"/>
      <c r="S631" s="7"/>
      <c r="T631" s="7"/>
    </row>
    <row r="632" ht="14.25" customHeight="1">
      <c r="A632" s="7"/>
      <c r="B632" s="7"/>
      <c r="C632" s="7"/>
      <c r="D632" s="7"/>
      <c r="E632" s="7"/>
      <c r="F632" s="7"/>
      <c r="G632" s="7"/>
      <c r="H632" s="7"/>
      <c r="I632" s="7"/>
      <c r="J632" s="7"/>
      <c r="K632" s="7"/>
      <c r="L632" s="7"/>
      <c r="M632" s="7"/>
      <c r="N632" s="7"/>
      <c r="O632" s="7"/>
      <c r="P632" s="7"/>
      <c r="Q632" s="7"/>
      <c r="R632" s="7"/>
      <c r="S632" s="7"/>
      <c r="T632" s="7"/>
    </row>
    <row r="633" ht="14.25" customHeight="1">
      <c r="A633" s="7"/>
      <c r="B633" s="7"/>
      <c r="C633" s="7"/>
      <c r="D633" s="7"/>
      <c r="E633" s="7"/>
      <c r="F633" s="7"/>
      <c r="G633" s="7"/>
      <c r="H633" s="7"/>
      <c r="I633" s="7"/>
      <c r="J633" s="7"/>
      <c r="K633" s="7"/>
      <c r="L633" s="7"/>
      <c r="M633" s="7"/>
      <c r="N633" s="7"/>
      <c r="O633" s="7"/>
      <c r="P633" s="7"/>
      <c r="Q633" s="7"/>
      <c r="R633" s="7"/>
      <c r="S633" s="7"/>
      <c r="T633" s="7"/>
    </row>
    <row r="634" ht="14.25" customHeight="1">
      <c r="A634" s="7"/>
      <c r="B634" s="7"/>
      <c r="C634" s="7"/>
      <c r="D634" s="7"/>
      <c r="E634" s="7"/>
      <c r="F634" s="7"/>
      <c r="G634" s="7"/>
      <c r="H634" s="7"/>
      <c r="I634" s="7"/>
      <c r="J634" s="7"/>
      <c r="K634" s="7"/>
      <c r="L634" s="7"/>
      <c r="M634" s="7"/>
      <c r="N634" s="7"/>
      <c r="O634" s="7"/>
      <c r="P634" s="7"/>
      <c r="Q634" s="7"/>
      <c r="R634" s="7"/>
      <c r="S634" s="7"/>
      <c r="T634" s="7"/>
    </row>
    <row r="635" ht="14.25" customHeight="1">
      <c r="A635" s="7"/>
      <c r="B635" s="7"/>
      <c r="C635" s="7"/>
      <c r="D635" s="7"/>
      <c r="E635" s="7"/>
      <c r="F635" s="7"/>
      <c r="G635" s="7"/>
      <c r="H635" s="7"/>
      <c r="I635" s="7"/>
      <c r="J635" s="7"/>
      <c r="K635" s="7"/>
      <c r="L635" s="7"/>
      <c r="M635" s="7"/>
      <c r="N635" s="7"/>
      <c r="O635" s="7"/>
      <c r="P635" s="7"/>
      <c r="Q635" s="7"/>
      <c r="R635" s="7"/>
      <c r="S635" s="7"/>
      <c r="T635" s="7"/>
    </row>
    <row r="636" ht="14.25" customHeight="1">
      <c r="A636" s="7"/>
      <c r="B636" s="7"/>
      <c r="C636" s="7"/>
      <c r="D636" s="7"/>
      <c r="E636" s="7"/>
      <c r="F636" s="7"/>
      <c r="G636" s="7"/>
      <c r="H636" s="7"/>
      <c r="I636" s="7"/>
      <c r="J636" s="7"/>
      <c r="K636" s="7"/>
      <c r="L636" s="7"/>
      <c r="M636" s="7"/>
      <c r="N636" s="7"/>
      <c r="O636" s="7"/>
      <c r="P636" s="7"/>
      <c r="Q636" s="7"/>
      <c r="R636" s="7"/>
      <c r="S636" s="7"/>
      <c r="T636" s="7"/>
    </row>
    <row r="637" ht="14.25" customHeight="1">
      <c r="A637" s="7"/>
      <c r="B637" s="7"/>
      <c r="C637" s="7"/>
      <c r="D637" s="7"/>
      <c r="E637" s="7"/>
      <c r="F637" s="7"/>
      <c r="G637" s="7"/>
      <c r="H637" s="7"/>
      <c r="I637" s="7"/>
      <c r="J637" s="7"/>
      <c r="K637" s="7"/>
      <c r="L637" s="7"/>
      <c r="M637" s="7"/>
      <c r="N637" s="7"/>
      <c r="O637" s="7"/>
      <c r="P637" s="7"/>
      <c r="Q637" s="7"/>
      <c r="R637" s="7"/>
      <c r="S637" s="7"/>
      <c r="T637" s="7"/>
    </row>
    <row r="638" ht="14.25" customHeight="1">
      <c r="A638" s="7"/>
      <c r="B638" s="7"/>
      <c r="C638" s="7"/>
      <c r="D638" s="7"/>
      <c r="E638" s="7"/>
      <c r="F638" s="7"/>
      <c r="G638" s="7"/>
      <c r="H638" s="7"/>
      <c r="I638" s="7"/>
      <c r="J638" s="7"/>
      <c r="K638" s="7"/>
      <c r="L638" s="7"/>
      <c r="M638" s="7"/>
      <c r="N638" s="7"/>
      <c r="O638" s="7"/>
      <c r="P638" s="7"/>
      <c r="Q638" s="7"/>
      <c r="R638" s="7"/>
      <c r="S638" s="7"/>
      <c r="T638" s="7"/>
    </row>
    <row r="639" ht="14.25" customHeight="1">
      <c r="A639" s="7"/>
      <c r="B639" s="7"/>
      <c r="C639" s="7"/>
      <c r="D639" s="7"/>
      <c r="E639" s="7"/>
      <c r="F639" s="7"/>
      <c r="G639" s="7"/>
      <c r="H639" s="7"/>
      <c r="I639" s="7"/>
      <c r="J639" s="7"/>
      <c r="K639" s="7"/>
      <c r="L639" s="7"/>
      <c r="M639" s="7"/>
      <c r="N639" s="7"/>
      <c r="O639" s="7"/>
      <c r="P639" s="7"/>
      <c r="Q639" s="7"/>
      <c r="R639" s="7"/>
      <c r="S639" s="7"/>
      <c r="T639" s="7"/>
    </row>
    <row r="640" ht="14.25" customHeight="1">
      <c r="A640" s="7"/>
      <c r="B640" s="7"/>
      <c r="C640" s="7"/>
      <c r="D640" s="7"/>
      <c r="E640" s="7"/>
      <c r="F640" s="7"/>
      <c r="G640" s="7"/>
      <c r="H640" s="7"/>
      <c r="I640" s="7"/>
      <c r="J640" s="7"/>
      <c r="K640" s="7"/>
      <c r="L640" s="7"/>
      <c r="M640" s="7"/>
      <c r="N640" s="7"/>
      <c r="O640" s="7"/>
      <c r="P640" s="7"/>
      <c r="Q640" s="7"/>
      <c r="R640" s="7"/>
      <c r="S640" s="7"/>
      <c r="T640" s="7"/>
    </row>
    <row r="641" ht="14.25" customHeight="1">
      <c r="A641" s="7"/>
      <c r="B641" s="7"/>
      <c r="C641" s="7"/>
      <c r="D641" s="7"/>
      <c r="E641" s="7"/>
      <c r="F641" s="7"/>
      <c r="G641" s="7"/>
      <c r="H641" s="7"/>
      <c r="I641" s="7"/>
      <c r="J641" s="7"/>
      <c r="K641" s="7"/>
      <c r="L641" s="7"/>
      <c r="M641" s="7"/>
      <c r="N641" s="7"/>
      <c r="O641" s="7"/>
      <c r="P641" s="7"/>
      <c r="Q641" s="7"/>
      <c r="R641" s="7"/>
      <c r="S641" s="7"/>
      <c r="T641" s="7"/>
    </row>
    <row r="642" ht="14.25" customHeight="1">
      <c r="A642" s="7"/>
      <c r="B642" s="7"/>
      <c r="C642" s="7"/>
      <c r="D642" s="7"/>
      <c r="E642" s="7"/>
      <c r="F642" s="7"/>
      <c r="G642" s="7"/>
      <c r="H642" s="7"/>
      <c r="I642" s="7"/>
      <c r="J642" s="7"/>
      <c r="K642" s="7"/>
      <c r="L642" s="7"/>
      <c r="M642" s="7"/>
      <c r="N642" s="7"/>
      <c r="O642" s="7"/>
      <c r="P642" s="7"/>
      <c r="Q642" s="7"/>
      <c r="R642" s="7"/>
      <c r="S642" s="7"/>
      <c r="T642" s="7"/>
    </row>
    <row r="643" ht="14.25" customHeight="1">
      <c r="A643" s="7"/>
      <c r="B643" s="7"/>
      <c r="C643" s="7"/>
      <c r="D643" s="7"/>
      <c r="E643" s="7"/>
      <c r="F643" s="7"/>
      <c r="G643" s="7"/>
      <c r="H643" s="7"/>
      <c r="I643" s="7"/>
      <c r="J643" s="7"/>
      <c r="K643" s="7"/>
      <c r="L643" s="7"/>
      <c r="M643" s="7"/>
      <c r="N643" s="7"/>
      <c r="O643" s="7"/>
      <c r="P643" s="7"/>
      <c r="Q643" s="7"/>
      <c r="R643" s="7"/>
      <c r="S643" s="7"/>
      <c r="T643" s="7"/>
    </row>
    <row r="644" ht="14.25" customHeight="1">
      <c r="A644" s="7"/>
      <c r="B644" s="7"/>
      <c r="C644" s="7"/>
      <c r="D644" s="7"/>
      <c r="E644" s="7"/>
      <c r="F644" s="7"/>
      <c r="G644" s="7"/>
      <c r="H644" s="7"/>
      <c r="I644" s="7"/>
      <c r="J644" s="7"/>
      <c r="K644" s="7"/>
      <c r="L644" s="7"/>
      <c r="M644" s="7"/>
      <c r="N644" s="7"/>
      <c r="O644" s="7"/>
      <c r="P644" s="7"/>
      <c r="Q644" s="7"/>
      <c r="R644" s="7"/>
      <c r="S644" s="7"/>
      <c r="T644" s="7"/>
    </row>
    <row r="645" ht="14.25" customHeight="1">
      <c r="A645" s="7"/>
      <c r="B645" s="7"/>
      <c r="C645" s="7"/>
      <c r="D645" s="7"/>
      <c r="E645" s="7"/>
      <c r="F645" s="7"/>
      <c r="G645" s="7"/>
      <c r="H645" s="7"/>
      <c r="I645" s="7"/>
      <c r="J645" s="7"/>
      <c r="K645" s="7"/>
      <c r="L645" s="7"/>
      <c r="M645" s="7"/>
      <c r="N645" s="7"/>
      <c r="O645" s="7"/>
      <c r="P645" s="7"/>
      <c r="Q645" s="7"/>
      <c r="R645" s="7"/>
      <c r="S645" s="7"/>
      <c r="T645" s="7"/>
    </row>
    <row r="646" ht="14.25" customHeight="1">
      <c r="A646" s="7"/>
      <c r="B646" s="7"/>
      <c r="C646" s="7"/>
      <c r="D646" s="7"/>
      <c r="E646" s="7"/>
      <c r="F646" s="7"/>
      <c r="G646" s="7"/>
      <c r="H646" s="7"/>
      <c r="I646" s="7"/>
      <c r="J646" s="7"/>
      <c r="K646" s="7"/>
      <c r="L646" s="7"/>
      <c r="M646" s="7"/>
      <c r="N646" s="7"/>
      <c r="O646" s="7"/>
      <c r="P646" s="7"/>
      <c r="Q646" s="7"/>
      <c r="R646" s="7"/>
      <c r="S646" s="7"/>
      <c r="T646" s="7"/>
    </row>
    <row r="647" ht="14.25" customHeight="1">
      <c r="A647" s="7"/>
      <c r="B647" s="7"/>
      <c r="C647" s="7"/>
      <c r="D647" s="7"/>
      <c r="E647" s="7"/>
      <c r="F647" s="7"/>
      <c r="G647" s="7"/>
      <c r="H647" s="7"/>
      <c r="I647" s="7"/>
      <c r="J647" s="7"/>
      <c r="K647" s="7"/>
      <c r="L647" s="7"/>
      <c r="M647" s="7"/>
      <c r="N647" s="7"/>
      <c r="O647" s="7"/>
      <c r="P647" s="7"/>
      <c r="Q647" s="7"/>
      <c r="R647" s="7"/>
      <c r="S647" s="7"/>
      <c r="T647" s="7"/>
    </row>
    <row r="648" ht="14.25" customHeight="1">
      <c r="A648" s="7"/>
      <c r="B648" s="7"/>
      <c r="C648" s="7"/>
      <c r="D648" s="7"/>
      <c r="E648" s="7"/>
      <c r="F648" s="7"/>
      <c r="G648" s="7"/>
      <c r="H648" s="7"/>
      <c r="I648" s="7"/>
      <c r="J648" s="7"/>
      <c r="K648" s="7"/>
      <c r="L648" s="7"/>
      <c r="M648" s="7"/>
      <c r="N648" s="7"/>
      <c r="O648" s="7"/>
      <c r="P648" s="7"/>
      <c r="Q648" s="7"/>
      <c r="R648" s="7"/>
      <c r="S648" s="7"/>
      <c r="T648" s="7"/>
    </row>
    <row r="649" ht="14.25" customHeight="1">
      <c r="A649" s="7"/>
      <c r="B649" s="7"/>
      <c r="C649" s="7"/>
      <c r="D649" s="7"/>
      <c r="E649" s="7"/>
      <c r="F649" s="7"/>
      <c r="G649" s="7"/>
      <c r="H649" s="7"/>
      <c r="I649" s="7"/>
      <c r="J649" s="7"/>
      <c r="K649" s="7"/>
      <c r="L649" s="7"/>
      <c r="M649" s="7"/>
      <c r="N649" s="7"/>
      <c r="O649" s="7"/>
      <c r="P649" s="7"/>
      <c r="Q649" s="7"/>
      <c r="R649" s="7"/>
      <c r="S649" s="7"/>
      <c r="T649" s="7"/>
    </row>
    <row r="650" ht="14.25" customHeight="1">
      <c r="A650" s="7"/>
      <c r="B650" s="7"/>
      <c r="C650" s="7"/>
      <c r="D650" s="7"/>
      <c r="E650" s="7"/>
      <c r="F650" s="7"/>
      <c r="G650" s="7"/>
      <c r="H650" s="7"/>
      <c r="I650" s="7"/>
      <c r="J650" s="7"/>
      <c r="K650" s="7"/>
      <c r="L650" s="7"/>
      <c r="M650" s="7"/>
      <c r="N650" s="7"/>
      <c r="O650" s="7"/>
      <c r="P650" s="7"/>
      <c r="Q650" s="7"/>
      <c r="R650" s="7"/>
      <c r="S650" s="7"/>
      <c r="T650" s="7"/>
    </row>
    <row r="651" ht="14.25" customHeight="1">
      <c r="A651" s="7"/>
      <c r="B651" s="7"/>
      <c r="C651" s="7"/>
      <c r="D651" s="7"/>
      <c r="E651" s="7"/>
      <c r="F651" s="7"/>
      <c r="G651" s="7"/>
      <c r="H651" s="7"/>
      <c r="I651" s="7"/>
      <c r="J651" s="7"/>
      <c r="K651" s="7"/>
      <c r="L651" s="7"/>
      <c r="M651" s="7"/>
      <c r="N651" s="7"/>
      <c r="O651" s="7"/>
      <c r="P651" s="7"/>
      <c r="Q651" s="7"/>
      <c r="R651" s="7"/>
      <c r="S651" s="7"/>
      <c r="T651" s="7"/>
    </row>
    <row r="652" ht="14.25" customHeight="1">
      <c r="A652" s="7"/>
      <c r="B652" s="7"/>
      <c r="C652" s="7"/>
      <c r="D652" s="7"/>
      <c r="E652" s="7"/>
      <c r="F652" s="7"/>
      <c r="G652" s="7"/>
      <c r="H652" s="7"/>
      <c r="I652" s="7"/>
      <c r="J652" s="7"/>
      <c r="K652" s="7"/>
      <c r="L652" s="7"/>
      <c r="M652" s="7"/>
      <c r="N652" s="7"/>
      <c r="O652" s="7"/>
      <c r="P652" s="7"/>
      <c r="Q652" s="7"/>
      <c r="R652" s="7"/>
      <c r="S652" s="7"/>
      <c r="T652" s="7"/>
    </row>
    <row r="653" ht="14.25" customHeight="1">
      <c r="A653" s="7"/>
      <c r="B653" s="7"/>
      <c r="C653" s="7"/>
      <c r="D653" s="7"/>
      <c r="E653" s="7"/>
      <c r="F653" s="7"/>
      <c r="G653" s="7"/>
      <c r="H653" s="7"/>
      <c r="I653" s="7"/>
      <c r="J653" s="7"/>
      <c r="K653" s="7"/>
      <c r="L653" s="7"/>
      <c r="M653" s="7"/>
      <c r="N653" s="7"/>
      <c r="O653" s="7"/>
      <c r="P653" s="7"/>
      <c r="Q653" s="7"/>
      <c r="R653" s="7"/>
      <c r="S653" s="7"/>
      <c r="T653" s="7"/>
    </row>
    <row r="654" ht="14.25" customHeight="1">
      <c r="A654" s="7"/>
      <c r="B654" s="7"/>
      <c r="C654" s="7"/>
      <c r="D654" s="7"/>
      <c r="E654" s="7"/>
      <c r="F654" s="7"/>
      <c r="G654" s="7"/>
      <c r="H654" s="7"/>
      <c r="I654" s="7"/>
      <c r="J654" s="7"/>
      <c r="K654" s="7"/>
      <c r="L654" s="7"/>
      <c r="M654" s="7"/>
      <c r="N654" s="7"/>
      <c r="O654" s="7"/>
      <c r="P654" s="7"/>
      <c r="Q654" s="7"/>
      <c r="R654" s="7"/>
      <c r="S654" s="7"/>
      <c r="T654" s="7"/>
    </row>
    <row r="655" ht="14.25" customHeight="1">
      <c r="A655" s="7"/>
      <c r="B655" s="7"/>
      <c r="C655" s="7"/>
      <c r="D655" s="7"/>
      <c r="E655" s="7"/>
      <c r="F655" s="7"/>
      <c r="G655" s="7"/>
      <c r="H655" s="7"/>
      <c r="I655" s="7"/>
      <c r="J655" s="7"/>
      <c r="K655" s="7"/>
      <c r="L655" s="7"/>
      <c r="M655" s="7"/>
      <c r="N655" s="7"/>
      <c r="O655" s="7"/>
      <c r="P655" s="7"/>
      <c r="Q655" s="7"/>
      <c r="R655" s="7"/>
      <c r="S655" s="7"/>
      <c r="T655" s="7"/>
    </row>
    <row r="656" ht="14.25" customHeight="1">
      <c r="A656" s="7"/>
      <c r="B656" s="7"/>
      <c r="C656" s="7"/>
      <c r="D656" s="7"/>
      <c r="E656" s="7"/>
      <c r="F656" s="7"/>
      <c r="G656" s="7"/>
      <c r="H656" s="7"/>
      <c r="I656" s="7"/>
      <c r="J656" s="7"/>
      <c r="K656" s="7"/>
      <c r="L656" s="7"/>
      <c r="M656" s="7"/>
      <c r="N656" s="7"/>
      <c r="O656" s="7"/>
      <c r="P656" s="7"/>
      <c r="Q656" s="7"/>
      <c r="R656" s="7"/>
      <c r="S656" s="7"/>
      <c r="T656" s="7"/>
    </row>
    <row r="657" ht="14.25" customHeight="1">
      <c r="A657" s="7"/>
      <c r="B657" s="7"/>
      <c r="C657" s="7"/>
      <c r="D657" s="7"/>
      <c r="E657" s="7"/>
      <c r="F657" s="7"/>
      <c r="G657" s="7"/>
      <c r="H657" s="7"/>
      <c r="I657" s="7"/>
      <c r="J657" s="7"/>
      <c r="K657" s="7"/>
      <c r="L657" s="7"/>
      <c r="M657" s="7"/>
      <c r="N657" s="7"/>
      <c r="O657" s="7"/>
      <c r="P657" s="7"/>
      <c r="Q657" s="7"/>
      <c r="R657" s="7"/>
      <c r="S657" s="7"/>
      <c r="T657" s="7"/>
    </row>
    <row r="658" ht="14.25" customHeight="1">
      <c r="A658" s="7"/>
      <c r="B658" s="7"/>
      <c r="C658" s="7"/>
      <c r="D658" s="7"/>
      <c r="E658" s="7"/>
      <c r="F658" s="7"/>
      <c r="G658" s="7"/>
      <c r="H658" s="7"/>
      <c r="I658" s="7"/>
      <c r="J658" s="7"/>
      <c r="K658" s="7"/>
      <c r="L658" s="7"/>
      <c r="M658" s="7"/>
      <c r="N658" s="7"/>
      <c r="O658" s="7"/>
      <c r="P658" s="7"/>
      <c r="Q658" s="7"/>
      <c r="R658" s="7"/>
      <c r="S658" s="7"/>
      <c r="T658" s="7"/>
    </row>
    <row r="659" ht="14.25" customHeight="1">
      <c r="A659" s="7"/>
      <c r="B659" s="7"/>
      <c r="C659" s="7"/>
      <c r="D659" s="7"/>
      <c r="E659" s="7"/>
      <c r="F659" s="7"/>
      <c r="G659" s="7"/>
      <c r="H659" s="7"/>
      <c r="I659" s="7"/>
      <c r="J659" s="7"/>
      <c r="K659" s="7"/>
      <c r="L659" s="7"/>
      <c r="M659" s="7"/>
      <c r="N659" s="7"/>
      <c r="O659" s="7"/>
      <c r="P659" s="7"/>
      <c r="Q659" s="7"/>
      <c r="R659" s="7"/>
      <c r="S659" s="7"/>
      <c r="T659" s="7"/>
    </row>
    <row r="660" ht="14.25" customHeight="1">
      <c r="A660" s="7"/>
      <c r="B660" s="7"/>
      <c r="C660" s="7"/>
      <c r="D660" s="7"/>
      <c r="E660" s="7"/>
      <c r="F660" s="7"/>
      <c r="G660" s="7"/>
      <c r="H660" s="7"/>
      <c r="I660" s="7"/>
      <c r="J660" s="7"/>
      <c r="K660" s="7"/>
      <c r="L660" s="7"/>
      <c r="M660" s="7"/>
      <c r="N660" s="7"/>
      <c r="O660" s="7"/>
      <c r="P660" s="7"/>
      <c r="Q660" s="7"/>
      <c r="R660" s="7"/>
      <c r="S660" s="7"/>
      <c r="T660" s="7"/>
    </row>
    <row r="661" ht="14.25" customHeight="1">
      <c r="A661" s="7"/>
      <c r="B661" s="7"/>
      <c r="C661" s="7"/>
      <c r="D661" s="7"/>
      <c r="E661" s="7"/>
      <c r="F661" s="7"/>
      <c r="G661" s="7"/>
      <c r="H661" s="7"/>
      <c r="I661" s="7"/>
      <c r="J661" s="7"/>
      <c r="K661" s="7"/>
      <c r="L661" s="7"/>
      <c r="M661" s="7"/>
      <c r="N661" s="7"/>
      <c r="O661" s="7"/>
      <c r="P661" s="7"/>
      <c r="Q661" s="7"/>
      <c r="R661" s="7"/>
      <c r="S661" s="7"/>
      <c r="T661" s="7"/>
    </row>
    <row r="662" ht="14.25" customHeight="1">
      <c r="A662" s="7"/>
      <c r="B662" s="7"/>
      <c r="C662" s="7"/>
      <c r="D662" s="7"/>
      <c r="E662" s="7"/>
      <c r="F662" s="7"/>
      <c r="G662" s="7"/>
      <c r="H662" s="7"/>
      <c r="I662" s="7"/>
      <c r="J662" s="7"/>
      <c r="K662" s="7"/>
      <c r="L662" s="7"/>
      <c r="M662" s="7"/>
      <c r="N662" s="7"/>
      <c r="O662" s="7"/>
      <c r="P662" s="7"/>
      <c r="Q662" s="7"/>
      <c r="R662" s="7"/>
      <c r="S662" s="7"/>
      <c r="T662" s="7"/>
    </row>
    <row r="663" ht="14.25" customHeight="1">
      <c r="A663" s="7"/>
      <c r="B663" s="7"/>
      <c r="C663" s="7"/>
      <c r="D663" s="7"/>
      <c r="E663" s="7"/>
      <c r="F663" s="7"/>
      <c r="G663" s="7"/>
      <c r="H663" s="7"/>
      <c r="I663" s="7"/>
      <c r="J663" s="7"/>
      <c r="K663" s="7"/>
      <c r="L663" s="7"/>
      <c r="M663" s="7"/>
      <c r="N663" s="7"/>
      <c r="O663" s="7"/>
      <c r="P663" s="7"/>
      <c r="Q663" s="7"/>
      <c r="R663" s="7"/>
      <c r="S663" s="7"/>
      <c r="T663" s="7"/>
    </row>
    <row r="664" ht="14.25" customHeight="1">
      <c r="A664" s="7"/>
      <c r="B664" s="7"/>
      <c r="C664" s="7"/>
      <c r="D664" s="7"/>
      <c r="E664" s="7"/>
      <c r="F664" s="7"/>
      <c r="G664" s="7"/>
      <c r="H664" s="7"/>
      <c r="I664" s="7"/>
      <c r="J664" s="7"/>
      <c r="K664" s="7"/>
      <c r="L664" s="7"/>
      <c r="M664" s="7"/>
      <c r="N664" s="7"/>
      <c r="O664" s="7"/>
      <c r="P664" s="7"/>
      <c r="Q664" s="7"/>
      <c r="R664" s="7"/>
      <c r="S664" s="7"/>
      <c r="T664" s="7"/>
    </row>
    <row r="665" ht="14.25" customHeight="1">
      <c r="A665" s="7"/>
      <c r="B665" s="7"/>
      <c r="C665" s="7"/>
      <c r="D665" s="7"/>
      <c r="E665" s="7"/>
      <c r="F665" s="7"/>
      <c r="G665" s="7"/>
      <c r="H665" s="7"/>
      <c r="I665" s="7"/>
      <c r="J665" s="7"/>
      <c r="K665" s="7"/>
      <c r="L665" s="7"/>
      <c r="M665" s="7"/>
      <c r="N665" s="7"/>
      <c r="O665" s="7"/>
      <c r="P665" s="7"/>
      <c r="Q665" s="7"/>
      <c r="R665" s="7"/>
      <c r="S665" s="7"/>
      <c r="T665" s="7"/>
    </row>
    <row r="666" ht="14.25" customHeight="1">
      <c r="A666" s="7"/>
      <c r="B666" s="7"/>
      <c r="C666" s="7"/>
      <c r="D666" s="7"/>
      <c r="E666" s="7"/>
      <c r="F666" s="7"/>
      <c r="G666" s="7"/>
      <c r="H666" s="7"/>
      <c r="I666" s="7"/>
      <c r="J666" s="7"/>
      <c r="K666" s="7"/>
      <c r="L666" s="7"/>
      <c r="M666" s="7"/>
      <c r="N666" s="7"/>
      <c r="O666" s="7"/>
      <c r="P666" s="7"/>
      <c r="Q666" s="7"/>
      <c r="R666" s="7"/>
      <c r="S666" s="7"/>
      <c r="T666" s="7"/>
    </row>
    <row r="667" ht="14.25" customHeight="1">
      <c r="A667" s="7"/>
      <c r="B667" s="7"/>
      <c r="C667" s="7"/>
      <c r="D667" s="7"/>
      <c r="E667" s="7"/>
      <c r="F667" s="7"/>
      <c r="G667" s="7"/>
      <c r="H667" s="7"/>
      <c r="I667" s="7"/>
      <c r="J667" s="7"/>
      <c r="K667" s="7"/>
      <c r="L667" s="7"/>
      <c r="M667" s="7"/>
      <c r="N667" s="7"/>
      <c r="O667" s="7"/>
      <c r="P667" s="7"/>
      <c r="Q667" s="7"/>
      <c r="R667" s="7"/>
      <c r="S667" s="7"/>
      <c r="T667" s="7"/>
    </row>
    <row r="668" ht="14.25" customHeight="1">
      <c r="A668" s="7"/>
      <c r="B668" s="7"/>
      <c r="C668" s="7"/>
      <c r="D668" s="7"/>
      <c r="E668" s="7"/>
      <c r="F668" s="7"/>
      <c r="G668" s="7"/>
      <c r="H668" s="7"/>
      <c r="I668" s="7"/>
      <c r="J668" s="7"/>
      <c r="K668" s="7"/>
      <c r="L668" s="7"/>
      <c r="M668" s="7"/>
      <c r="N668" s="7"/>
      <c r="O668" s="7"/>
      <c r="P668" s="7"/>
      <c r="Q668" s="7"/>
      <c r="R668" s="7"/>
      <c r="S668" s="7"/>
      <c r="T668" s="7"/>
    </row>
    <row r="669" ht="14.25" customHeight="1">
      <c r="A669" s="7"/>
      <c r="B669" s="7"/>
      <c r="C669" s="7"/>
      <c r="D669" s="7"/>
      <c r="E669" s="7"/>
      <c r="F669" s="7"/>
      <c r="G669" s="7"/>
      <c r="H669" s="7"/>
      <c r="I669" s="7"/>
      <c r="J669" s="7"/>
      <c r="K669" s="7"/>
      <c r="L669" s="7"/>
      <c r="M669" s="7"/>
      <c r="N669" s="7"/>
      <c r="O669" s="7"/>
      <c r="P669" s="7"/>
      <c r="Q669" s="7"/>
      <c r="R669" s="7"/>
      <c r="S669" s="7"/>
      <c r="T669" s="7"/>
    </row>
    <row r="670" ht="14.25" customHeight="1">
      <c r="A670" s="7"/>
      <c r="B670" s="7"/>
      <c r="C670" s="7"/>
      <c r="D670" s="7"/>
      <c r="E670" s="7"/>
      <c r="F670" s="7"/>
      <c r="G670" s="7"/>
      <c r="H670" s="7"/>
      <c r="I670" s="7"/>
      <c r="J670" s="7"/>
      <c r="K670" s="7"/>
      <c r="L670" s="7"/>
      <c r="M670" s="7"/>
      <c r="N670" s="7"/>
      <c r="O670" s="7"/>
      <c r="P670" s="7"/>
      <c r="Q670" s="7"/>
      <c r="R670" s="7"/>
      <c r="S670" s="7"/>
      <c r="T670" s="7"/>
    </row>
    <row r="671" ht="14.25" customHeight="1">
      <c r="A671" s="7"/>
      <c r="B671" s="7"/>
      <c r="C671" s="7"/>
      <c r="D671" s="7"/>
      <c r="E671" s="7"/>
      <c r="F671" s="7"/>
      <c r="G671" s="7"/>
      <c r="H671" s="7"/>
      <c r="I671" s="7"/>
      <c r="J671" s="7"/>
      <c r="K671" s="7"/>
      <c r="L671" s="7"/>
      <c r="M671" s="7"/>
      <c r="N671" s="7"/>
      <c r="O671" s="7"/>
      <c r="P671" s="7"/>
      <c r="Q671" s="7"/>
      <c r="R671" s="7"/>
      <c r="S671" s="7"/>
      <c r="T671" s="7"/>
    </row>
    <row r="672" ht="14.25" customHeight="1">
      <c r="A672" s="7"/>
      <c r="B672" s="7"/>
      <c r="C672" s="7"/>
      <c r="D672" s="7"/>
      <c r="E672" s="7"/>
      <c r="F672" s="7"/>
      <c r="G672" s="7"/>
      <c r="H672" s="7"/>
      <c r="I672" s="7"/>
      <c r="J672" s="7"/>
      <c r="K672" s="7"/>
      <c r="L672" s="7"/>
      <c r="M672" s="7"/>
      <c r="N672" s="7"/>
      <c r="O672" s="7"/>
      <c r="P672" s="7"/>
      <c r="Q672" s="7"/>
      <c r="R672" s="7"/>
      <c r="S672" s="7"/>
      <c r="T672" s="7"/>
    </row>
    <row r="673" ht="14.25" customHeight="1">
      <c r="A673" s="7"/>
      <c r="B673" s="7"/>
      <c r="C673" s="7"/>
      <c r="D673" s="7"/>
      <c r="E673" s="7"/>
      <c r="F673" s="7"/>
      <c r="G673" s="7"/>
      <c r="H673" s="7"/>
      <c r="I673" s="7"/>
      <c r="J673" s="7"/>
      <c r="K673" s="7"/>
      <c r="L673" s="7"/>
      <c r="M673" s="7"/>
      <c r="N673" s="7"/>
      <c r="O673" s="7"/>
      <c r="P673" s="7"/>
      <c r="Q673" s="7"/>
      <c r="R673" s="7"/>
      <c r="S673" s="7"/>
      <c r="T673" s="7"/>
    </row>
    <row r="674" ht="14.25" customHeight="1">
      <c r="A674" s="7"/>
      <c r="B674" s="7"/>
      <c r="C674" s="7"/>
      <c r="D674" s="7"/>
      <c r="E674" s="7"/>
      <c r="F674" s="7"/>
      <c r="G674" s="7"/>
      <c r="H674" s="7"/>
      <c r="I674" s="7"/>
      <c r="J674" s="7"/>
      <c r="K674" s="7"/>
      <c r="L674" s="7"/>
      <c r="M674" s="7"/>
      <c r="N674" s="7"/>
      <c r="O674" s="7"/>
      <c r="P674" s="7"/>
      <c r="Q674" s="7"/>
      <c r="R674" s="7"/>
      <c r="S674" s="7"/>
      <c r="T674" s="7"/>
    </row>
    <row r="675" ht="14.25" customHeight="1">
      <c r="A675" s="7"/>
      <c r="B675" s="7"/>
      <c r="C675" s="7"/>
      <c r="D675" s="7"/>
      <c r="E675" s="7"/>
      <c r="F675" s="7"/>
      <c r="G675" s="7"/>
      <c r="H675" s="7"/>
      <c r="I675" s="7"/>
      <c r="J675" s="7"/>
      <c r="K675" s="7"/>
      <c r="L675" s="7"/>
      <c r="M675" s="7"/>
      <c r="N675" s="7"/>
      <c r="O675" s="7"/>
      <c r="P675" s="7"/>
      <c r="Q675" s="7"/>
      <c r="R675" s="7"/>
      <c r="S675" s="7"/>
      <c r="T675" s="7"/>
    </row>
    <row r="676" ht="14.25" customHeight="1">
      <c r="A676" s="7"/>
      <c r="B676" s="7"/>
      <c r="C676" s="7"/>
      <c r="D676" s="7"/>
      <c r="E676" s="7"/>
      <c r="F676" s="7"/>
      <c r="G676" s="7"/>
      <c r="H676" s="7"/>
      <c r="I676" s="7"/>
      <c r="J676" s="7"/>
      <c r="K676" s="7"/>
      <c r="L676" s="7"/>
      <c r="M676" s="7"/>
      <c r="N676" s="7"/>
      <c r="O676" s="7"/>
      <c r="P676" s="7"/>
      <c r="Q676" s="7"/>
      <c r="R676" s="7"/>
      <c r="S676" s="7"/>
      <c r="T676" s="7"/>
    </row>
    <row r="677" ht="14.25" customHeight="1">
      <c r="A677" s="7"/>
      <c r="B677" s="7"/>
      <c r="C677" s="7"/>
      <c r="D677" s="7"/>
      <c r="E677" s="7"/>
      <c r="F677" s="7"/>
      <c r="G677" s="7"/>
      <c r="H677" s="7"/>
      <c r="I677" s="7"/>
      <c r="J677" s="7"/>
      <c r="K677" s="7"/>
      <c r="L677" s="7"/>
      <c r="M677" s="7"/>
      <c r="N677" s="7"/>
      <c r="O677" s="7"/>
      <c r="P677" s="7"/>
      <c r="Q677" s="7"/>
      <c r="R677" s="7"/>
      <c r="S677" s="7"/>
      <c r="T677" s="7"/>
    </row>
    <row r="678" ht="14.25" customHeight="1">
      <c r="A678" s="7"/>
      <c r="B678" s="7"/>
      <c r="C678" s="7"/>
      <c r="D678" s="7"/>
      <c r="E678" s="7"/>
      <c r="F678" s="7"/>
      <c r="G678" s="7"/>
      <c r="H678" s="7"/>
      <c r="I678" s="7"/>
      <c r="J678" s="7"/>
      <c r="K678" s="7"/>
      <c r="L678" s="7"/>
      <c r="M678" s="7"/>
      <c r="N678" s="7"/>
      <c r="O678" s="7"/>
      <c r="P678" s="7"/>
      <c r="Q678" s="7"/>
      <c r="R678" s="7"/>
      <c r="S678" s="7"/>
      <c r="T678" s="7"/>
    </row>
    <row r="679" ht="14.25" customHeight="1">
      <c r="A679" s="7"/>
      <c r="B679" s="7"/>
      <c r="C679" s="7"/>
      <c r="D679" s="7"/>
      <c r="E679" s="7"/>
      <c r="F679" s="7"/>
      <c r="G679" s="7"/>
      <c r="H679" s="7"/>
      <c r="I679" s="7"/>
      <c r="J679" s="7"/>
      <c r="K679" s="7"/>
      <c r="L679" s="7"/>
      <c r="M679" s="7"/>
      <c r="N679" s="7"/>
      <c r="O679" s="7"/>
      <c r="P679" s="7"/>
      <c r="Q679" s="7"/>
      <c r="R679" s="7"/>
      <c r="S679" s="7"/>
      <c r="T679" s="7"/>
    </row>
    <row r="680" ht="14.25" customHeight="1">
      <c r="A680" s="7"/>
      <c r="B680" s="7"/>
      <c r="C680" s="7"/>
      <c r="D680" s="7"/>
      <c r="E680" s="7"/>
      <c r="F680" s="7"/>
      <c r="G680" s="7"/>
      <c r="H680" s="7"/>
      <c r="I680" s="7"/>
      <c r="J680" s="7"/>
      <c r="K680" s="7"/>
      <c r="L680" s="7"/>
      <c r="M680" s="7"/>
      <c r="N680" s="7"/>
      <c r="O680" s="7"/>
      <c r="P680" s="7"/>
      <c r="Q680" s="7"/>
      <c r="R680" s="7"/>
      <c r="S680" s="7"/>
      <c r="T680" s="7"/>
    </row>
    <row r="681" ht="14.25" customHeight="1">
      <c r="A681" s="7"/>
      <c r="B681" s="7"/>
      <c r="C681" s="7"/>
      <c r="D681" s="7"/>
      <c r="E681" s="7"/>
      <c r="F681" s="7"/>
      <c r="G681" s="7"/>
      <c r="H681" s="7"/>
      <c r="I681" s="7"/>
      <c r="J681" s="7"/>
      <c r="K681" s="7"/>
      <c r="L681" s="7"/>
      <c r="M681" s="7"/>
      <c r="N681" s="7"/>
      <c r="O681" s="7"/>
      <c r="P681" s="7"/>
      <c r="Q681" s="7"/>
      <c r="R681" s="7"/>
      <c r="S681" s="7"/>
      <c r="T681" s="7"/>
    </row>
    <row r="682" ht="14.25" customHeight="1">
      <c r="A682" s="7"/>
      <c r="B682" s="7"/>
      <c r="C682" s="7"/>
      <c r="D682" s="7"/>
      <c r="E682" s="7"/>
      <c r="F682" s="7"/>
      <c r="G682" s="7"/>
      <c r="H682" s="7"/>
      <c r="I682" s="7"/>
      <c r="J682" s="7"/>
      <c r="K682" s="7"/>
      <c r="L682" s="7"/>
      <c r="M682" s="7"/>
      <c r="N682" s="7"/>
      <c r="O682" s="7"/>
      <c r="P682" s="7"/>
      <c r="Q682" s="7"/>
      <c r="R682" s="7"/>
      <c r="S682" s="7"/>
      <c r="T682" s="7"/>
    </row>
    <row r="683" ht="14.25" customHeight="1">
      <c r="A683" s="7"/>
      <c r="B683" s="7"/>
      <c r="C683" s="7"/>
      <c r="D683" s="7"/>
      <c r="E683" s="7"/>
      <c r="F683" s="7"/>
      <c r="G683" s="7"/>
      <c r="H683" s="7"/>
      <c r="I683" s="7"/>
      <c r="J683" s="7"/>
      <c r="K683" s="7"/>
      <c r="L683" s="7"/>
      <c r="M683" s="7"/>
      <c r="N683" s="7"/>
      <c r="O683" s="7"/>
      <c r="P683" s="7"/>
      <c r="Q683" s="7"/>
      <c r="R683" s="7"/>
      <c r="S683" s="7"/>
      <c r="T683" s="7"/>
    </row>
    <row r="684" ht="14.25" customHeight="1">
      <c r="A684" s="7"/>
      <c r="B684" s="7"/>
      <c r="C684" s="7"/>
      <c r="D684" s="7"/>
      <c r="E684" s="7"/>
      <c r="F684" s="7"/>
      <c r="G684" s="7"/>
      <c r="H684" s="7"/>
      <c r="I684" s="7"/>
      <c r="J684" s="7"/>
      <c r="K684" s="7"/>
      <c r="L684" s="7"/>
      <c r="M684" s="7"/>
      <c r="N684" s="7"/>
      <c r="O684" s="7"/>
      <c r="P684" s="7"/>
      <c r="Q684" s="7"/>
      <c r="R684" s="7"/>
      <c r="S684" s="7"/>
      <c r="T684" s="7"/>
    </row>
    <row r="685" ht="14.25" customHeight="1">
      <c r="A685" s="7"/>
      <c r="B685" s="7"/>
      <c r="C685" s="7"/>
      <c r="D685" s="7"/>
      <c r="E685" s="7"/>
      <c r="F685" s="7"/>
      <c r="G685" s="7"/>
      <c r="H685" s="7"/>
      <c r="I685" s="7"/>
      <c r="J685" s="7"/>
      <c r="K685" s="7"/>
      <c r="L685" s="7"/>
      <c r="M685" s="7"/>
      <c r="N685" s="7"/>
      <c r="O685" s="7"/>
      <c r="P685" s="7"/>
      <c r="Q685" s="7"/>
      <c r="R685" s="7"/>
      <c r="S685" s="7"/>
      <c r="T685" s="7"/>
    </row>
    <row r="686" ht="14.25" customHeight="1">
      <c r="A686" s="7"/>
      <c r="B686" s="7"/>
      <c r="C686" s="7"/>
      <c r="D686" s="7"/>
      <c r="E686" s="7"/>
      <c r="F686" s="7"/>
      <c r="G686" s="7"/>
      <c r="H686" s="7"/>
      <c r="I686" s="7"/>
      <c r="J686" s="7"/>
      <c r="K686" s="7"/>
      <c r="L686" s="7"/>
      <c r="M686" s="7"/>
      <c r="N686" s="7"/>
      <c r="O686" s="7"/>
      <c r="P686" s="7"/>
      <c r="Q686" s="7"/>
      <c r="R686" s="7"/>
      <c r="S686" s="7"/>
      <c r="T686" s="7"/>
    </row>
    <row r="687" ht="14.25" customHeight="1">
      <c r="A687" s="7"/>
      <c r="B687" s="7"/>
      <c r="C687" s="7"/>
      <c r="D687" s="7"/>
      <c r="E687" s="7"/>
      <c r="F687" s="7"/>
      <c r="G687" s="7"/>
      <c r="H687" s="7"/>
      <c r="I687" s="7"/>
      <c r="J687" s="7"/>
      <c r="K687" s="7"/>
      <c r="L687" s="7"/>
      <c r="M687" s="7"/>
      <c r="N687" s="7"/>
      <c r="O687" s="7"/>
      <c r="P687" s="7"/>
      <c r="Q687" s="7"/>
      <c r="R687" s="7"/>
      <c r="S687" s="7"/>
      <c r="T687" s="7"/>
    </row>
    <row r="688" ht="14.25" customHeight="1">
      <c r="A688" s="7"/>
      <c r="B688" s="7"/>
      <c r="C688" s="7"/>
      <c r="D688" s="7"/>
      <c r="E688" s="7"/>
      <c r="F688" s="7"/>
      <c r="G688" s="7"/>
      <c r="H688" s="7"/>
      <c r="I688" s="7"/>
      <c r="J688" s="7"/>
      <c r="K688" s="7"/>
      <c r="L688" s="7"/>
      <c r="M688" s="7"/>
      <c r="N688" s="7"/>
      <c r="O688" s="7"/>
      <c r="P688" s="7"/>
      <c r="Q688" s="7"/>
      <c r="R688" s="7"/>
      <c r="S688" s="7"/>
      <c r="T688" s="7"/>
    </row>
    <row r="689" ht="14.25" customHeight="1">
      <c r="A689" s="7"/>
      <c r="B689" s="7"/>
      <c r="C689" s="7"/>
      <c r="D689" s="7"/>
      <c r="E689" s="7"/>
      <c r="F689" s="7"/>
      <c r="G689" s="7"/>
      <c r="H689" s="7"/>
      <c r="I689" s="7"/>
      <c r="J689" s="7"/>
      <c r="K689" s="7"/>
      <c r="L689" s="7"/>
      <c r="M689" s="7"/>
      <c r="N689" s="7"/>
      <c r="O689" s="7"/>
      <c r="P689" s="7"/>
      <c r="Q689" s="7"/>
      <c r="R689" s="7"/>
      <c r="S689" s="7"/>
      <c r="T689" s="7"/>
    </row>
    <row r="690" ht="14.25" customHeight="1">
      <c r="A690" s="7"/>
      <c r="B690" s="7"/>
      <c r="C690" s="7"/>
      <c r="D690" s="7"/>
      <c r="E690" s="7"/>
      <c r="F690" s="7"/>
      <c r="G690" s="7"/>
      <c r="H690" s="7"/>
      <c r="I690" s="7"/>
      <c r="J690" s="7"/>
      <c r="K690" s="7"/>
      <c r="L690" s="7"/>
      <c r="M690" s="7"/>
      <c r="N690" s="7"/>
      <c r="O690" s="7"/>
      <c r="P690" s="7"/>
      <c r="Q690" s="7"/>
      <c r="R690" s="7"/>
      <c r="S690" s="7"/>
      <c r="T690" s="7"/>
    </row>
    <row r="691" ht="14.25" customHeight="1">
      <c r="A691" s="7"/>
      <c r="B691" s="7"/>
      <c r="C691" s="7"/>
      <c r="D691" s="7"/>
      <c r="E691" s="7"/>
      <c r="F691" s="7"/>
      <c r="G691" s="7"/>
      <c r="H691" s="7"/>
      <c r="I691" s="7"/>
      <c r="J691" s="7"/>
      <c r="K691" s="7"/>
      <c r="L691" s="7"/>
      <c r="M691" s="7"/>
      <c r="N691" s="7"/>
      <c r="O691" s="7"/>
      <c r="P691" s="7"/>
      <c r="Q691" s="7"/>
      <c r="R691" s="7"/>
      <c r="S691" s="7"/>
      <c r="T691" s="7"/>
    </row>
    <row r="692" ht="14.25" customHeight="1">
      <c r="A692" s="7"/>
      <c r="B692" s="7"/>
      <c r="C692" s="7"/>
      <c r="D692" s="7"/>
      <c r="E692" s="7"/>
      <c r="F692" s="7"/>
      <c r="G692" s="7"/>
      <c r="H692" s="7"/>
      <c r="I692" s="7"/>
      <c r="J692" s="7"/>
      <c r="K692" s="7"/>
      <c r="L692" s="7"/>
      <c r="M692" s="7"/>
      <c r="N692" s="7"/>
      <c r="O692" s="7"/>
      <c r="P692" s="7"/>
      <c r="Q692" s="7"/>
      <c r="R692" s="7"/>
      <c r="S692" s="7"/>
      <c r="T692" s="7"/>
    </row>
    <row r="693" ht="14.25" customHeight="1">
      <c r="A693" s="7"/>
      <c r="B693" s="7"/>
      <c r="C693" s="7"/>
      <c r="D693" s="7"/>
      <c r="E693" s="7"/>
      <c r="F693" s="7"/>
      <c r="G693" s="7"/>
      <c r="H693" s="7"/>
      <c r="I693" s="7"/>
      <c r="J693" s="7"/>
      <c r="K693" s="7"/>
      <c r="L693" s="7"/>
      <c r="M693" s="7"/>
      <c r="N693" s="7"/>
      <c r="O693" s="7"/>
      <c r="P693" s="7"/>
      <c r="Q693" s="7"/>
      <c r="R693" s="7"/>
      <c r="S693" s="7"/>
      <c r="T693" s="7"/>
    </row>
    <row r="694" ht="14.25" customHeight="1">
      <c r="A694" s="7"/>
      <c r="B694" s="7"/>
      <c r="C694" s="7"/>
      <c r="D694" s="7"/>
      <c r="E694" s="7"/>
      <c r="F694" s="7"/>
      <c r="G694" s="7"/>
      <c r="H694" s="7"/>
      <c r="I694" s="7"/>
      <c r="J694" s="7"/>
      <c r="K694" s="7"/>
      <c r="L694" s="7"/>
      <c r="M694" s="7"/>
      <c r="N694" s="7"/>
      <c r="O694" s="7"/>
      <c r="P694" s="7"/>
      <c r="Q694" s="7"/>
      <c r="R694" s="7"/>
      <c r="S694" s="7"/>
      <c r="T694" s="7"/>
    </row>
    <row r="695" ht="14.25" customHeight="1">
      <c r="A695" s="7"/>
      <c r="B695" s="7"/>
      <c r="C695" s="7"/>
      <c r="D695" s="7"/>
      <c r="E695" s="7"/>
      <c r="F695" s="7"/>
      <c r="G695" s="7"/>
      <c r="H695" s="7"/>
      <c r="I695" s="7"/>
      <c r="J695" s="7"/>
      <c r="K695" s="7"/>
      <c r="L695" s="7"/>
      <c r="M695" s="7"/>
      <c r="N695" s="7"/>
      <c r="O695" s="7"/>
      <c r="P695" s="7"/>
      <c r="Q695" s="7"/>
      <c r="R695" s="7"/>
      <c r="S695" s="7"/>
      <c r="T695" s="7"/>
    </row>
    <row r="696" ht="14.25" customHeight="1">
      <c r="A696" s="7"/>
      <c r="B696" s="7"/>
      <c r="C696" s="7"/>
      <c r="D696" s="7"/>
      <c r="E696" s="7"/>
      <c r="F696" s="7"/>
      <c r="G696" s="7"/>
      <c r="H696" s="7"/>
      <c r="I696" s="7"/>
      <c r="J696" s="7"/>
      <c r="K696" s="7"/>
      <c r="L696" s="7"/>
      <c r="M696" s="7"/>
      <c r="N696" s="7"/>
      <c r="O696" s="7"/>
      <c r="P696" s="7"/>
      <c r="Q696" s="7"/>
      <c r="R696" s="7"/>
      <c r="S696" s="7"/>
      <c r="T696" s="7"/>
    </row>
    <row r="697" ht="14.25" customHeight="1">
      <c r="A697" s="7"/>
      <c r="B697" s="7"/>
      <c r="C697" s="7"/>
      <c r="D697" s="7"/>
      <c r="E697" s="7"/>
      <c r="F697" s="7"/>
      <c r="G697" s="7"/>
      <c r="H697" s="7"/>
      <c r="I697" s="7"/>
      <c r="J697" s="7"/>
      <c r="K697" s="7"/>
      <c r="L697" s="7"/>
      <c r="M697" s="7"/>
      <c r="N697" s="7"/>
      <c r="O697" s="7"/>
      <c r="P697" s="7"/>
      <c r="Q697" s="7"/>
      <c r="R697" s="7"/>
      <c r="S697" s="7"/>
      <c r="T697" s="7"/>
    </row>
    <row r="698" ht="14.25" customHeight="1">
      <c r="A698" s="7"/>
      <c r="B698" s="7"/>
      <c r="C698" s="7"/>
      <c r="D698" s="7"/>
      <c r="E698" s="7"/>
      <c r="F698" s="7"/>
      <c r="G698" s="7"/>
      <c r="H698" s="7"/>
      <c r="I698" s="7"/>
      <c r="J698" s="7"/>
      <c r="K698" s="7"/>
      <c r="L698" s="7"/>
      <c r="M698" s="7"/>
      <c r="N698" s="7"/>
      <c r="O698" s="7"/>
      <c r="P698" s="7"/>
      <c r="Q698" s="7"/>
      <c r="R698" s="7"/>
      <c r="S698" s="7"/>
      <c r="T698" s="7"/>
    </row>
    <row r="699" ht="14.25" customHeight="1">
      <c r="A699" s="7"/>
      <c r="B699" s="7"/>
      <c r="C699" s="7"/>
      <c r="D699" s="7"/>
      <c r="E699" s="7"/>
      <c r="F699" s="7"/>
      <c r="G699" s="7"/>
      <c r="H699" s="7"/>
      <c r="I699" s="7"/>
      <c r="J699" s="7"/>
      <c r="K699" s="7"/>
      <c r="L699" s="7"/>
      <c r="M699" s="7"/>
      <c r="N699" s="7"/>
      <c r="O699" s="7"/>
      <c r="P699" s="7"/>
      <c r="Q699" s="7"/>
      <c r="R699" s="7"/>
      <c r="S699" s="7"/>
      <c r="T699" s="7"/>
    </row>
    <row r="700" ht="14.25" customHeight="1">
      <c r="A700" s="7"/>
      <c r="B700" s="7"/>
      <c r="C700" s="7"/>
      <c r="D700" s="7"/>
      <c r="E700" s="7"/>
      <c r="F700" s="7"/>
      <c r="G700" s="7"/>
      <c r="H700" s="7"/>
      <c r="I700" s="7"/>
      <c r="J700" s="7"/>
      <c r="K700" s="7"/>
      <c r="L700" s="7"/>
      <c r="M700" s="7"/>
      <c r="N700" s="7"/>
      <c r="O700" s="7"/>
      <c r="P700" s="7"/>
      <c r="Q700" s="7"/>
      <c r="R700" s="7"/>
      <c r="S700" s="7"/>
      <c r="T700" s="7"/>
    </row>
    <row r="701" ht="14.25" customHeight="1">
      <c r="A701" s="7"/>
      <c r="B701" s="7"/>
      <c r="C701" s="7"/>
      <c r="D701" s="7"/>
      <c r="E701" s="7"/>
      <c r="F701" s="7"/>
      <c r="G701" s="7"/>
      <c r="H701" s="7"/>
      <c r="I701" s="7"/>
      <c r="J701" s="7"/>
      <c r="K701" s="7"/>
      <c r="L701" s="7"/>
      <c r="M701" s="7"/>
      <c r="N701" s="7"/>
      <c r="O701" s="7"/>
      <c r="P701" s="7"/>
      <c r="Q701" s="7"/>
      <c r="R701" s="7"/>
      <c r="S701" s="7"/>
      <c r="T701" s="7"/>
    </row>
    <row r="702" ht="14.25" customHeight="1">
      <c r="A702" s="7"/>
      <c r="B702" s="7"/>
      <c r="C702" s="7"/>
      <c r="D702" s="7"/>
      <c r="E702" s="7"/>
      <c r="F702" s="7"/>
      <c r="G702" s="7"/>
      <c r="H702" s="7"/>
      <c r="I702" s="7"/>
      <c r="J702" s="7"/>
      <c r="K702" s="7"/>
      <c r="L702" s="7"/>
      <c r="M702" s="7"/>
      <c r="N702" s="7"/>
      <c r="O702" s="7"/>
      <c r="P702" s="7"/>
      <c r="Q702" s="7"/>
      <c r="R702" s="7"/>
      <c r="S702" s="7"/>
      <c r="T702" s="7"/>
    </row>
    <row r="703" ht="14.25" customHeight="1">
      <c r="A703" s="7"/>
      <c r="B703" s="7"/>
      <c r="C703" s="7"/>
      <c r="D703" s="7"/>
      <c r="E703" s="7"/>
      <c r="F703" s="7"/>
      <c r="G703" s="7"/>
      <c r="H703" s="7"/>
      <c r="I703" s="7"/>
      <c r="J703" s="7"/>
      <c r="K703" s="7"/>
      <c r="L703" s="7"/>
      <c r="M703" s="7"/>
      <c r="N703" s="7"/>
      <c r="O703" s="7"/>
      <c r="P703" s="7"/>
      <c r="Q703" s="7"/>
      <c r="R703" s="7"/>
      <c r="S703" s="7"/>
      <c r="T703" s="7"/>
    </row>
    <row r="704" ht="14.25" customHeight="1">
      <c r="A704" s="7"/>
      <c r="B704" s="7"/>
      <c r="C704" s="7"/>
      <c r="D704" s="7"/>
      <c r="E704" s="7"/>
      <c r="F704" s="7"/>
      <c r="G704" s="7"/>
      <c r="H704" s="7"/>
      <c r="I704" s="7"/>
      <c r="J704" s="7"/>
      <c r="K704" s="7"/>
      <c r="L704" s="7"/>
      <c r="M704" s="7"/>
      <c r="N704" s="7"/>
      <c r="O704" s="7"/>
      <c r="P704" s="7"/>
      <c r="Q704" s="7"/>
      <c r="R704" s="7"/>
      <c r="S704" s="7"/>
      <c r="T704" s="7"/>
    </row>
    <row r="705" ht="14.25" customHeight="1">
      <c r="A705" s="7"/>
      <c r="B705" s="7"/>
      <c r="C705" s="7"/>
      <c r="D705" s="7"/>
      <c r="E705" s="7"/>
      <c r="F705" s="7"/>
      <c r="G705" s="7"/>
      <c r="H705" s="7"/>
      <c r="I705" s="7"/>
      <c r="J705" s="7"/>
      <c r="K705" s="7"/>
      <c r="L705" s="7"/>
      <c r="M705" s="7"/>
      <c r="N705" s="7"/>
      <c r="O705" s="7"/>
      <c r="P705" s="7"/>
      <c r="Q705" s="7"/>
      <c r="R705" s="7"/>
      <c r="S705" s="7"/>
      <c r="T705" s="7"/>
    </row>
    <row r="706" ht="14.25" customHeight="1">
      <c r="A706" s="7"/>
      <c r="B706" s="7"/>
      <c r="C706" s="7"/>
      <c r="D706" s="7"/>
      <c r="E706" s="7"/>
      <c r="F706" s="7"/>
      <c r="G706" s="7"/>
      <c r="H706" s="7"/>
      <c r="I706" s="7"/>
      <c r="J706" s="7"/>
      <c r="K706" s="7"/>
      <c r="L706" s="7"/>
      <c r="M706" s="7"/>
      <c r="N706" s="7"/>
      <c r="O706" s="7"/>
      <c r="P706" s="7"/>
      <c r="Q706" s="7"/>
      <c r="R706" s="7"/>
      <c r="S706" s="7"/>
      <c r="T706" s="7"/>
    </row>
    <row r="707" ht="14.25" customHeight="1">
      <c r="A707" s="7"/>
      <c r="B707" s="7"/>
      <c r="C707" s="7"/>
      <c r="D707" s="7"/>
      <c r="E707" s="7"/>
      <c r="F707" s="7"/>
      <c r="G707" s="7"/>
      <c r="H707" s="7"/>
      <c r="I707" s="7"/>
      <c r="J707" s="7"/>
      <c r="K707" s="7"/>
      <c r="L707" s="7"/>
      <c r="M707" s="7"/>
      <c r="N707" s="7"/>
      <c r="O707" s="7"/>
      <c r="P707" s="7"/>
      <c r="Q707" s="7"/>
      <c r="R707" s="7"/>
      <c r="S707" s="7"/>
      <c r="T707" s="7"/>
    </row>
    <row r="708" ht="14.25" customHeight="1">
      <c r="A708" s="7"/>
      <c r="B708" s="7"/>
      <c r="C708" s="7"/>
      <c r="D708" s="7"/>
      <c r="E708" s="7"/>
      <c r="F708" s="7"/>
      <c r="G708" s="7"/>
      <c r="H708" s="7"/>
      <c r="I708" s="7"/>
      <c r="J708" s="7"/>
      <c r="K708" s="7"/>
      <c r="L708" s="7"/>
      <c r="M708" s="7"/>
      <c r="N708" s="7"/>
      <c r="O708" s="7"/>
      <c r="P708" s="7"/>
      <c r="Q708" s="7"/>
      <c r="R708" s="7"/>
      <c r="S708" s="7"/>
      <c r="T708" s="7"/>
    </row>
    <row r="709" ht="14.25" customHeight="1">
      <c r="A709" s="7"/>
      <c r="B709" s="7"/>
      <c r="C709" s="7"/>
      <c r="D709" s="7"/>
      <c r="E709" s="7"/>
      <c r="F709" s="7"/>
      <c r="G709" s="7"/>
      <c r="H709" s="7"/>
      <c r="I709" s="7"/>
      <c r="J709" s="7"/>
      <c r="K709" s="7"/>
      <c r="L709" s="7"/>
      <c r="M709" s="7"/>
      <c r="N709" s="7"/>
      <c r="O709" s="7"/>
      <c r="P709" s="7"/>
      <c r="Q709" s="7"/>
      <c r="R709" s="7"/>
      <c r="S709" s="7"/>
      <c r="T709" s="7"/>
    </row>
    <row r="710" ht="14.25" customHeight="1">
      <c r="A710" s="7"/>
      <c r="B710" s="7"/>
      <c r="C710" s="7"/>
      <c r="D710" s="7"/>
      <c r="E710" s="7"/>
      <c r="F710" s="7"/>
      <c r="G710" s="7"/>
      <c r="H710" s="7"/>
      <c r="I710" s="7"/>
      <c r="J710" s="7"/>
      <c r="K710" s="7"/>
      <c r="L710" s="7"/>
      <c r="M710" s="7"/>
      <c r="N710" s="7"/>
      <c r="O710" s="7"/>
      <c r="P710" s="7"/>
      <c r="Q710" s="7"/>
      <c r="R710" s="7"/>
      <c r="S710" s="7"/>
      <c r="T710" s="7"/>
    </row>
    <row r="711" ht="14.25" customHeight="1">
      <c r="A711" s="7"/>
      <c r="B711" s="7"/>
      <c r="C711" s="7"/>
      <c r="D711" s="7"/>
      <c r="E711" s="7"/>
      <c r="F711" s="7"/>
      <c r="G711" s="7"/>
      <c r="H711" s="7"/>
      <c r="I711" s="7"/>
      <c r="J711" s="7"/>
      <c r="K711" s="7"/>
      <c r="L711" s="7"/>
      <c r="M711" s="7"/>
      <c r="N711" s="7"/>
      <c r="O711" s="7"/>
      <c r="P711" s="7"/>
      <c r="Q711" s="7"/>
      <c r="R711" s="7"/>
      <c r="S711" s="7"/>
      <c r="T711" s="7"/>
    </row>
    <row r="712" ht="14.25" customHeight="1">
      <c r="A712" s="7"/>
      <c r="B712" s="7"/>
      <c r="C712" s="7"/>
      <c r="D712" s="7"/>
      <c r="E712" s="7"/>
      <c r="F712" s="7"/>
      <c r="G712" s="7"/>
      <c r="H712" s="7"/>
      <c r="I712" s="7"/>
      <c r="J712" s="7"/>
      <c r="K712" s="7"/>
      <c r="L712" s="7"/>
      <c r="M712" s="7"/>
      <c r="N712" s="7"/>
      <c r="O712" s="7"/>
      <c r="P712" s="7"/>
      <c r="Q712" s="7"/>
      <c r="R712" s="7"/>
      <c r="S712" s="7"/>
      <c r="T712" s="7"/>
    </row>
    <row r="713" ht="14.25" customHeight="1">
      <c r="A713" s="7"/>
      <c r="B713" s="7"/>
      <c r="C713" s="7"/>
      <c r="D713" s="7"/>
      <c r="E713" s="7"/>
      <c r="F713" s="7"/>
      <c r="G713" s="7"/>
      <c r="H713" s="7"/>
      <c r="I713" s="7"/>
      <c r="J713" s="7"/>
      <c r="K713" s="7"/>
      <c r="L713" s="7"/>
      <c r="M713" s="7"/>
      <c r="N713" s="7"/>
      <c r="O713" s="7"/>
      <c r="P713" s="7"/>
      <c r="Q713" s="7"/>
      <c r="R713" s="7"/>
      <c r="S713" s="7"/>
      <c r="T713" s="7"/>
    </row>
    <row r="714" ht="14.25" customHeight="1">
      <c r="A714" s="7"/>
      <c r="B714" s="7"/>
      <c r="C714" s="7"/>
      <c r="D714" s="7"/>
      <c r="E714" s="7"/>
      <c r="F714" s="7"/>
      <c r="G714" s="7"/>
      <c r="H714" s="7"/>
      <c r="I714" s="7"/>
      <c r="J714" s="7"/>
      <c r="K714" s="7"/>
      <c r="L714" s="7"/>
      <c r="M714" s="7"/>
      <c r="N714" s="7"/>
      <c r="O714" s="7"/>
      <c r="P714" s="7"/>
      <c r="Q714" s="7"/>
      <c r="R714" s="7"/>
      <c r="S714" s="7"/>
      <c r="T714" s="7"/>
    </row>
    <row r="715" ht="14.25" customHeight="1">
      <c r="A715" s="7"/>
      <c r="B715" s="7"/>
      <c r="C715" s="7"/>
      <c r="D715" s="7"/>
      <c r="E715" s="7"/>
      <c r="F715" s="7"/>
      <c r="G715" s="7"/>
      <c r="H715" s="7"/>
      <c r="I715" s="7"/>
      <c r="J715" s="7"/>
      <c r="K715" s="7"/>
      <c r="L715" s="7"/>
      <c r="M715" s="7"/>
      <c r="N715" s="7"/>
      <c r="O715" s="7"/>
      <c r="P715" s="7"/>
      <c r="Q715" s="7"/>
      <c r="R715" s="7"/>
      <c r="S715" s="7"/>
      <c r="T715" s="7"/>
    </row>
    <row r="716" ht="14.25" customHeight="1">
      <c r="A716" s="7"/>
      <c r="B716" s="7"/>
      <c r="C716" s="7"/>
      <c r="D716" s="7"/>
      <c r="E716" s="7"/>
      <c r="F716" s="7"/>
      <c r="G716" s="7"/>
      <c r="H716" s="7"/>
      <c r="I716" s="7"/>
      <c r="J716" s="7"/>
      <c r="K716" s="7"/>
      <c r="L716" s="7"/>
      <c r="M716" s="7"/>
      <c r="N716" s="7"/>
      <c r="O716" s="7"/>
      <c r="P716" s="7"/>
      <c r="Q716" s="7"/>
      <c r="R716" s="7"/>
      <c r="S716" s="7"/>
      <c r="T716" s="7"/>
    </row>
    <row r="717" ht="14.25" customHeight="1">
      <c r="A717" s="7"/>
      <c r="B717" s="7"/>
      <c r="C717" s="7"/>
      <c r="D717" s="7"/>
      <c r="E717" s="7"/>
      <c r="F717" s="7"/>
      <c r="G717" s="7"/>
      <c r="H717" s="7"/>
      <c r="I717" s="7"/>
      <c r="J717" s="7"/>
      <c r="K717" s="7"/>
      <c r="L717" s="7"/>
      <c r="M717" s="7"/>
      <c r="N717" s="7"/>
      <c r="O717" s="7"/>
      <c r="P717" s="7"/>
      <c r="Q717" s="7"/>
      <c r="R717" s="7"/>
      <c r="S717" s="7"/>
      <c r="T717" s="7"/>
    </row>
    <row r="718" ht="14.25" customHeight="1">
      <c r="A718" s="7"/>
      <c r="B718" s="7"/>
      <c r="C718" s="7"/>
      <c r="D718" s="7"/>
      <c r="E718" s="7"/>
      <c r="F718" s="7"/>
      <c r="G718" s="7"/>
      <c r="H718" s="7"/>
      <c r="I718" s="7"/>
      <c r="J718" s="7"/>
      <c r="K718" s="7"/>
      <c r="L718" s="7"/>
      <c r="M718" s="7"/>
      <c r="N718" s="7"/>
      <c r="O718" s="7"/>
      <c r="P718" s="7"/>
      <c r="Q718" s="7"/>
      <c r="R718" s="7"/>
      <c r="S718" s="7"/>
      <c r="T718" s="7"/>
    </row>
    <row r="719" ht="14.25" customHeight="1">
      <c r="A719" s="7"/>
      <c r="B719" s="7"/>
      <c r="C719" s="7"/>
      <c r="D719" s="7"/>
      <c r="E719" s="7"/>
      <c r="F719" s="7"/>
      <c r="G719" s="7"/>
      <c r="H719" s="7"/>
      <c r="I719" s="7"/>
      <c r="J719" s="7"/>
      <c r="K719" s="7"/>
      <c r="L719" s="7"/>
      <c r="M719" s="7"/>
      <c r="N719" s="7"/>
      <c r="O719" s="7"/>
      <c r="P719" s="7"/>
      <c r="Q719" s="7"/>
      <c r="R719" s="7"/>
      <c r="S719" s="7"/>
      <c r="T719" s="7"/>
    </row>
    <row r="720" ht="14.25" customHeight="1">
      <c r="A720" s="7"/>
      <c r="B720" s="7"/>
      <c r="C720" s="7"/>
      <c r="D720" s="7"/>
      <c r="E720" s="7"/>
      <c r="F720" s="7"/>
      <c r="G720" s="7"/>
      <c r="H720" s="7"/>
      <c r="I720" s="7"/>
      <c r="J720" s="7"/>
      <c r="K720" s="7"/>
      <c r="L720" s="7"/>
      <c r="M720" s="7"/>
      <c r="N720" s="7"/>
      <c r="O720" s="7"/>
      <c r="P720" s="7"/>
      <c r="Q720" s="7"/>
      <c r="R720" s="7"/>
      <c r="S720" s="7"/>
      <c r="T720" s="7"/>
    </row>
    <row r="721" ht="14.25" customHeight="1">
      <c r="A721" s="7"/>
      <c r="B721" s="7"/>
      <c r="C721" s="7"/>
      <c r="D721" s="7"/>
      <c r="E721" s="7"/>
      <c r="F721" s="7"/>
      <c r="G721" s="7"/>
      <c r="H721" s="7"/>
      <c r="I721" s="7"/>
      <c r="J721" s="7"/>
      <c r="K721" s="7"/>
      <c r="L721" s="7"/>
      <c r="M721" s="7"/>
      <c r="N721" s="7"/>
      <c r="O721" s="7"/>
      <c r="P721" s="7"/>
      <c r="Q721" s="7"/>
      <c r="R721" s="7"/>
      <c r="S721" s="7"/>
      <c r="T721" s="7"/>
    </row>
    <row r="722" ht="14.25" customHeight="1">
      <c r="A722" s="7"/>
      <c r="B722" s="7"/>
      <c r="C722" s="7"/>
      <c r="D722" s="7"/>
      <c r="E722" s="7"/>
      <c r="F722" s="7"/>
      <c r="G722" s="7"/>
      <c r="H722" s="7"/>
      <c r="I722" s="7"/>
      <c r="J722" s="7"/>
      <c r="K722" s="7"/>
      <c r="L722" s="7"/>
      <c r="M722" s="7"/>
      <c r="N722" s="7"/>
      <c r="O722" s="7"/>
      <c r="P722" s="7"/>
      <c r="Q722" s="7"/>
      <c r="R722" s="7"/>
      <c r="S722" s="7"/>
      <c r="T722" s="7"/>
    </row>
    <row r="723" ht="14.25" customHeight="1">
      <c r="A723" s="7"/>
      <c r="B723" s="7"/>
      <c r="C723" s="7"/>
      <c r="D723" s="7"/>
      <c r="E723" s="7"/>
      <c r="F723" s="7"/>
      <c r="G723" s="7"/>
      <c r="H723" s="7"/>
      <c r="I723" s="7"/>
      <c r="J723" s="7"/>
      <c r="K723" s="7"/>
      <c r="L723" s="7"/>
      <c r="M723" s="7"/>
      <c r="N723" s="7"/>
      <c r="O723" s="7"/>
      <c r="P723" s="7"/>
      <c r="Q723" s="7"/>
      <c r="R723" s="7"/>
      <c r="S723" s="7"/>
      <c r="T723" s="7"/>
    </row>
    <row r="724" ht="14.25" customHeight="1">
      <c r="A724" s="7"/>
      <c r="B724" s="7"/>
      <c r="C724" s="7"/>
      <c r="D724" s="7"/>
      <c r="E724" s="7"/>
      <c r="F724" s="7"/>
      <c r="G724" s="7"/>
      <c r="H724" s="7"/>
      <c r="I724" s="7"/>
      <c r="J724" s="7"/>
      <c r="K724" s="7"/>
      <c r="L724" s="7"/>
      <c r="M724" s="7"/>
      <c r="N724" s="7"/>
      <c r="O724" s="7"/>
      <c r="P724" s="7"/>
      <c r="Q724" s="7"/>
      <c r="R724" s="7"/>
      <c r="S724" s="7"/>
      <c r="T724" s="7"/>
    </row>
    <row r="725" ht="14.25" customHeight="1">
      <c r="A725" s="7"/>
      <c r="B725" s="7"/>
      <c r="C725" s="7"/>
      <c r="D725" s="7"/>
      <c r="E725" s="7"/>
      <c r="F725" s="7"/>
      <c r="G725" s="7"/>
      <c r="H725" s="7"/>
      <c r="I725" s="7"/>
      <c r="J725" s="7"/>
      <c r="K725" s="7"/>
      <c r="L725" s="7"/>
      <c r="M725" s="7"/>
      <c r="N725" s="7"/>
      <c r="O725" s="7"/>
      <c r="P725" s="7"/>
      <c r="Q725" s="7"/>
      <c r="R725" s="7"/>
      <c r="S725" s="7"/>
      <c r="T725" s="7"/>
    </row>
    <row r="726" ht="14.25" customHeight="1">
      <c r="A726" s="7"/>
      <c r="B726" s="7"/>
      <c r="C726" s="7"/>
      <c r="D726" s="7"/>
      <c r="E726" s="7"/>
      <c r="F726" s="7"/>
      <c r="G726" s="7"/>
      <c r="H726" s="7"/>
      <c r="I726" s="7"/>
      <c r="J726" s="7"/>
      <c r="K726" s="7"/>
      <c r="L726" s="7"/>
      <c r="M726" s="7"/>
      <c r="N726" s="7"/>
      <c r="O726" s="7"/>
      <c r="P726" s="7"/>
      <c r="Q726" s="7"/>
      <c r="R726" s="7"/>
      <c r="S726" s="7"/>
      <c r="T726" s="7"/>
    </row>
    <row r="727" ht="14.25" customHeight="1">
      <c r="A727" s="7"/>
      <c r="B727" s="7"/>
      <c r="C727" s="7"/>
      <c r="D727" s="7"/>
      <c r="E727" s="7"/>
      <c r="F727" s="7"/>
      <c r="G727" s="7"/>
      <c r="H727" s="7"/>
      <c r="I727" s="7"/>
      <c r="J727" s="7"/>
      <c r="K727" s="7"/>
      <c r="L727" s="7"/>
      <c r="M727" s="7"/>
      <c r="N727" s="7"/>
      <c r="O727" s="7"/>
      <c r="P727" s="7"/>
      <c r="Q727" s="7"/>
      <c r="R727" s="7"/>
      <c r="S727" s="7"/>
      <c r="T727" s="7"/>
    </row>
    <row r="728" ht="14.25" customHeight="1">
      <c r="A728" s="7"/>
      <c r="B728" s="7"/>
      <c r="C728" s="7"/>
      <c r="D728" s="7"/>
      <c r="E728" s="7"/>
      <c r="F728" s="7"/>
      <c r="G728" s="7"/>
      <c r="H728" s="7"/>
      <c r="I728" s="7"/>
      <c r="J728" s="7"/>
      <c r="K728" s="7"/>
      <c r="L728" s="7"/>
      <c r="M728" s="7"/>
      <c r="N728" s="7"/>
      <c r="O728" s="7"/>
      <c r="P728" s="7"/>
      <c r="Q728" s="7"/>
      <c r="R728" s="7"/>
      <c r="S728" s="7"/>
      <c r="T728" s="7"/>
    </row>
    <row r="729" ht="14.25" customHeight="1">
      <c r="A729" s="7"/>
      <c r="B729" s="7"/>
      <c r="C729" s="7"/>
      <c r="D729" s="7"/>
      <c r="E729" s="7"/>
      <c r="F729" s="7"/>
      <c r="G729" s="7"/>
      <c r="H729" s="7"/>
      <c r="I729" s="7"/>
      <c r="J729" s="7"/>
      <c r="K729" s="7"/>
      <c r="L729" s="7"/>
      <c r="M729" s="7"/>
      <c r="N729" s="7"/>
      <c r="O729" s="7"/>
      <c r="P729" s="7"/>
      <c r="Q729" s="7"/>
      <c r="R729" s="7"/>
      <c r="S729" s="7"/>
      <c r="T729" s="7"/>
    </row>
    <row r="730" ht="14.25" customHeight="1">
      <c r="A730" s="7"/>
      <c r="B730" s="7"/>
      <c r="C730" s="7"/>
      <c r="D730" s="7"/>
      <c r="E730" s="7"/>
      <c r="F730" s="7"/>
      <c r="G730" s="7"/>
      <c r="H730" s="7"/>
      <c r="I730" s="7"/>
      <c r="J730" s="7"/>
      <c r="K730" s="7"/>
      <c r="L730" s="7"/>
      <c r="M730" s="7"/>
      <c r="N730" s="7"/>
      <c r="O730" s="7"/>
      <c r="P730" s="7"/>
      <c r="Q730" s="7"/>
      <c r="R730" s="7"/>
      <c r="S730" s="7"/>
      <c r="T730" s="7"/>
    </row>
    <row r="731" ht="14.25" customHeight="1">
      <c r="A731" s="7"/>
      <c r="B731" s="7"/>
      <c r="C731" s="7"/>
      <c r="D731" s="7"/>
      <c r="E731" s="7"/>
      <c r="F731" s="7"/>
      <c r="G731" s="7"/>
      <c r="H731" s="7"/>
      <c r="I731" s="7"/>
      <c r="J731" s="7"/>
      <c r="K731" s="7"/>
      <c r="L731" s="7"/>
      <c r="M731" s="7"/>
      <c r="N731" s="7"/>
      <c r="O731" s="7"/>
      <c r="P731" s="7"/>
      <c r="Q731" s="7"/>
      <c r="R731" s="7"/>
      <c r="S731" s="7"/>
      <c r="T731" s="7"/>
    </row>
    <row r="732" ht="14.25" customHeight="1">
      <c r="A732" s="7"/>
      <c r="B732" s="7"/>
      <c r="C732" s="7"/>
      <c r="D732" s="7"/>
      <c r="E732" s="7"/>
      <c r="F732" s="7"/>
      <c r="G732" s="7"/>
      <c r="H732" s="7"/>
      <c r="I732" s="7"/>
      <c r="J732" s="7"/>
      <c r="K732" s="7"/>
      <c r="L732" s="7"/>
      <c r="M732" s="7"/>
      <c r="N732" s="7"/>
      <c r="O732" s="7"/>
      <c r="P732" s="7"/>
      <c r="Q732" s="7"/>
      <c r="R732" s="7"/>
      <c r="S732" s="7"/>
      <c r="T732" s="7"/>
    </row>
    <row r="733" ht="14.25" customHeight="1">
      <c r="A733" s="7"/>
      <c r="B733" s="7"/>
      <c r="C733" s="7"/>
      <c r="D733" s="7"/>
      <c r="E733" s="7"/>
      <c r="F733" s="7"/>
      <c r="G733" s="7"/>
      <c r="H733" s="7"/>
      <c r="I733" s="7"/>
      <c r="J733" s="7"/>
      <c r="K733" s="7"/>
      <c r="L733" s="7"/>
      <c r="M733" s="7"/>
      <c r="N733" s="7"/>
      <c r="O733" s="7"/>
      <c r="P733" s="7"/>
      <c r="Q733" s="7"/>
      <c r="R733" s="7"/>
      <c r="S733" s="7"/>
      <c r="T733" s="7"/>
    </row>
    <row r="734" ht="14.25" customHeight="1">
      <c r="A734" s="7"/>
      <c r="B734" s="7"/>
      <c r="C734" s="7"/>
      <c r="D734" s="7"/>
      <c r="E734" s="7"/>
      <c r="F734" s="7"/>
      <c r="G734" s="7"/>
      <c r="H734" s="7"/>
      <c r="I734" s="7"/>
      <c r="J734" s="7"/>
      <c r="K734" s="7"/>
      <c r="L734" s="7"/>
      <c r="M734" s="7"/>
      <c r="N734" s="7"/>
      <c r="O734" s="7"/>
      <c r="P734" s="7"/>
      <c r="Q734" s="7"/>
      <c r="R734" s="7"/>
      <c r="S734" s="7"/>
      <c r="T734" s="7"/>
    </row>
    <row r="735" ht="14.25" customHeight="1">
      <c r="A735" s="7"/>
      <c r="B735" s="7"/>
      <c r="C735" s="7"/>
      <c r="D735" s="7"/>
      <c r="E735" s="7"/>
      <c r="F735" s="7"/>
      <c r="G735" s="7"/>
      <c r="H735" s="7"/>
      <c r="I735" s="7"/>
      <c r="J735" s="7"/>
      <c r="K735" s="7"/>
      <c r="L735" s="7"/>
      <c r="M735" s="7"/>
      <c r="N735" s="7"/>
      <c r="O735" s="7"/>
      <c r="P735" s="7"/>
      <c r="Q735" s="7"/>
      <c r="R735" s="7"/>
      <c r="S735" s="7"/>
      <c r="T735" s="7"/>
    </row>
    <row r="736" ht="14.25" customHeight="1">
      <c r="A736" s="7"/>
      <c r="B736" s="7"/>
      <c r="C736" s="7"/>
      <c r="D736" s="7"/>
      <c r="E736" s="7"/>
      <c r="F736" s="7"/>
      <c r="G736" s="7"/>
      <c r="H736" s="7"/>
      <c r="I736" s="7"/>
      <c r="J736" s="7"/>
      <c r="K736" s="7"/>
      <c r="L736" s="7"/>
      <c r="M736" s="7"/>
      <c r="N736" s="7"/>
      <c r="O736" s="7"/>
      <c r="P736" s="7"/>
      <c r="Q736" s="7"/>
      <c r="R736" s="7"/>
      <c r="S736" s="7"/>
      <c r="T736" s="7"/>
    </row>
    <row r="737" ht="14.25" customHeight="1">
      <c r="A737" s="7"/>
      <c r="B737" s="7"/>
      <c r="C737" s="7"/>
      <c r="D737" s="7"/>
      <c r="E737" s="7"/>
      <c r="F737" s="7"/>
      <c r="G737" s="7"/>
      <c r="H737" s="7"/>
      <c r="I737" s="7"/>
      <c r="J737" s="7"/>
      <c r="K737" s="7"/>
      <c r="L737" s="7"/>
      <c r="M737" s="7"/>
      <c r="N737" s="7"/>
      <c r="O737" s="7"/>
      <c r="P737" s="7"/>
      <c r="Q737" s="7"/>
      <c r="R737" s="7"/>
      <c r="S737" s="7"/>
      <c r="T737" s="7"/>
    </row>
    <row r="738" ht="14.25" customHeight="1">
      <c r="A738" s="7"/>
      <c r="B738" s="7"/>
      <c r="C738" s="7"/>
      <c r="D738" s="7"/>
      <c r="E738" s="7"/>
      <c r="F738" s="7"/>
      <c r="G738" s="7"/>
      <c r="H738" s="7"/>
      <c r="I738" s="7"/>
      <c r="J738" s="7"/>
      <c r="K738" s="7"/>
      <c r="L738" s="7"/>
      <c r="M738" s="7"/>
      <c r="N738" s="7"/>
      <c r="O738" s="7"/>
      <c r="P738" s="7"/>
      <c r="Q738" s="7"/>
      <c r="R738" s="7"/>
      <c r="S738" s="7"/>
      <c r="T738" s="7"/>
    </row>
    <row r="739" ht="14.25" customHeight="1">
      <c r="A739" s="7"/>
      <c r="B739" s="7"/>
      <c r="C739" s="7"/>
      <c r="D739" s="7"/>
      <c r="E739" s="7"/>
      <c r="F739" s="7"/>
      <c r="G739" s="7"/>
      <c r="H739" s="7"/>
      <c r="I739" s="7"/>
      <c r="J739" s="7"/>
      <c r="K739" s="7"/>
      <c r="L739" s="7"/>
      <c r="M739" s="7"/>
      <c r="N739" s="7"/>
      <c r="O739" s="7"/>
      <c r="P739" s="7"/>
      <c r="Q739" s="7"/>
      <c r="R739" s="7"/>
      <c r="S739" s="7"/>
      <c r="T739" s="7"/>
    </row>
    <row r="740" ht="14.25" customHeight="1">
      <c r="A740" s="7"/>
      <c r="B740" s="7"/>
      <c r="C740" s="7"/>
      <c r="D740" s="7"/>
      <c r="E740" s="7"/>
      <c r="F740" s="7"/>
      <c r="G740" s="7"/>
      <c r="H740" s="7"/>
      <c r="I740" s="7"/>
      <c r="J740" s="7"/>
      <c r="K740" s="7"/>
      <c r="L740" s="7"/>
      <c r="M740" s="7"/>
      <c r="N740" s="7"/>
      <c r="O740" s="7"/>
      <c r="P740" s="7"/>
      <c r="Q740" s="7"/>
      <c r="R740" s="7"/>
      <c r="S740" s="7"/>
      <c r="T740" s="7"/>
    </row>
    <row r="741" ht="14.25" customHeight="1">
      <c r="A741" s="7"/>
      <c r="B741" s="7"/>
      <c r="C741" s="7"/>
      <c r="D741" s="7"/>
      <c r="E741" s="7"/>
      <c r="F741" s="7"/>
      <c r="G741" s="7"/>
      <c r="H741" s="7"/>
      <c r="I741" s="7"/>
      <c r="J741" s="7"/>
      <c r="K741" s="7"/>
      <c r="L741" s="7"/>
      <c r="M741" s="7"/>
      <c r="N741" s="7"/>
      <c r="O741" s="7"/>
      <c r="P741" s="7"/>
      <c r="Q741" s="7"/>
      <c r="R741" s="7"/>
      <c r="S741" s="7"/>
      <c r="T741" s="7"/>
    </row>
    <row r="742" ht="14.25" customHeight="1">
      <c r="A742" s="7"/>
      <c r="B742" s="7"/>
      <c r="C742" s="7"/>
      <c r="D742" s="7"/>
      <c r="E742" s="7"/>
      <c r="F742" s="7"/>
      <c r="G742" s="7"/>
      <c r="H742" s="7"/>
      <c r="I742" s="7"/>
      <c r="J742" s="7"/>
      <c r="K742" s="7"/>
      <c r="L742" s="7"/>
      <c r="M742" s="7"/>
      <c r="N742" s="7"/>
      <c r="O742" s="7"/>
      <c r="P742" s="7"/>
      <c r="Q742" s="7"/>
      <c r="R742" s="7"/>
      <c r="S742" s="7"/>
      <c r="T742" s="7"/>
    </row>
    <row r="743" ht="14.25" customHeight="1">
      <c r="A743" s="7"/>
      <c r="B743" s="7"/>
      <c r="C743" s="7"/>
      <c r="D743" s="7"/>
      <c r="E743" s="7"/>
      <c r="F743" s="7"/>
      <c r="G743" s="7"/>
      <c r="H743" s="7"/>
      <c r="I743" s="7"/>
      <c r="J743" s="7"/>
      <c r="K743" s="7"/>
      <c r="L743" s="7"/>
      <c r="M743" s="7"/>
      <c r="N743" s="7"/>
      <c r="O743" s="7"/>
      <c r="P743" s="7"/>
      <c r="Q743" s="7"/>
      <c r="R743" s="7"/>
      <c r="S743" s="7"/>
      <c r="T743" s="7"/>
    </row>
    <row r="744" ht="14.25" customHeight="1">
      <c r="A744" s="7"/>
      <c r="B744" s="7"/>
      <c r="C744" s="7"/>
      <c r="D744" s="7"/>
      <c r="E744" s="7"/>
      <c r="F744" s="7"/>
      <c r="G744" s="7"/>
      <c r="H744" s="7"/>
      <c r="I744" s="7"/>
      <c r="J744" s="7"/>
      <c r="K744" s="7"/>
      <c r="L744" s="7"/>
      <c r="M744" s="7"/>
      <c r="N744" s="7"/>
      <c r="O744" s="7"/>
      <c r="P744" s="7"/>
      <c r="Q744" s="7"/>
      <c r="R744" s="7"/>
      <c r="S744" s="7"/>
      <c r="T744" s="7"/>
    </row>
    <row r="745" ht="14.25" customHeight="1">
      <c r="A745" s="7"/>
      <c r="B745" s="7"/>
      <c r="C745" s="7"/>
      <c r="D745" s="7"/>
      <c r="E745" s="7"/>
      <c r="F745" s="7"/>
      <c r="G745" s="7"/>
      <c r="H745" s="7"/>
      <c r="I745" s="7"/>
      <c r="J745" s="7"/>
      <c r="K745" s="7"/>
      <c r="L745" s="7"/>
      <c r="M745" s="7"/>
      <c r="N745" s="7"/>
      <c r="O745" s="7"/>
      <c r="P745" s="7"/>
      <c r="Q745" s="7"/>
      <c r="R745" s="7"/>
      <c r="S745" s="7"/>
      <c r="T745" s="7"/>
    </row>
    <row r="746" ht="14.25" customHeight="1">
      <c r="A746" s="7"/>
      <c r="B746" s="7"/>
      <c r="C746" s="7"/>
      <c r="D746" s="7"/>
      <c r="E746" s="7"/>
      <c r="F746" s="7"/>
      <c r="G746" s="7"/>
      <c r="H746" s="7"/>
      <c r="I746" s="7"/>
      <c r="J746" s="7"/>
      <c r="K746" s="7"/>
      <c r="L746" s="7"/>
      <c r="M746" s="7"/>
      <c r="N746" s="7"/>
      <c r="O746" s="7"/>
      <c r="P746" s="7"/>
      <c r="Q746" s="7"/>
      <c r="R746" s="7"/>
      <c r="S746" s="7"/>
      <c r="T746" s="7"/>
    </row>
    <row r="747" ht="14.25" customHeight="1">
      <c r="A747" s="7"/>
      <c r="B747" s="7"/>
      <c r="C747" s="7"/>
      <c r="D747" s="7"/>
      <c r="E747" s="7"/>
      <c r="F747" s="7"/>
      <c r="G747" s="7"/>
      <c r="H747" s="7"/>
      <c r="I747" s="7"/>
      <c r="J747" s="7"/>
      <c r="K747" s="7"/>
      <c r="L747" s="7"/>
      <c r="M747" s="7"/>
      <c r="N747" s="7"/>
      <c r="O747" s="7"/>
      <c r="P747" s="7"/>
      <c r="Q747" s="7"/>
      <c r="R747" s="7"/>
      <c r="S747" s="7"/>
      <c r="T747" s="7"/>
    </row>
    <row r="748" ht="14.25" customHeight="1">
      <c r="A748" s="7"/>
      <c r="B748" s="7"/>
      <c r="C748" s="7"/>
      <c r="D748" s="7"/>
      <c r="E748" s="7"/>
      <c r="F748" s="7"/>
      <c r="G748" s="7"/>
      <c r="H748" s="7"/>
      <c r="I748" s="7"/>
      <c r="J748" s="7"/>
      <c r="K748" s="7"/>
      <c r="L748" s="7"/>
      <c r="M748" s="7"/>
      <c r="N748" s="7"/>
      <c r="O748" s="7"/>
      <c r="P748" s="7"/>
      <c r="Q748" s="7"/>
      <c r="R748" s="7"/>
      <c r="S748" s="7"/>
      <c r="T748" s="7"/>
    </row>
    <row r="749" ht="14.25" customHeight="1">
      <c r="A749" s="7"/>
      <c r="B749" s="7"/>
      <c r="C749" s="7"/>
      <c r="D749" s="7"/>
      <c r="E749" s="7"/>
      <c r="F749" s="7"/>
      <c r="G749" s="7"/>
      <c r="H749" s="7"/>
      <c r="I749" s="7"/>
      <c r="J749" s="7"/>
      <c r="K749" s="7"/>
      <c r="L749" s="7"/>
      <c r="M749" s="7"/>
      <c r="N749" s="7"/>
      <c r="O749" s="7"/>
      <c r="P749" s="7"/>
      <c r="Q749" s="7"/>
      <c r="R749" s="7"/>
      <c r="S749" s="7"/>
      <c r="T749" s="7"/>
    </row>
    <row r="750" ht="14.25" customHeight="1">
      <c r="A750" s="7"/>
      <c r="B750" s="7"/>
      <c r="C750" s="7"/>
      <c r="D750" s="7"/>
      <c r="E750" s="7"/>
      <c r="F750" s="7"/>
      <c r="G750" s="7"/>
      <c r="H750" s="7"/>
      <c r="I750" s="7"/>
      <c r="J750" s="7"/>
      <c r="K750" s="7"/>
      <c r="L750" s="7"/>
      <c r="M750" s="7"/>
      <c r="N750" s="7"/>
      <c r="O750" s="7"/>
      <c r="P750" s="7"/>
      <c r="Q750" s="7"/>
      <c r="R750" s="7"/>
      <c r="S750" s="7"/>
      <c r="T750" s="7"/>
    </row>
    <row r="751" ht="14.25" customHeight="1">
      <c r="A751" s="7"/>
      <c r="B751" s="7"/>
      <c r="C751" s="7"/>
      <c r="D751" s="7"/>
      <c r="E751" s="7"/>
      <c r="F751" s="7"/>
      <c r="G751" s="7"/>
      <c r="H751" s="7"/>
      <c r="I751" s="7"/>
      <c r="J751" s="7"/>
      <c r="K751" s="7"/>
      <c r="L751" s="7"/>
      <c r="M751" s="7"/>
      <c r="N751" s="7"/>
      <c r="O751" s="7"/>
      <c r="P751" s="7"/>
      <c r="Q751" s="7"/>
      <c r="R751" s="7"/>
      <c r="S751" s="7"/>
      <c r="T751" s="7"/>
    </row>
    <row r="752" ht="14.25" customHeight="1">
      <c r="A752" s="7"/>
      <c r="B752" s="7"/>
      <c r="C752" s="7"/>
      <c r="D752" s="7"/>
      <c r="E752" s="7"/>
      <c r="F752" s="7"/>
      <c r="G752" s="7"/>
      <c r="H752" s="7"/>
      <c r="I752" s="7"/>
      <c r="J752" s="7"/>
      <c r="K752" s="7"/>
      <c r="L752" s="7"/>
      <c r="M752" s="7"/>
      <c r="N752" s="7"/>
      <c r="O752" s="7"/>
      <c r="P752" s="7"/>
      <c r="Q752" s="7"/>
      <c r="R752" s="7"/>
      <c r="S752" s="7"/>
      <c r="T752" s="7"/>
    </row>
    <row r="753" ht="14.25" customHeight="1">
      <c r="A753" s="7"/>
      <c r="B753" s="7"/>
      <c r="C753" s="7"/>
      <c r="D753" s="7"/>
      <c r="E753" s="7"/>
      <c r="F753" s="7"/>
      <c r="G753" s="7"/>
      <c r="H753" s="7"/>
      <c r="I753" s="7"/>
      <c r="J753" s="7"/>
      <c r="K753" s="7"/>
      <c r="L753" s="7"/>
      <c r="M753" s="7"/>
      <c r="N753" s="7"/>
      <c r="O753" s="7"/>
      <c r="P753" s="7"/>
      <c r="Q753" s="7"/>
      <c r="R753" s="7"/>
      <c r="S753" s="7"/>
      <c r="T753" s="7"/>
    </row>
    <row r="754" ht="14.25" customHeight="1">
      <c r="A754" s="7"/>
      <c r="B754" s="7"/>
      <c r="C754" s="7"/>
      <c r="D754" s="7"/>
      <c r="E754" s="7"/>
      <c r="F754" s="7"/>
      <c r="G754" s="7"/>
      <c r="H754" s="7"/>
      <c r="I754" s="7"/>
      <c r="J754" s="7"/>
      <c r="K754" s="7"/>
      <c r="L754" s="7"/>
      <c r="M754" s="7"/>
      <c r="N754" s="7"/>
      <c r="O754" s="7"/>
      <c r="P754" s="7"/>
      <c r="Q754" s="7"/>
      <c r="R754" s="7"/>
      <c r="S754" s="7"/>
      <c r="T754" s="7"/>
    </row>
    <row r="755" ht="14.25" customHeight="1">
      <c r="A755" s="7"/>
      <c r="B755" s="7"/>
      <c r="C755" s="7"/>
      <c r="D755" s="7"/>
      <c r="E755" s="7"/>
      <c r="F755" s="7"/>
      <c r="G755" s="7"/>
      <c r="H755" s="7"/>
      <c r="I755" s="7"/>
      <c r="J755" s="7"/>
      <c r="K755" s="7"/>
      <c r="L755" s="7"/>
      <c r="M755" s="7"/>
      <c r="N755" s="7"/>
      <c r="O755" s="7"/>
      <c r="P755" s="7"/>
      <c r="Q755" s="7"/>
      <c r="R755" s="7"/>
      <c r="S755" s="7"/>
      <c r="T755" s="7"/>
    </row>
    <row r="756" ht="14.25" customHeight="1">
      <c r="A756" s="7"/>
      <c r="B756" s="7"/>
      <c r="C756" s="7"/>
      <c r="D756" s="7"/>
      <c r="E756" s="7"/>
      <c r="F756" s="7"/>
      <c r="G756" s="7"/>
      <c r="H756" s="7"/>
      <c r="I756" s="7"/>
      <c r="J756" s="7"/>
      <c r="K756" s="7"/>
      <c r="L756" s="7"/>
      <c r="M756" s="7"/>
      <c r="N756" s="7"/>
      <c r="O756" s="7"/>
      <c r="P756" s="7"/>
      <c r="Q756" s="7"/>
      <c r="R756" s="7"/>
      <c r="S756" s="7"/>
      <c r="T756" s="7"/>
    </row>
    <row r="757" ht="14.25" customHeight="1">
      <c r="A757" s="7"/>
      <c r="B757" s="7"/>
      <c r="C757" s="7"/>
      <c r="D757" s="7"/>
      <c r="E757" s="7"/>
      <c r="F757" s="7"/>
      <c r="G757" s="7"/>
      <c r="H757" s="7"/>
      <c r="I757" s="7"/>
      <c r="J757" s="7"/>
      <c r="K757" s="7"/>
      <c r="L757" s="7"/>
      <c r="M757" s="7"/>
      <c r="N757" s="7"/>
      <c r="O757" s="7"/>
      <c r="P757" s="7"/>
      <c r="Q757" s="7"/>
      <c r="R757" s="7"/>
      <c r="S757" s="7"/>
      <c r="T757" s="7"/>
    </row>
    <row r="758" ht="14.25" customHeight="1">
      <c r="A758" s="7"/>
      <c r="B758" s="7"/>
      <c r="C758" s="7"/>
      <c r="D758" s="7"/>
      <c r="E758" s="7"/>
      <c r="F758" s="7"/>
      <c r="G758" s="7"/>
      <c r="H758" s="7"/>
      <c r="I758" s="7"/>
      <c r="J758" s="7"/>
      <c r="K758" s="7"/>
      <c r="L758" s="7"/>
      <c r="M758" s="7"/>
      <c r="N758" s="7"/>
      <c r="O758" s="7"/>
      <c r="P758" s="7"/>
      <c r="Q758" s="7"/>
      <c r="R758" s="7"/>
      <c r="S758" s="7"/>
      <c r="T758" s="7"/>
    </row>
    <row r="759" ht="14.25" customHeight="1">
      <c r="A759" s="7"/>
      <c r="B759" s="7"/>
      <c r="C759" s="7"/>
      <c r="D759" s="7"/>
      <c r="E759" s="7"/>
      <c r="F759" s="7"/>
      <c r="G759" s="7"/>
      <c r="H759" s="7"/>
      <c r="I759" s="7"/>
      <c r="J759" s="7"/>
      <c r="K759" s="7"/>
      <c r="L759" s="7"/>
      <c r="M759" s="7"/>
      <c r="N759" s="7"/>
      <c r="O759" s="7"/>
      <c r="P759" s="7"/>
      <c r="Q759" s="7"/>
      <c r="R759" s="7"/>
      <c r="S759" s="7"/>
      <c r="T759" s="7"/>
    </row>
    <row r="760" ht="14.25" customHeight="1">
      <c r="A760" s="7"/>
      <c r="B760" s="7"/>
      <c r="C760" s="7"/>
      <c r="D760" s="7"/>
      <c r="E760" s="7"/>
      <c r="F760" s="7"/>
      <c r="G760" s="7"/>
      <c r="H760" s="7"/>
      <c r="I760" s="7"/>
      <c r="J760" s="7"/>
      <c r="K760" s="7"/>
      <c r="L760" s="7"/>
      <c r="M760" s="7"/>
      <c r="N760" s="7"/>
      <c r="O760" s="7"/>
      <c r="P760" s="7"/>
      <c r="Q760" s="7"/>
      <c r="R760" s="7"/>
      <c r="S760" s="7"/>
      <c r="T760" s="7"/>
    </row>
    <row r="761" ht="14.25" customHeight="1">
      <c r="A761" s="7"/>
      <c r="B761" s="7"/>
      <c r="C761" s="7"/>
      <c r="D761" s="7"/>
      <c r="E761" s="7"/>
      <c r="F761" s="7"/>
      <c r="G761" s="7"/>
      <c r="H761" s="7"/>
      <c r="I761" s="7"/>
      <c r="J761" s="7"/>
      <c r="K761" s="7"/>
      <c r="L761" s="7"/>
      <c r="M761" s="7"/>
      <c r="N761" s="7"/>
      <c r="O761" s="7"/>
      <c r="P761" s="7"/>
      <c r="Q761" s="7"/>
      <c r="R761" s="7"/>
      <c r="S761" s="7"/>
      <c r="T761" s="7"/>
    </row>
    <row r="762" ht="14.25" customHeight="1">
      <c r="A762" s="7"/>
      <c r="B762" s="7"/>
      <c r="C762" s="7"/>
      <c r="D762" s="7"/>
      <c r="E762" s="7"/>
      <c r="F762" s="7"/>
      <c r="G762" s="7"/>
      <c r="H762" s="7"/>
      <c r="I762" s="7"/>
      <c r="J762" s="7"/>
      <c r="K762" s="7"/>
      <c r="L762" s="7"/>
      <c r="M762" s="7"/>
      <c r="N762" s="7"/>
      <c r="O762" s="7"/>
      <c r="P762" s="7"/>
      <c r="Q762" s="7"/>
      <c r="R762" s="7"/>
      <c r="S762" s="7"/>
      <c r="T762" s="7"/>
    </row>
    <row r="763" ht="14.25" customHeight="1">
      <c r="A763" s="7"/>
      <c r="B763" s="7"/>
      <c r="C763" s="7"/>
      <c r="D763" s="7"/>
      <c r="E763" s="7"/>
      <c r="F763" s="7"/>
      <c r="G763" s="7"/>
      <c r="H763" s="7"/>
      <c r="I763" s="7"/>
      <c r="J763" s="7"/>
      <c r="K763" s="7"/>
      <c r="L763" s="7"/>
      <c r="M763" s="7"/>
      <c r="N763" s="7"/>
      <c r="O763" s="7"/>
      <c r="P763" s="7"/>
      <c r="Q763" s="7"/>
      <c r="R763" s="7"/>
      <c r="S763" s="7"/>
      <c r="T763" s="7"/>
    </row>
    <row r="764" ht="14.25" customHeight="1">
      <c r="A764" s="7"/>
      <c r="B764" s="7"/>
      <c r="C764" s="7"/>
      <c r="D764" s="7"/>
      <c r="E764" s="7"/>
      <c r="F764" s="7"/>
      <c r="G764" s="7"/>
      <c r="H764" s="7"/>
      <c r="I764" s="7"/>
      <c r="J764" s="7"/>
      <c r="K764" s="7"/>
      <c r="L764" s="7"/>
      <c r="M764" s="7"/>
      <c r="N764" s="7"/>
      <c r="O764" s="7"/>
      <c r="P764" s="7"/>
      <c r="Q764" s="7"/>
      <c r="R764" s="7"/>
      <c r="S764" s="7"/>
      <c r="T764" s="7"/>
    </row>
    <row r="765" ht="14.25" customHeight="1">
      <c r="A765" s="7"/>
      <c r="B765" s="7"/>
      <c r="C765" s="7"/>
      <c r="D765" s="7"/>
      <c r="E765" s="7"/>
      <c r="F765" s="7"/>
      <c r="G765" s="7"/>
      <c r="H765" s="7"/>
      <c r="I765" s="7"/>
      <c r="J765" s="7"/>
      <c r="K765" s="7"/>
      <c r="L765" s="7"/>
      <c r="M765" s="7"/>
      <c r="N765" s="7"/>
      <c r="O765" s="7"/>
      <c r="P765" s="7"/>
      <c r="Q765" s="7"/>
      <c r="R765" s="7"/>
      <c r="S765" s="7"/>
      <c r="T765" s="7"/>
    </row>
    <row r="766" ht="14.25" customHeight="1">
      <c r="A766" s="7"/>
      <c r="B766" s="7"/>
      <c r="C766" s="7"/>
      <c r="D766" s="7"/>
      <c r="E766" s="7"/>
      <c r="F766" s="7"/>
      <c r="G766" s="7"/>
      <c r="H766" s="7"/>
      <c r="I766" s="7"/>
      <c r="J766" s="7"/>
      <c r="K766" s="7"/>
      <c r="L766" s="7"/>
      <c r="M766" s="7"/>
      <c r="N766" s="7"/>
      <c r="O766" s="7"/>
      <c r="P766" s="7"/>
      <c r="Q766" s="7"/>
      <c r="R766" s="7"/>
      <c r="S766" s="7"/>
      <c r="T766" s="7"/>
    </row>
    <row r="767" ht="14.25" customHeight="1">
      <c r="A767" s="7"/>
      <c r="B767" s="7"/>
      <c r="C767" s="7"/>
      <c r="D767" s="7"/>
      <c r="E767" s="7"/>
      <c r="F767" s="7"/>
      <c r="G767" s="7"/>
      <c r="H767" s="7"/>
      <c r="I767" s="7"/>
      <c r="J767" s="7"/>
      <c r="K767" s="7"/>
      <c r="L767" s="7"/>
      <c r="M767" s="7"/>
      <c r="N767" s="7"/>
      <c r="O767" s="7"/>
      <c r="P767" s="7"/>
      <c r="Q767" s="7"/>
      <c r="R767" s="7"/>
      <c r="S767" s="7"/>
      <c r="T767" s="7"/>
    </row>
    <row r="768" ht="14.25" customHeight="1">
      <c r="A768" s="7"/>
      <c r="B768" s="7"/>
      <c r="C768" s="7"/>
      <c r="D768" s="7"/>
      <c r="E768" s="7"/>
      <c r="F768" s="7"/>
      <c r="G768" s="7"/>
      <c r="H768" s="7"/>
      <c r="I768" s="7"/>
      <c r="J768" s="7"/>
      <c r="K768" s="7"/>
      <c r="L768" s="7"/>
      <c r="M768" s="7"/>
      <c r="N768" s="7"/>
      <c r="O768" s="7"/>
      <c r="P768" s="7"/>
      <c r="Q768" s="7"/>
      <c r="R768" s="7"/>
      <c r="S768" s="7"/>
      <c r="T768" s="7"/>
    </row>
    <row r="769" ht="14.25" customHeight="1">
      <c r="A769" s="7"/>
      <c r="B769" s="7"/>
      <c r="C769" s="7"/>
      <c r="D769" s="7"/>
      <c r="E769" s="7"/>
      <c r="F769" s="7"/>
      <c r="G769" s="7"/>
      <c r="H769" s="7"/>
      <c r="I769" s="7"/>
      <c r="J769" s="7"/>
      <c r="K769" s="7"/>
      <c r="L769" s="7"/>
      <c r="M769" s="7"/>
      <c r="N769" s="7"/>
      <c r="O769" s="7"/>
      <c r="P769" s="7"/>
      <c r="Q769" s="7"/>
      <c r="R769" s="7"/>
      <c r="S769" s="7"/>
      <c r="T769" s="7"/>
    </row>
    <row r="770" ht="14.25" customHeight="1">
      <c r="A770" s="7"/>
      <c r="B770" s="7"/>
      <c r="C770" s="7"/>
      <c r="D770" s="7"/>
      <c r="E770" s="7"/>
      <c r="F770" s="7"/>
      <c r="G770" s="7"/>
      <c r="H770" s="7"/>
      <c r="I770" s="7"/>
      <c r="J770" s="7"/>
      <c r="K770" s="7"/>
      <c r="L770" s="7"/>
      <c r="M770" s="7"/>
      <c r="N770" s="7"/>
      <c r="O770" s="7"/>
      <c r="P770" s="7"/>
      <c r="Q770" s="7"/>
      <c r="R770" s="7"/>
      <c r="S770" s="7"/>
      <c r="T770" s="7"/>
    </row>
    <row r="771" ht="14.25" customHeight="1">
      <c r="A771" s="7"/>
      <c r="B771" s="7"/>
      <c r="C771" s="7"/>
      <c r="D771" s="7"/>
      <c r="E771" s="7"/>
      <c r="F771" s="7"/>
      <c r="G771" s="7"/>
      <c r="H771" s="7"/>
      <c r="I771" s="7"/>
      <c r="J771" s="7"/>
      <c r="K771" s="7"/>
      <c r="L771" s="7"/>
      <c r="M771" s="7"/>
      <c r="N771" s="7"/>
      <c r="O771" s="7"/>
      <c r="P771" s="7"/>
      <c r="Q771" s="7"/>
      <c r="R771" s="7"/>
      <c r="S771" s="7"/>
      <c r="T771" s="7"/>
    </row>
    <row r="772" ht="14.25" customHeight="1">
      <c r="A772" s="7"/>
      <c r="B772" s="7"/>
      <c r="C772" s="7"/>
      <c r="D772" s="7"/>
      <c r="E772" s="7"/>
      <c r="F772" s="7"/>
      <c r="G772" s="7"/>
      <c r="H772" s="7"/>
      <c r="I772" s="7"/>
      <c r="J772" s="7"/>
      <c r="K772" s="7"/>
      <c r="L772" s="7"/>
      <c r="M772" s="7"/>
      <c r="N772" s="7"/>
      <c r="O772" s="7"/>
      <c r="P772" s="7"/>
      <c r="Q772" s="7"/>
      <c r="R772" s="7"/>
      <c r="S772" s="7"/>
      <c r="T772" s="7"/>
    </row>
    <row r="773" ht="14.25" customHeight="1">
      <c r="A773" s="7"/>
      <c r="B773" s="7"/>
      <c r="C773" s="7"/>
      <c r="D773" s="7"/>
      <c r="E773" s="7"/>
      <c r="F773" s="7"/>
      <c r="G773" s="7"/>
      <c r="H773" s="7"/>
      <c r="I773" s="7"/>
      <c r="J773" s="7"/>
      <c r="K773" s="7"/>
      <c r="L773" s="7"/>
      <c r="M773" s="7"/>
      <c r="N773" s="7"/>
      <c r="O773" s="7"/>
      <c r="P773" s="7"/>
      <c r="Q773" s="7"/>
      <c r="R773" s="7"/>
      <c r="S773" s="7"/>
      <c r="T773" s="7"/>
    </row>
    <row r="774" ht="14.25" customHeight="1">
      <c r="A774" s="7"/>
      <c r="B774" s="7"/>
      <c r="C774" s="7"/>
      <c r="D774" s="7"/>
      <c r="E774" s="7"/>
      <c r="F774" s="7"/>
      <c r="G774" s="7"/>
      <c r="H774" s="7"/>
      <c r="I774" s="7"/>
      <c r="J774" s="7"/>
      <c r="K774" s="7"/>
      <c r="L774" s="7"/>
      <c r="M774" s="7"/>
      <c r="N774" s="7"/>
      <c r="O774" s="7"/>
      <c r="P774" s="7"/>
      <c r="Q774" s="7"/>
      <c r="R774" s="7"/>
      <c r="S774" s="7"/>
      <c r="T774" s="7"/>
    </row>
    <row r="775" ht="14.25" customHeight="1">
      <c r="A775" s="7"/>
      <c r="B775" s="7"/>
      <c r="C775" s="7"/>
      <c r="D775" s="7"/>
      <c r="E775" s="7"/>
      <c r="F775" s="7"/>
      <c r="G775" s="7"/>
      <c r="H775" s="7"/>
      <c r="I775" s="7"/>
      <c r="J775" s="7"/>
      <c r="K775" s="7"/>
      <c r="L775" s="7"/>
      <c r="M775" s="7"/>
      <c r="N775" s="7"/>
      <c r="O775" s="7"/>
      <c r="P775" s="7"/>
      <c r="Q775" s="7"/>
      <c r="R775" s="7"/>
      <c r="S775" s="7"/>
      <c r="T775" s="7"/>
    </row>
    <row r="776" ht="14.25" customHeight="1">
      <c r="A776" s="7"/>
      <c r="B776" s="7"/>
      <c r="C776" s="7"/>
      <c r="D776" s="7"/>
      <c r="E776" s="7"/>
      <c r="F776" s="7"/>
      <c r="G776" s="7"/>
      <c r="H776" s="7"/>
      <c r="I776" s="7"/>
      <c r="J776" s="7"/>
      <c r="K776" s="7"/>
      <c r="L776" s="7"/>
      <c r="M776" s="7"/>
      <c r="N776" s="7"/>
      <c r="O776" s="7"/>
      <c r="P776" s="7"/>
      <c r="Q776" s="7"/>
      <c r="R776" s="7"/>
      <c r="S776" s="7"/>
      <c r="T776" s="7"/>
    </row>
    <row r="777" ht="14.25" customHeight="1">
      <c r="A777" s="7"/>
      <c r="B777" s="7"/>
      <c r="C777" s="7"/>
      <c r="D777" s="7"/>
      <c r="E777" s="7"/>
      <c r="F777" s="7"/>
      <c r="G777" s="7"/>
      <c r="H777" s="7"/>
      <c r="I777" s="7"/>
      <c r="J777" s="7"/>
      <c r="K777" s="7"/>
      <c r="L777" s="7"/>
      <c r="M777" s="7"/>
      <c r="N777" s="7"/>
      <c r="O777" s="7"/>
      <c r="P777" s="7"/>
      <c r="Q777" s="7"/>
      <c r="R777" s="7"/>
      <c r="S777" s="7"/>
      <c r="T777" s="7"/>
    </row>
    <row r="778" ht="14.25" customHeight="1">
      <c r="A778" s="7"/>
      <c r="B778" s="7"/>
      <c r="C778" s="7"/>
      <c r="D778" s="7"/>
      <c r="E778" s="7"/>
      <c r="F778" s="7"/>
      <c r="G778" s="7"/>
      <c r="H778" s="7"/>
      <c r="I778" s="7"/>
      <c r="J778" s="7"/>
      <c r="K778" s="7"/>
      <c r="L778" s="7"/>
      <c r="M778" s="7"/>
      <c r="N778" s="7"/>
      <c r="O778" s="7"/>
      <c r="P778" s="7"/>
      <c r="Q778" s="7"/>
      <c r="R778" s="7"/>
      <c r="S778" s="7"/>
      <c r="T778" s="7"/>
    </row>
    <row r="779" ht="14.25" customHeight="1">
      <c r="A779" s="7"/>
      <c r="B779" s="7"/>
      <c r="C779" s="7"/>
      <c r="D779" s="7"/>
      <c r="E779" s="7"/>
      <c r="F779" s="7"/>
      <c r="G779" s="7"/>
      <c r="H779" s="7"/>
      <c r="I779" s="7"/>
      <c r="J779" s="7"/>
      <c r="K779" s="7"/>
      <c r="L779" s="7"/>
      <c r="M779" s="7"/>
      <c r="N779" s="7"/>
      <c r="O779" s="7"/>
      <c r="P779" s="7"/>
      <c r="Q779" s="7"/>
      <c r="R779" s="7"/>
      <c r="S779" s="7"/>
      <c r="T779" s="7"/>
    </row>
    <row r="780" ht="14.25" customHeight="1">
      <c r="A780" s="7"/>
      <c r="B780" s="7"/>
      <c r="C780" s="7"/>
      <c r="D780" s="7"/>
      <c r="E780" s="7"/>
      <c r="F780" s="7"/>
      <c r="G780" s="7"/>
      <c r="H780" s="7"/>
      <c r="I780" s="7"/>
      <c r="J780" s="7"/>
      <c r="K780" s="7"/>
      <c r="L780" s="7"/>
      <c r="M780" s="7"/>
      <c r="N780" s="7"/>
      <c r="O780" s="7"/>
      <c r="P780" s="7"/>
      <c r="Q780" s="7"/>
      <c r="R780" s="7"/>
      <c r="S780" s="7"/>
      <c r="T780" s="7"/>
    </row>
    <row r="781" ht="14.25" customHeight="1">
      <c r="A781" s="7"/>
      <c r="B781" s="7"/>
      <c r="C781" s="7"/>
      <c r="D781" s="7"/>
      <c r="E781" s="7"/>
      <c r="F781" s="7"/>
      <c r="G781" s="7"/>
      <c r="H781" s="7"/>
      <c r="I781" s="7"/>
      <c r="J781" s="7"/>
      <c r="K781" s="7"/>
      <c r="L781" s="7"/>
      <c r="M781" s="7"/>
      <c r="N781" s="7"/>
      <c r="O781" s="7"/>
      <c r="P781" s="7"/>
      <c r="Q781" s="7"/>
      <c r="R781" s="7"/>
      <c r="S781" s="7"/>
      <c r="T781" s="7"/>
    </row>
    <row r="782" ht="14.25" customHeight="1">
      <c r="A782" s="7"/>
      <c r="B782" s="7"/>
      <c r="C782" s="7"/>
      <c r="D782" s="7"/>
      <c r="E782" s="7"/>
      <c r="F782" s="7"/>
      <c r="G782" s="7"/>
      <c r="H782" s="7"/>
      <c r="I782" s="7"/>
      <c r="J782" s="7"/>
      <c r="K782" s="7"/>
      <c r="L782" s="7"/>
      <c r="M782" s="7"/>
      <c r="N782" s="7"/>
      <c r="O782" s="7"/>
      <c r="P782" s="7"/>
      <c r="Q782" s="7"/>
      <c r="R782" s="7"/>
      <c r="S782" s="7"/>
      <c r="T782" s="7"/>
    </row>
    <row r="783" ht="14.25" customHeight="1">
      <c r="A783" s="7"/>
      <c r="B783" s="7"/>
      <c r="C783" s="7"/>
      <c r="D783" s="7"/>
      <c r="E783" s="7"/>
      <c r="F783" s="7"/>
      <c r="G783" s="7"/>
      <c r="H783" s="7"/>
      <c r="I783" s="7"/>
      <c r="J783" s="7"/>
      <c r="K783" s="7"/>
      <c r="L783" s="7"/>
      <c r="M783" s="7"/>
      <c r="N783" s="7"/>
      <c r="O783" s="7"/>
      <c r="P783" s="7"/>
      <c r="Q783" s="7"/>
      <c r="R783" s="7"/>
      <c r="S783" s="7"/>
      <c r="T783" s="7"/>
    </row>
    <row r="784" ht="14.25" customHeight="1">
      <c r="A784" s="7"/>
      <c r="B784" s="7"/>
      <c r="C784" s="7"/>
      <c r="D784" s="7"/>
      <c r="E784" s="7"/>
      <c r="F784" s="7"/>
      <c r="G784" s="7"/>
      <c r="H784" s="7"/>
      <c r="I784" s="7"/>
      <c r="J784" s="7"/>
      <c r="K784" s="7"/>
      <c r="L784" s="7"/>
      <c r="M784" s="7"/>
      <c r="N784" s="7"/>
      <c r="O784" s="7"/>
      <c r="P784" s="7"/>
      <c r="Q784" s="7"/>
      <c r="R784" s="7"/>
      <c r="S784" s="7"/>
      <c r="T784" s="7"/>
    </row>
    <row r="785" ht="14.25" customHeight="1">
      <c r="A785" s="7"/>
      <c r="B785" s="7"/>
      <c r="C785" s="7"/>
      <c r="D785" s="7"/>
      <c r="E785" s="7"/>
      <c r="F785" s="7"/>
      <c r="G785" s="7"/>
      <c r="H785" s="7"/>
      <c r="I785" s="7"/>
      <c r="J785" s="7"/>
      <c r="K785" s="7"/>
      <c r="L785" s="7"/>
      <c r="M785" s="7"/>
      <c r="N785" s="7"/>
      <c r="O785" s="7"/>
      <c r="P785" s="7"/>
      <c r="Q785" s="7"/>
      <c r="R785" s="7"/>
      <c r="S785" s="7"/>
      <c r="T785" s="7"/>
    </row>
    <row r="786" ht="14.25" customHeight="1">
      <c r="A786" s="7"/>
      <c r="B786" s="7"/>
      <c r="C786" s="7"/>
      <c r="D786" s="7"/>
      <c r="E786" s="7"/>
      <c r="F786" s="7"/>
      <c r="G786" s="7"/>
      <c r="H786" s="7"/>
      <c r="I786" s="7"/>
      <c r="J786" s="7"/>
      <c r="K786" s="7"/>
      <c r="L786" s="7"/>
      <c r="M786" s="7"/>
      <c r="N786" s="7"/>
      <c r="O786" s="7"/>
      <c r="P786" s="7"/>
      <c r="Q786" s="7"/>
      <c r="R786" s="7"/>
      <c r="S786" s="7"/>
      <c r="T786" s="7"/>
    </row>
    <row r="787" ht="14.25" customHeight="1">
      <c r="A787" s="7"/>
      <c r="B787" s="7"/>
      <c r="C787" s="7"/>
      <c r="D787" s="7"/>
      <c r="E787" s="7"/>
      <c r="F787" s="7"/>
      <c r="G787" s="7"/>
      <c r="H787" s="7"/>
      <c r="I787" s="7"/>
      <c r="J787" s="7"/>
      <c r="K787" s="7"/>
      <c r="L787" s="7"/>
      <c r="M787" s="7"/>
      <c r="N787" s="7"/>
      <c r="O787" s="7"/>
      <c r="P787" s="7"/>
      <c r="Q787" s="7"/>
      <c r="R787" s="7"/>
      <c r="S787" s="7"/>
      <c r="T787" s="7"/>
    </row>
    <row r="788" ht="14.25" customHeight="1">
      <c r="A788" s="7"/>
      <c r="B788" s="7"/>
      <c r="C788" s="7"/>
      <c r="D788" s="7"/>
      <c r="E788" s="7"/>
      <c r="F788" s="7"/>
      <c r="G788" s="7"/>
      <c r="H788" s="7"/>
      <c r="I788" s="7"/>
      <c r="J788" s="7"/>
      <c r="K788" s="7"/>
      <c r="L788" s="7"/>
      <c r="M788" s="7"/>
      <c r="N788" s="7"/>
      <c r="O788" s="7"/>
      <c r="P788" s="7"/>
      <c r="Q788" s="7"/>
      <c r="R788" s="7"/>
      <c r="S788" s="7"/>
      <c r="T788" s="7"/>
    </row>
    <row r="789" ht="14.25" customHeight="1">
      <c r="A789" s="7"/>
      <c r="B789" s="7"/>
      <c r="C789" s="7"/>
      <c r="D789" s="7"/>
      <c r="E789" s="7"/>
      <c r="F789" s="7"/>
      <c r="G789" s="7"/>
      <c r="H789" s="7"/>
      <c r="I789" s="7"/>
      <c r="J789" s="7"/>
      <c r="K789" s="7"/>
      <c r="L789" s="7"/>
      <c r="M789" s="7"/>
      <c r="N789" s="7"/>
      <c r="O789" s="7"/>
      <c r="P789" s="7"/>
      <c r="Q789" s="7"/>
      <c r="R789" s="7"/>
      <c r="S789" s="7"/>
      <c r="T789" s="7"/>
    </row>
    <row r="790" ht="14.25" customHeight="1">
      <c r="A790" s="7"/>
      <c r="B790" s="7"/>
      <c r="C790" s="7"/>
      <c r="D790" s="7"/>
      <c r="E790" s="7"/>
      <c r="F790" s="7"/>
      <c r="G790" s="7"/>
      <c r="H790" s="7"/>
      <c r="I790" s="7"/>
      <c r="J790" s="7"/>
      <c r="K790" s="7"/>
      <c r="L790" s="7"/>
      <c r="M790" s="7"/>
      <c r="N790" s="7"/>
      <c r="O790" s="7"/>
      <c r="P790" s="7"/>
      <c r="Q790" s="7"/>
      <c r="R790" s="7"/>
      <c r="S790" s="7"/>
      <c r="T790" s="7"/>
    </row>
    <row r="791" ht="14.25" customHeight="1">
      <c r="A791" s="7"/>
      <c r="B791" s="7"/>
      <c r="C791" s="7"/>
      <c r="D791" s="7"/>
      <c r="E791" s="7"/>
      <c r="F791" s="7"/>
      <c r="G791" s="7"/>
      <c r="H791" s="7"/>
      <c r="I791" s="7"/>
      <c r="J791" s="7"/>
      <c r="K791" s="7"/>
      <c r="L791" s="7"/>
      <c r="M791" s="7"/>
      <c r="N791" s="7"/>
      <c r="O791" s="7"/>
      <c r="P791" s="7"/>
      <c r="Q791" s="7"/>
      <c r="R791" s="7"/>
      <c r="S791" s="7"/>
      <c r="T791" s="7"/>
    </row>
    <row r="792" ht="14.25" customHeight="1">
      <c r="A792" s="7"/>
      <c r="B792" s="7"/>
      <c r="C792" s="7"/>
      <c r="D792" s="7"/>
      <c r="E792" s="7"/>
      <c r="F792" s="7"/>
      <c r="G792" s="7"/>
      <c r="H792" s="7"/>
      <c r="I792" s="7"/>
      <c r="J792" s="7"/>
      <c r="K792" s="7"/>
      <c r="L792" s="7"/>
      <c r="M792" s="7"/>
      <c r="N792" s="7"/>
      <c r="O792" s="7"/>
      <c r="P792" s="7"/>
      <c r="Q792" s="7"/>
      <c r="R792" s="7"/>
      <c r="S792" s="7"/>
      <c r="T792" s="7"/>
    </row>
    <row r="793" ht="14.25" customHeight="1">
      <c r="A793" s="7"/>
      <c r="B793" s="7"/>
      <c r="C793" s="7"/>
      <c r="D793" s="7"/>
      <c r="E793" s="7"/>
      <c r="F793" s="7"/>
      <c r="G793" s="7"/>
      <c r="H793" s="7"/>
      <c r="I793" s="7"/>
      <c r="J793" s="7"/>
      <c r="K793" s="7"/>
      <c r="L793" s="7"/>
      <c r="M793" s="7"/>
      <c r="N793" s="7"/>
      <c r="O793" s="7"/>
      <c r="P793" s="7"/>
      <c r="Q793" s="7"/>
      <c r="R793" s="7"/>
      <c r="S793" s="7"/>
      <c r="T793" s="7"/>
    </row>
    <row r="794" ht="14.25" customHeight="1">
      <c r="A794" s="7"/>
      <c r="B794" s="7"/>
      <c r="C794" s="7"/>
      <c r="D794" s="7"/>
      <c r="E794" s="7"/>
      <c r="F794" s="7"/>
      <c r="G794" s="7"/>
      <c r="H794" s="7"/>
      <c r="I794" s="7"/>
      <c r="J794" s="7"/>
      <c r="K794" s="7"/>
      <c r="L794" s="7"/>
      <c r="M794" s="7"/>
      <c r="N794" s="7"/>
      <c r="O794" s="7"/>
      <c r="P794" s="7"/>
      <c r="Q794" s="7"/>
      <c r="R794" s="7"/>
      <c r="S794" s="7"/>
      <c r="T794" s="7"/>
    </row>
    <row r="795" ht="14.25" customHeight="1">
      <c r="A795" s="7"/>
      <c r="B795" s="7"/>
      <c r="C795" s="7"/>
      <c r="D795" s="7"/>
      <c r="E795" s="7"/>
      <c r="F795" s="7"/>
      <c r="G795" s="7"/>
      <c r="H795" s="7"/>
      <c r="I795" s="7"/>
      <c r="J795" s="7"/>
      <c r="K795" s="7"/>
      <c r="L795" s="7"/>
      <c r="M795" s="7"/>
      <c r="N795" s="7"/>
      <c r="O795" s="7"/>
      <c r="P795" s="7"/>
      <c r="Q795" s="7"/>
      <c r="R795" s="7"/>
      <c r="S795" s="7"/>
      <c r="T795" s="7"/>
    </row>
    <row r="796" ht="14.25" customHeight="1">
      <c r="A796" s="7"/>
      <c r="B796" s="7"/>
      <c r="C796" s="7"/>
      <c r="D796" s="7"/>
      <c r="E796" s="7"/>
      <c r="F796" s="7"/>
      <c r="G796" s="7"/>
      <c r="H796" s="7"/>
      <c r="I796" s="7"/>
      <c r="J796" s="7"/>
      <c r="K796" s="7"/>
      <c r="L796" s="7"/>
      <c r="M796" s="7"/>
      <c r="N796" s="7"/>
      <c r="O796" s="7"/>
      <c r="P796" s="7"/>
      <c r="Q796" s="7"/>
      <c r="R796" s="7"/>
      <c r="S796" s="7"/>
      <c r="T796" s="7"/>
    </row>
    <row r="797" ht="14.25" customHeight="1">
      <c r="A797" s="7"/>
      <c r="B797" s="7"/>
      <c r="C797" s="7"/>
      <c r="D797" s="7"/>
      <c r="E797" s="7"/>
      <c r="F797" s="7"/>
      <c r="G797" s="7"/>
      <c r="H797" s="7"/>
      <c r="I797" s="7"/>
      <c r="J797" s="7"/>
      <c r="K797" s="7"/>
      <c r="L797" s="7"/>
      <c r="M797" s="7"/>
      <c r="N797" s="7"/>
      <c r="O797" s="7"/>
      <c r="P797" s="7"/>
      <c r="Q797" s="7"/>
      <c r="R797" s="7"/>
      <c r="S797" s="7"/>
      <c r="T797" s="7"/>
    </row>
    <row r="798" ht="14.25" customHeight="1">
      <c r="A798" s="7"/>
      <c r="B798" s="7"/>
      <c r="C798" s="7"/>
      <c r="D798" s="7"/>
      <c r="E798" s="7"/>
      <c r="F798" s="7"/>
      <c r="G798" s="7"/>
      <c r="H798" s="7"/>
      <c r="I798" s="7"/>
      <c r="J798" s="7"/>
      <c r="K798" s="7"/>
      <c r="L798" s="7"/>
      <c r="M798" s="7"/>
      <c r="N798" s="7"/>
      <c r="O798" s="7"/>
      <c r="P798" s="7"/>
      <c r="Q798" s="7"/>
      <c r="R798" s="7"/>
      <c r="S798" s="7"/>
      <c r="T798" s="7"/>
    </row>
    <row r="799" ht="14.25" customHeight="1">
      <c r="A799" s="7"/>
      <c r="B799" s="7"/>
      <c r="C799" s="7"/>
      <c r="D799" s="7"/>
      <c r="E799" s="7"/>
      <c r="F799" s="7"/>
      <c r="G799" s="7"/>
      <c r="H799" s="7"/>
      <c r="I799" s="7"/>
      <c r="J799" s="7"/>
      <c r="K799" s="7"/>
      <c r="L799" s="7"/>
      <c r="M799" s="7"/>
      <c r="N799" s="7"/>
      <c r="O799" s="7"/>
      <c r="P799" s="7"/>
      <c r="Q799" s="7"/>
      <c r="R799" s="7"/>
      <c r="S799" s="7"/>
      <c r="T799" s="7"/>
    </row>
    <row r="800" ht="14.25" customHeight="1">
      <c r="A800" s="7"/>
      <c r="B800" s="7"/>
      <c r="C800" s="7"/>
      <c r="D800" s="7"/>
      <c r="E800" s="7"/>
      <c r="F800" s="7"/>
      <c r="G800" s="7"/>
      <c r="H800" s="7"/>
      <c r="I800" s="7"/>
      <c r="J800" s="7"/>
      <c r="K800" s="7"/>
      <c r="L800" s="7"/>
      <c r="M800" s="7"/>
      <c r="N800" s="7"/>
      <c r="O800" s="7"/>
      <c r="P800" s="7"/>
      <c r="Q800" s="7"/>
      <c r="R800" s="7"/>
      <c r="S800" s="7"/>
      <c r="T800" s="7"/>
    </row>
    <row r="801" ht="14.25" customHeight="1">
      <c r="A801" s="7"/>
      <c r="B801" s="7"/>
      <c r="C801" s="7"/>
      <c r="D801" s="7"/>
      <c r="E801" s="7"/>
      <c r="F801" s="7"/>
      <c r="G801" s="7"/>
      <c r="H801" s="7"/>
      <c r="I801" s="7"/>
      <c r="J801" s="7"/>
      <c r="K801" s="7"/>
      <c r="L801" s="7"/>
      <c r="M801" s="7"/>
      <c r="N801" s="7"/>
      <c r="O801" s="7"/>
      <c r="P801" s="7"/>
      <c r="Q801" s="7"/>
      <c r="R801" s="7"/>
      <c r="S801" s="7"/>
      <c r="T801" s="7"/>
    </row>
    <row r="802" ht="14.25" customHeight="1">
      <c r="A802" s="7"/>
      <c r="B802" s="7"/>
      <c r="C802" s="7"/>
      <c r="D802" s="7"/>
      <c r="E802" s="7"/>
      <c r="F802" s="7"/>
      <c r="G802" s="7"/>
      <c r="H802" s="7"/>
      <c r="I802" s="7"/>
      <c r="J802" s="7"/>
      <c r="K802" s="7"/>
      <c r="L802" s="7"/>
      <c r="M802" s="7"/>
      <c r="N802" s="7"/>
      <c r="O802" s="7"/>
      <c r="P802" s="7"/>
      <c r="Q802" s="7"/>
      <c r="R802" s="7"/>
      <c r="S802" s="7"/>
      <c r="T802" s="7"/>
    </row>
    <row r="803" ht="14.25" customHeight="1">
      <c r="A803" s="7"/>
      <c r="B803" s="7"/>
      <c r="C803" s="7"/>
      <c r="D803" s="7"/>
      <c r="E803" s="7"/>
      <c r="F803" s="7"/>
      <c r="G803" s="7"/>
      <c r="H803" s="7"/>
      <c r="I803" s="7"/>
      <c r="J803" s="7"/>
      <c r="K803" s="7"/>
      <c r="L803" s="7"/>
      <c r="M803" s="7"/>
      <c r="N803" s="7"/>
      <c r="O803" s="7"/>
      <c r="P803" s="7"/>
      <c r="Q803" s="7"/>
      <c r="R803" s="7"/>
      <c r="S803" s="7"/>
      <c r="T803" s="7"/>
    </row>
    <row r="804" ht="14.25" customHeight="1">
      <c r="A804" s="7"/>
      <c r="B804" s="7"/>
      <c r="C804" s="7"/>
      <c r="D804" s="7"/>
      <c r="E804" s="7"/>
      <c r="F804" s="7"/>
      <c r="G804" s="7"/>
      <c r="H804" s="7"/>
      <c r="I804" s="7"/>
      <c r="J804" s="7"/>
      <c r="K804" s="7"/>
      <c r="L804" s="7"/>
      <c r="M804" s="7"/>
      <c r="N804" s="7"/>
      <c r="O804" s="7"/>
      <c r="P804" s="7"/>
      <c r="Q804" s="7"/>
      <c r="R804" s="7"/>
      <c r="S804" s="7"/>
      <c r="T804" s="7"/>
    </row>
    <row r="805" ht="14.25" customHeight="1">
      <c r="A805" s="7"/>
      <c r="B805" s="7"/>
      <c r="C805" s="7"/>
      <c r="D805" s="7"/>
      <c r="E805" s="7"/>
      <c r="F805" s="7"/>
      <c r="G805" s="7"/>
      <c r="H805" s="7"/>
      <c r="I805" s="7"/>
      <c r="J805" s="7"/>
      <c r="K805" s="7"/>
      <c r="L805" s="7"/>
      <c r="M805" s="7"/>
      <c r="N805" s="7"/>
      <c r="O805" s="7"/>
      <c r="P805" s="7"/>
      <c r="Q805" s="7"/>
      <c r="R805" s="7"/>
      <c r="S805" s="7"/>
      <c r="T805" s="7"/>
    </row>
    <row r="806" ht="14.25" customHeight="1">
      <c r="A806" s="7"/>
      <c r="B806" s="7"/>
      <c r="C806" s="7"/>
      <c r="D806" s="7"/>
      <c r="E806" s="7"/>
      <c r="F806" s="7"/>
      <c r="G806" s="7"/>
      <c r="H806" s="7"/>
      <c r="I806" s="7"/>
      <c r="J806" s="7"/>
      <c r="K806" s="7"/>
      <c r="L806" s="7"/>
      <c r="M806" s="7"/>
      <c r="N806" s="7"/>
      <c r="O806" s="7"/>
      <c r="P806" s="7"/>
      <c r="Q806" s="7"/>
      <c r="R806" s="7"/>
      <c r="S806" s="7"/>
      <c r="T806" s="7"/>
    </row>
    <row r="807" ht="14.25" customHeight="1">
      <c r="A807" s="7"/>
      <c r="B807" s="7"/>
      <c r="C807" s="7"/>
      <c r="D807" s="7"/>
      <c r="E807" s="7"/>
      <c r="F807" s="7"/>
      <c r="G807" s="7"/>
      <c r="H807" s="7"/>
      <c r="I807" s="7"/>
      <c r="J807" s="7"/>
      <c r="K807" s="7"/>
      <c r="L807" s="7"/>
      <c r="M807" s="7"/>
      <c r="N807" s="7"/>
      <c r="O807" s="7"/>
      <c r="P807" s="7"/>
      <c r="Q807" s="7"/>
      <c r="R807" s="7"/>
      <c r="S807" s="7"/>
      <c r="T807" s="7"/>
    </row>
    <row r="808" ht="14.25" customHeight="1">
      <c r="A808" s="7"/>
      <c r="B808" s="7"/>
      <c r="C808" s="7"/>
      <c r="D808" s="7"/>
      <c r="E808" s="7"/>
      <c r="F808" s="7"/>
      <c r="G808" s="7"/>
      <c r="H808" s="7"/>
      <c r="I808" s="7"/>
      <c r="J808" s="7"/>
      <c r="K808" s="7"/>
      <c r="L808" s="7"/>
      <c r="M808" s="7"/>
      <c r="N808" s="7"/>
      <c r="O808" s="7"/>
      <c r="P808" s="7"/>
      <c r="Q808" s="7"/>
      <c r="R808" s="7"/>
      <c r="S808" s="7"/>
      <c r="T808" s="7"/>
    </row>
    <row r="809" ht="14.25" customHeight="1">
      <c r="A809" s="7"/>
      <c r="B809" s="7"/>
      <c r="C809" s="7"/>
      <c r="D809" s="7"/>
      <c r="E809" s="7"/>
      <c r="F809" s="7"/>
      <c r="G809" s="7"/>
      <c r="H809" s="7"/>
      <c r="I809" s="7"/>
      <c r="J809" s="7"/>
      <c r="K809" s="7"/>
      <c r="L809" s="7"/>
      <c r="M809" s="7"/>
      <c r="N809" s="7"/>
      <c r="O809" s="7"/>
      <c r="P809" s="7"/>
      <c r="Q809" s="7"/>
      <c r="R809" s="7"/>
      <c r="S809" s="7"/>
      <c r="T809" s="7"/>
    </row>
    <row r="810" ht="14.25" customHeight="1">
      <c r="A810" s="7"/>
      <c r="B810" s="7"/>
      <c r="C810" s="7"/>
      <c r="D810" s="7"/>
      <c r="E810" s="7"/>
      <c r="F810" s="7"/>
      <c r="G810" s="7"/>
      <c r="H810" s="7"/>
      <c r="I810" s="7"/>
      <c r="J810" s="7"/>
      <c r="K810" s="7"/>
      <c r="L810" s="7"/>
      <c r="M810" s="7"/>
      <c r="N810" s="7"/>
      <c r="O810" s="7"/>
      <c r="P810" s="7"/>
      <c r="Q810" s="7"/>
      <c r="R810" s="7"/>
      <c r="S810" s="7"/>
      <c r="T810" s="7"/>
    </row>
    <row r="811" ht="14.25" customHeight="1">
      <c r="A811" s="7"/>
      <c r="B811" s="7"/>
      <c r="C811" s="7"/>
      <c r="D811" s="7"/>
      <c r="E811" s="7"/>
      <c r="F811" s="7"/>
      <c r="G811" s="7"/>
      <c r="H811" s="7"/>
      <c r="I811" s="7"/>
      <c r="J811" s="7"/>
      <c r="K811" s="7"/>
      <c r="L811" s="7"/>
      <c r="M811" s="7"/>
      <c r="N811" s="7"/>
      <c r="O811" s="7"/>
      <c r="P811" s="7"/>
      <c r="Q811" s="7"/>
      <c r="R811" s="7"/>
      <c r="S811" s="7"/>
      <c r="T811" s="7"/>
    </row>
    <row r="812" ht="14.25" customHeight="1">
      <c r="A812" s="7"/>
      <c r="B812" s="7"/>
      <c r="C812" s="7"/>
      <c r="D812" s="7"/>
      <c r="E812" s="7"/>
      <c r="F812" s="7"/>
      <c r="G812" s="7"/>
      <c r="H812" s="7"/>
      <c r="I812" s="7"/>
      <c r="J812" s="7"/>
      <c r="K812" s="7"/>
      <c r="L812" s="7"/>
      <c r="M812" s="7"/>
      <c r="N812" s="7"/>
      <c r="O812" s="7"/>
      <c r="P812" s="7"/>
      <c r="Q812" s="7"/>
      <c r="R812" s="7"/>
      <c r="S812" s="7"/>
      <c r="T812" s="7"/>
    </row>
    <row r="813" ht="14.25" customHeight="1">
      <c r="A813" s="7"/>
      <c r="B813" s="7"/>
      <c r="C813" s="7"/>
      <c r="D813" s="7"/>
      <c r="E813" s="7"/>
      <c r="F813" s="7"/>
      <c r="G813" s="7"/>
      <c r="H813" s="7"/>
      <c r="I813" s="7"/>
      <c r="J813" s="7"/>
      <c r="K813" s="7"/>
      <c r="L813" s="7"/>
      <c r="M813" s="7"/>
      <c r="N813" s="7"/>
      <c r="O813" s="7"/>
      <c r="P813" s="7"/>
      <c r="Q813" s="7"/>
      <c r="R813" s="7"/>
      <c r="S813" s="7"/>
      <c r="T813" s="7"/>
    </row>
    <row r="814" ht="14.25" customHeight="1">
      <c r="A814" s="7"/>
      <c r="B814" s="7"/>
      <c r="C814" s="7"/>
      <c r="D814" s="7"/>
      <c r="E814" s="7"/>
      <c r="F814" s="7"/>
      <c r="G814" s="7"/>
      <c r="H814" s="7"/>
      <c r="I814" s="7"/>
      <c r="J814" s="7"/>
      <c r="K814" s="7"/>
      <c r="L814" s="7"/>
      <c r="M814" s="7"/>
      <c r="N814" s="7"/>
      <c r="O814" s="7"/>
      <c r="P814" s="7"/>
      <c r="Q814" s="7"/>
      <c r="R814" s="7"/>
      <c r="S814" s="7"/>
      <c r="T814" s="7"/>
    </row>
    <row r="815" ht="14.25" customHeight="1">
      <c r="A815" s="7"/>
      <c r="B815" s="7"/>
      <c r="C815" s="7"/>
      <c r="D815" s="7"/>
      <c r="E815" s="7"/>
      <c r="F815" s="7"/>
      <c r="G815" s="7"/>
      <c r="H815" s="7"/>
      <c r="I815" s="7"/>
      <c r="J815" s="7"/>
      <c r="K815" s="7"/>
      <c r="L815" s="7"/>
      <c r="M815" s="7"/>
      <c r="N815" s="7"/>
      <c r="O815" s="7"/>
      <c r="P815" s="7"/>
      <c r="Q815" s="7"/>
      <c r="R815" s="7"/>
      <c r="S815" s="7"/>
      <c r="T815" s="7"/>
    </row>
    <row r="816" ht="14.25" customHeight="1">
      <c r="A816" s="7"/>
      <c r="B816" s="7"/>
      <c r="C816" s="7"/>
      <c r="D816" s="7"/>
      <c r="E816" s="7"/>
      <c r="F816" s="7"/>
      <c r="G816" s="7"/>
      <c r="H816" s="7"/>
      <c r="I816" s="7"/>
      <c r="J816" s="7"/>
      <c r="K816" s="7"/>
      <c r="L816" s="7"/>
      <c r="M816" s="7"/>
      <c r="N816" s="7"/>
      <c r="O816" s="7"/>
      <c r="P816" s="7"/>
      <c r="Q816" s="7"/>
      <c r="R816" s="7"/>
      <c r="S816" s="7"/>
      <c r="T816" s="7"/>
    </row>
    <row r="817" ht="14.25" customHeight="1">
      <c r="A817" s="7"/>
      <c r="B817" s="7"/>
      <c r="C817" s="7"/>
      <c r="D817" s="7"/>
      <c r="E817" s="7"/>
      <c r="F817" s="7"/>
      <c r="G817" s="7"/>
      <c r="H817" s="7"/>
      <c r="I817" s="7"/>
      <c r="J817" s="7"/>
      <c r="K817" s="7"/>
      <c r="L817" s="7"/>
      <c r="M817" s="7"/>
      <c r="N817" s="7"/>
      <c r="O817" s="7"/>
      <c r="P817" s="7"/>
      <c r="Q817" s="7"/>
      <c r="R817" s="7"/>
      <c r="S817" s="7"/>
      <c r="T817" s="7"/>
    </row>
    <row r="818" ht="14.25" customHeight="1">
      <c r="A818" s="7"/>
      <c r="B818" s="7"/>
      <c r="C818" s="7"/>
      <c r="D818" s="7"/>
      <c r="E818" s="7"/>
      <c r="F818" s="7"/>
      <c r="G818" s="7"/>
      <c r="H818" s="7"/>
      <c r="I818" s="7"/>
      <c r="J818" s="7"/>
      <c r="K818" s="7"/>
      <c r="L818" s="7"/>
      <c r="M818" s="7"/>
      <c r="N818" s="7"/>
      <c r="O818" s="7"/>
      <c r="P818" s="7"/>
      <c r="Q818" s="7"/>
      <c r="R818" s="7"/>
      <c r="S818" s="7"/>
      <c r="T818" s="7"/>
    </row>
    <row r="819" ht="14.25" customHeight="1">
      <c r="A819" s="7"/>
      <c r="B819" s="7"/>
      <c r="C819" s="7"/>
      <c r="D819" s="7"/>
      <c r="E819" s="7"/>
      <c r="F819" s="7"/>
      <c r="G819" s="7"/>
      <c r="H819" s="7"/>
      <c r="I819" s="7"/>
      <c r="J819" s="7"/>
      <c r="K819" s="7"/>
      <c r="L819" s="7"/>
      <c r="M819" s="7"/>
      <c r="N819" s="7"/>
      <c r="O819" s="7"/>
      <c r="P819" s="7"/>
      <c r="Q819" s="7"/>
      <c r="R819" s="7"/>
      <c r="S819" s="7"/>
      <c r="T819" s="7"/>
    </row>
    <row r="820" ht="14.25" customHeight="1">
      <c r="A820" s="7"/>
      <c r="B820" s="7"/>
      <c r="C820" s="7"/>
      <c r="D820" s="7"/>
      <c r="E820" s="7"/>
      <c r="F820" s="7"/>
      <c r="G820" s="7"/>
      <c r="H820" s="7"/>
      <c r="I820" s="7"/>
      <c r="J820" s="7"/>
      <c r="K820" s="7"/>
      <c r="L820" s="7"/>
      <c r="M820" s="7"/>
      <c r="N820" s="7"/>
      <c r="O820" s="7"/>
      <c r="P820" s="7"/>
      <c r="Q820" s="7"/>
      <c r="R820" s="7"/>
      <c r="S820" s="7"/>
      <c r="T820" s="7"/>
    </row>
    <row r="821" ht="14.25" customHeight="1">
      <c r="A821" s="7"/>
      <c r="B821" s="7"/>
      <c r="C821" s="7"/>
      <c r="D821" s="7"/>
      <c r="E821" s="7"/>
      <c r="F821" s="7"/>
      <c r="G821" s="7"/>
      <c r="H821" s="7"/>
      <c r="I821" s="7"/>
      <c r="J821" s="7"/>
      <c r="K821" s="7"/>
      <c r="L821" s="7"/>
      <c r="M821" s="7"/>
      <c r="N821" s="7"/>
      <c r="O821" s="7"/>
      <c r="P821" s="7"/>
      <c r="Q821" s="7"/>
      <c r="R821" s="7"/>
      <c r="S821" s="7"/>
      <c r="T821" s="7"/>
    </row>
    <row r="822" ht="14.25" customHeight="1">
      <c r="A822" s="7"/>
      <c r="B822" s="7"/>
      <c r="C822" s="7"/>
      <c r="D822" s="7"/>
      <c r="E822" s="7"/>
      <c r="F822" s="7"/>
      <c r="G822" s="7"/>
      <c r="H822" s="7"/>
      <c r="I822" s="7"/>
      <c r="J822" s="7"/>
      <c r="K822" s="7"/>
      <c r="L822" s="7"/>
      <c r="M822" s="7"/>
      <c r="N822" s="7"/>
      <c r="O822" s="7"/>
      <c r="P822" s="7"/>
      <c r="Q822" s="7"/>
      <c r="R822" s="7"/>
      <c r="S822" s="7"/>
      <c r="T822" s="7"/>
    </row>
    <row r="823" ht="14.25" customHeight="1">
      <c r="A823" s="7"/>
      <c r="B823" s="7"/>
      <c r="C823" s="7"/>
      <c r="D823" s="7"/>
      <c r="E823" s="7"/>
      <c r="F823" s="7"/>
      <c r="G823" s="7"/>
      <c r="H823" s="7"/>
      <c r="I823" s="7"/>
      <c r="J823" s="7"/>
      <c r="K823" s="7"/>
      <c r="L823" s="7"/>
      <c r="M823" s="7"/>
      <c r="N823" s="7"/>
      <c r="O823" s="7"/>
      <c r="P823" s="7"/>
      <c r="Q823" s="7"/>
      <c r="R823" s="7"/>
      <c r="S823" s="7"/>
      <c r="T823" s="7"/>
    </row>
    <row r="824" ht="14.25" customHeight="1">
      <c r="A824" s="7"/>
      <c r="B824" s="7"/>
      <c r="C824" s="7"/>
      <c r="D824" s="7"/>
      <c r="E824" s="7"/>
      <c r="F824" s="7"/>
      <c r="G824" s="7"/>
      <c r="H824" s="7"/>
      <c r="I824" s="7"/>
      <c r="J824" s="7"/>
      <c r="K824" s="7"/>
      <c r="L824" s="7"/>
      <c r="M824" s="7"/>
      <c r="N824" s="7"/>
      <c r="O824" s="7"/>
      <c r="P824" s="7"/>
      <c r="Q824" s="7"/>
      <c r="R824" s="7"/>
      <c r="S824" s="7"/>
      <c r="T824" s="7"/>
    </row>
    <row r="825" ht="14.25" customHeight="1">
      <c r="A825" s="7"/>
      <c r="B825" s="7"/>
      <c r="C825" s="7"/>
      <c r="D825" s="7"/>
      <c r="E825" s="7"/>
      <c r="F825" s="7"/>
      <c r="G825" s="7"/>
      <c r="H825" s="7"/>
      <c r="I825" s="7"/>
      <c r="J825" s="7"/>
      <c r="K825" s="7"/>
      <c r="L825" s="7"/>
      <c r="M825" s="7"/>
      <c r="N825" s="7"/>
      <c r="O825" s="7"/>
      <c r="P825" s="7"/>
      <c r="Q825" s="7"/>
      <c r="R825" s="7"/>
      <c r="S825" s="7"/>
      <c r="T825" s="7"/>
    </row>
    <row r="826" ht="14.25" customHeight="1">
      <c r="A826" s="7"/>
      <c r="B826" s="7"/>
      <c r="C826" s="7"/>
      <c r="D826" s="7"/>
      <c r="E826" s="7"/>
      <c r="F826" s="7"/>
      <c r="G826" s="7"/>
      <c r="H826" s="7"/>
      <c r="I826" s="7"/>
      <c r="J826" s="7"/>
      <c r="K826" s="7"/>
      <c r="L826" s="7"/>
      <c r="M826" s="7"/>
      <c r="N826" s="7"/>
      <c r="O826" s="7"/>
      <c r="P826" s="7"/>
      <c r="Q826" s="7"/>
      <c r="R826" s="7"/>
      <c r="S826" s="7"/>
      <c r="T826" s="7"/>
    </row>
    <row r="827" ht="14.25" customHeight="1">
      <c r="A827" s="7"/>
      <c r="B827" s="7"/>
      <c r="C827" s="7"/>
      <c r="D827" s="7"/>
      <c r="E827" s="7"/>
      <c r="F827" s="7"/>
      <c r="G827" s="7"/>
      <c r="H827" s="7"/>
      <c r="I827" s="7"/>
      <c r="J827" s="7"/>
      <c r="K827" s="7"/>
      <c r="L827" s="7"/>
      <c r="M827" s="7"/>
      <c r="N827" s="7"/>
      <c r="O827" s="7"/>
      <c r="P827" s="7"/>
      <c r="Q827" s="7"/>
      <c r="R827" s="7"/>
      <c r="S827" s="7"/>
      <c r="T827" s="7"/>
    </row>
    <row r="828" ht="14.25" customHeight="1">
      <c r="A828" s="7"/>
      <c r="B828" s="7"/>
      <c r="C828" s="7"/>
      <c r="D828" s="7"/>
      <c r="E828" s="7"/>
      <c r="F828" s="7"/>
      <c r="G828" s="7"/>
      <c r="H828" s="7"/>
      <c r="I828" s="7"/>
      <c r="J828" s="7"/>
      <c r="K828" s="7"/>
      <c r="L828" s="7"/>
      <c r="M828" s="7"/>
      <c r="N828" s="7"/>
      <c r="O828" s="7"/>
      <c r="P828" s="7"/>
      <c r="Q828" s="7"/>
      <c r="R828" s="7"/>
      <c r="S828" s="7"/>
      <c r="T828" s="7"/>
    </row>
    <row r="829" ht="14.25" customHeight="1">
      <c r="A829" s="7"/>
      <c r="B829" s="7"/>
      <c r="C829" s="7"/>
      <c r="D829" s="7"/>
      <c r="E829" s="7"/>
      <c r="F829" s="7"/>
      <c r="G829" s="7"/>
      <c r="H829" s="7"/>
      <c r="I829" s="7"/>
      <c r="J829" s="7"/>
      <c r="K829" s="7"/>
      <c r="L829" s="7"/>
      <c r="M829" s="7"/>
      <c r="N829" s="7"/>
      <c r="O829" s="7"/>
      <c r="P829" s="7"/>
      <c r="Q829" s="7"/>
      <c r="R829" s="7"/>
      <c r="S829" s="7"/>
      <c r="T829" s="7"/>
    </row>
    <row r="830" ht="14.25" customHeight="1">
      <c r="A830" s="7"/>
      <c r="B830" s="7"/>
      <c r="C830" s="7"/>
      <c r="D830" s="7"/>
      <c r="E830" s="7"/>
      <c r="F830" s="7"/>
      <c r="G830" s="7"/>
      <c r="H830" s="7"/>
      <c r="I830" s="7"/>
      <c r="J830" s="7"/>
      <c r="K830" s="7"/>
      <c r="L830" s="7"/>
      <c r="M830" s="7"/>
      <c r="N830" s="7"/>
      <c r="O830" s="7"/>
      <c r="P830" s="7"/>
      <c r="Q830" s="7"/>
      <c r="R830" s="7"/>
      <c r="S830" s="7"/>
      <c r="T830" s="7"/>
    </row>
    <row r="831" ht="14.25" customHeight="1">
      <c r="A831" s="7"/>
      <c r="B831" s="7"/>
      <c r="C831" s="7"/>
      <c r="D831" s="7"/>
      <c r="E831" s="7"/>
      <c r="F831" s="7"/>
      <c r="G831" s="7"/>
      <c r="H831" s="7"/>
      <c r="I831" s="7"/>
      <c r="J831" s="7"/>
      <c r="K831" s="7"/>
      <c r="L831" s="7"/>
      <c r="M831" s="7"/>
      <c r="N831" s="7"/>
      <c r="O831" s="7"/>
      <c r="P831" s="7"/>
      <c r="Q831" s="7"/>
      <c r="R831" s="7"/>
      <c r="S831" s="7"/>
      <c r="T831" s="7"/>
    </row>
    <row r="832" ht="14.25" customHeight="1">
      <c r="A832" s="7"/>
      <c r="B832" s="7"/>
      <c r="C832" s="7"/>
      <c r="D832" s="7"/>
      <c r="E832" s="7"/>
      <c r="F832" s="7"/>
      <c r="G832" s="7"/>
      <c r="H832" s="7"/>
      <c r="I832" s="7"/>
      <c r="J832" s="7"/>
      <c r="K832" s="7"/>
      <c r="L832" s="7"/>
      <c r="M832" s="7"/>
      <c r="N832" s="7"/>
      <c r="O832" s="7"/>
      <c r="P832" s="7"/>
      <c r="Q832" s="7"/>
      <c r="R832" s="7"/>
      <c r="S832" s="7"/>
      <c r="T832" s="7"/>
    </row>
    <row r="833" ht="14.25" customHeight="1">
      <c r="A833" s="7"/>
      <c r="B833" s="7"/>
      <c r="C833" s="7"/>
      <c r="D833" s="7"/>
      <c r="E833" s="7"/>
      <c r="F833" s="7"/>
      <c r="G833" s="7"/>
      <c r="H833" s="7"/>
      <c r="I833" s="7"/>
      <c r="J833" s="7"/>
      <c r="K833" s="7"/>
      <c r="L833" s="7"/>
      <c r="M833" s="7"/>
      <c r="N833" s="7"/>
      <c r="O833" s="7"/>
      <c r="P833" s="7"/>
      <c r="Q833" s="7"/>
      <c r="R833" s="7"/>
      <c r="S833" s="7"/>
      <c r="T833" s="7"/>
    </row>
    <row r="834" ht="14.25" customHeight="1">
      <c r="A834" s="7"/>
      <c r="B834" s="7"/>
      <c r="C834" s="7"/>
      <c r="D834" s="7"/>
      <c r="E834" s="7"/>
      <c r="F834" s="7"/>
      <c r="G834" s="7"/>
      <c r="H834" s="7"/>
      <c r="I834" s="7"/>
      <c r="J834" s="7"/>
      <c r="K834" s="7"/>
      <c r="L834" s="7"/>
      <c r="M834" s="7"/>
      <c r="N834" s="7"/>
      <c r="O834" s="7"/>
      <c r="P834" s="7"/>
      <c r="Q834" s="7"/>
      <c r="R834" s="7"/>
      <c r="S834" s="7"/>
      <c r="T834" s="7"/>
    </row>
    <row r="835" ht="14.25" customHeight="1">
      <c r="A835" s="7"/>
      <c r="B835" s="7"/>
      <c r="C835" s="7"/>
      <c r="D835" s="7"/>
      <c r="E835" s="7"/>
      <c r="F835" s="7"/>
      <c r="G835" s="7"/>
      <c r="H835" s="7"/>
      <c r="I835" s="7"/>
      <c r="J835" s="7"/>
      <c r="K835" s="7"/>
      <c r="L835" s="7"/>
      <c r="M835" s="7"/>
      <c r="N835" s="7"/>
      <c r="O835" s="7"/>
      <c r="P835" s="7"/>
      <c r="Q835" s="7"/>
      <c r="R835" s="7"/>
      <c r="S835" s="7"/>
      <c r="T835" s="7"/>
    </row>
    <row r="836" ht="14.25" customHeight="1">
      <c r="A836" s="7"/>
      <c r="B836" s="7"/>
      <c r="C836" s="7"/>
      <c r="D836" s="7"/>
      <c r="E836" s="7"/>
      <c r="F836" s="7"/>
      <c r="G836" s="7"/>
      <c r="H836" s="7"/>
      <c r="I836" s="7"/>
      <c r="J836" s="7"/>
      <c r="K836" s="7"/>
      <c r="L836" s="7"/>
      <c r="M836" s="7"/>
      <c r="N836" s="7"/>
      <c r="O836" s="7"/>
      <c r="P836" s="7"/>
      <c r="Q836" s="7"/>
      <c r="R836" s="7"/>
      <c r="S836" s="7"/>
      <c r="T836" s="7"/>
    </row>
    <row r="837" ht="14.25" customHeight="1">
      <c r="A837" s="7"/>
      <c r="B837" s="7"/>
      <c r="C837" s="7"/>
      <c r="D837" s="7"/>
      <c r="E837" s="7"/>
      <c r="F837" s="7"/>
      <c r="G837" s="7"/>
      <c r="H837" s="7"/>
      <c r="I837" s="7"/>
      <c r="J837" s="7"/>
      <c r="K837" s="7"/>
      <c r="L837" s="7"/>
      <c r="M837" s="7"/>
      <c r="N837" s="7"/>
      <c r="O837" s="7"/>
      <c r="P837" s="7"/>
      <c r="Q837" s="7"/>
      <c r="R837" s="7"/>
      <c r="S837" s="7"/>
      <c r="T837" s="7"/>
    </row>
    <row r="838" ht="14.25" customHeight="1">
      <c r="A838" s="7"/>
      <c r="B838" s="7"/>
      <c r="C838" s="7"/>
      <c r="D838" s="7"/>
      <c r="E838" s="7"/>
      <c r="F838" s="7"/>
      <c r="G838" s="7"/>
      <c r="H838" s="7"/>
      <c r="I838" s="7"/>
      <c r="J838" s="7"/>
      <c r="K838" s="7"/>
      <c r="L838" s="7"/>
      <c r="M838" s="7"/>
      <c r="N838" s="7"/>
      <c r="O838" s="7"/>
      <c r="P838" s="7"/>
      <c r="Q838" s="7"/>
      <c r="R838" s="7"/>
      <c r="S838" s="7"/>
      <c r="T838" s="7"/>
    </row>
    <row r="839" ht="14.25" customHeight="1">
      <c r="A839" s="7"/>
      <c r="B839" s="7"/>
      <c r="C839" s="7"/>
      <c r="D839" s="7"/>
      <c r="E839" s="7"/>
      <c r="F839" s="7"/>
      <c r="G839" s="7"/>
      <c r="H839" s="7"/>
      <c r="I839" s="7"/>
      <c r="J839" s="7"/>
      <c r="K839" s="7"/>
      <c r="L839" s="7"/>
      <c r="M839" s="7"/>
      <c r="N839" s="7"/>
      <c r="O839" s="7"/>
      <c r="P839" s="7"/>
      <c r="Q839" s="7"/>
      <c r="R839" s="7"/>
      <c r="S839" s="7"/>
      <c r="T839" s="7"/>
    </row>
    <row r="840" ht="14.25" customHeight="1">
      <c r="A840" s="7"/>
      <c r="B840" s="7"/>
      <c r="C840" s="7"/>
      <c r="D840" s="7"/>
      <c r="E840" s="7"/>
      <c r="F840" s="7"/>
      <c r="G840" s="7"/>
      <c r="H840" s="7"/>
      <c r="I840" s="7"/>
      <c r="J840" s="7"/>
      <c r="K840" s="7"/>
      <c r="L840" s="7"/>
      <c r="M840" s="7"/>
      <c r="N840" s="7"/>
      <c r="O840" s="7"/>
      <c r="P840" s="7"/>
      <c r="Q840" s="7"/>
      <c r="R840" s="7"/>
      <c r="S840" s="7"/>
      <c r="T840" s="7"/>
    </row>
    <row r="841" ht="14.25" customHeight="1">
      <c r="A841" s="7"/>
      <c r="B841" s="7"/>
      <c r="C841" s="7"/>
      <c r="D841" s="7"/>
      <c r="E841" s="7"/>
      <c r="F841" s="7"/>
      <c r="G841" s="7"/>
      <c r="H841" s="7"/>
      <c r="I841" s="7"/>
      <c r="J841" s="7"/>
      <c r="K841" s="7"/>
      <c r="L841" s="7"/>
      <c r="M841" s="7"/>
      <c r="N841" s="7"/>
      <c r="O841" s="7"/>
      <c r="P841" s="7"/>
      <c r="Q841" s="7"/>
      <c r="R841" s="7"/>
      <c r="S841" s="7"/>
      <c r="T841" s="7"/>
    </row>
    <row r="842" ht="14.25" customHeight="1">
      <c r="A842" s="7"/>
      <c r="B842" s="7"/>
      <c r="C842" s="7"/>
      <c r="D842" s="7"/>
      <c r="E842" s="7"/>
      <c r="F842" s="7"/>
      <c r="G842" s="7"/>
      <c r="H842" s="7"/>
      <c r="I842" s="7"/>
      <c r="J842" s="7"/>
      <c r="K842" s="7"/>
      <c r="L842" s="7"/>
      <c r="M842" s="7"/>
      <c r="N842" s="7"/>
      <c r="O842" s="7"/>
      <c r="P842" s="7"/>
      <c r="Q842" s="7"/>
      <c r="R842" s="7"/>
      <c r="S842" s="7"/>
      <c r="T842" s="7"/>
    </row>
    <row r="843" ht="14.25" customHeight="1">
      <c r="A843" s="7"/>
      <c r="B843" s="7"/>
      <c r="C843" s="7"/>
      <c r="D843" s="7"/>
      <c r="E843" s="7"/>
      <c r="F843" s="7"/>
      <c r="G843" s="7"/>
      <c r="H843" s="7"/>
      <c r="I843" s="7"/>
      <c r="J843" s="7"/>
      <c r="K843" s="7"/>
      <c r="L843" s="7"/>
      <c r="M843" s="7"/>
      <c r="N843" s="7"/>
      <c r="O843" s="7"/>
      <c r="P843" s="7"/>
      <c r="Q843" s="7"/>
      <c r="R843" s="7"/>
      <c r="S843" s="7"/>
      <c r="T843" s="7"/>
    </row>
    <row r="844" ht="14.25" customHeight="1">
      <c r="A844" s="7"/>
      <c r="B844" s="7"/>
      <c r="C844" s="7"/>
      <c r="D844" s="7"/>
      <c r="E844" s="7"/>
      <c r="F844" s="7"/>
      <c r="G844" s="7"/>
      <c r="H844" s="7"/>
      <c r="I844" s="7"/>
      <c r="J844" s="7"/>
      <c r="K844" s="7"/>
      <c r="L844" s="7"/>
      <c r="M844" s="7"/>
      <c r="N844" s="7"/>
      <c r="O844" s="7"/>
      <c r="P844" s="7"/>
      <c r="Q844" s="7"/>
      <c r="R844" s="7"/>
      <c r="S844" s="7"/>
      <c r="T844" s="7"/>
    </row>
    <row r="845" ht="14.25" customHeight="1">
      <c r="A845" s="7"/>
      <c r="B845" s="7"/>
      <c r="C845" s="7"/>
      <c r="D845" s="7"/>
      <c r="E845" s="7"/>
      <c r="F845" s="7"/>
      <c r="G845" s="7"/>
      <c r="H845" s="7"/>
      <c r="I845" s="7"/>
      <c r="J845" s="7"/>
      <c r="K845" s="7"/>
      <c r="L845" s="7"/>
      <c r="M845" s="7"/>
      <c r="N845" s="7"/>
      <c r="O845" s="7"/>
      <c r="P845" s="7"/>
      <c r="Q845" s="7"/>
      <c r="R845" s="7"/>
      <c r="S845" s="7"/>
      <c r="T845" s="7"/>
    </row>
    <row r="846" ht="14.25" customHeight="1">
      <c r="A846" s="7"/>
      <c r="B846" s="7"/>
      <c r="C846" s="7"/>
      <c r="D846" s="7"/>
      <c r="E846" s="7"/>
      <c r="F846" s="7"/>
      <c r="G846" s="7"/>
      <c r="H846" s="7"/>
      <c r="I846" s="7"/>
      <c r="J846" s="7"/>
      <c r="K846" s="7"/>
      <c r="L846" s="7"/>
      <c r="M846" s="7"/>
      <c r="N846" s="7"/>
      <c r="O846" s="7"/>
      <c r="P846" s="7"/>
      <c r="Q846" s="7"/>
      <c r="R846" s="7"/>
      <c r="S846" s="7"/>
      <c r="T846" s="7"/>
    </row>
    <row r="847" ht="14.25" customHeight="1">
      <c r="A847" s="7"/>
      <c r="B847" s="7"/>
      <c r="C847" s="7"/>
      <c r="D847" s="7"/>
      <c r="E847" s="7"/>
      <c r="F847" s="7"/>
      <c r="G847" s="7"/>
      <c r="H847" s="7"/>
      <c r="I847" s="7"/>
      <c r="J847" s="7"/>
      <c r="K847" s="7"/>
      <c r="L847" s="7"/>
      <c r="M847" s="7"/>
      <c r="N847" s="7"/>
      <c r="O847" s="7"/>
      <c r="P847" s="7"/>
      <c r="Q847" s="7"/>
      <c r="R847" s="7"/>
      <c r="S847" s="7"/>
      <c r="T847" s="7"/>
    </row>
    <row r="848" ht="14.25" customHeight="1">
      <c r="A848" s="7"/>
      <c r="B848" s="7"/>
      <c r="C848" s="7"/>
      <c r="D848" s="7"/>
      <c r="E848" s="7"/>
      <c r="F848" s="7"/>
      <c r="G848" s="7"/>
      <c r="H848" s="7"/>
      <c r="I848" s="7"/>
      <c r="J848" s="7"/>
      <c r="K848" s="7"/>
      <c r="L848" s="7"/>
      <c r="M848" s="7"/>
      <c r="N848" s="7"/>
      <c r="O848" s="7"/>
      <c r="P848" s="7"/>
      <c r="Q848" s="7"/>
      <c r="R848" s="7"/>
      <c r="S848" s="7"/>
      <c r="T848" s="7"/>
    </row>
    <row r="849" ht="14.25" customHeight="1">
      <c r="A849" s="7"/>
      <c r="B849" s="7"/>
      <c r="C849" s="7"/>
      <c r="D849" s="7"/>
      <c r="E849" s="7"/>
      <c r="F849" s="7"/>
      <c r="G849" s="7"/>
      <c r="H849" s="7"/>
      <c r="I849" s="7"/>
      <c r="J849" s="7"/>
      <c r="K849" s="7"/>
      <c r="L849" s="7"/>
      <c r="M849" s="7"/>
      <c r="N849" s="7"/>
      <c r="O849" s="7"/>
      <c r="P849" s="7"/>
      <c r="Q849" s="7"/>
      <c r="R849" s="7"/>
      <c r="S849" s="7"/>
      <c r="T849" s="7"/>
    </row>
    <row r="850" ht="14.25" customHeight="1">
      <c r="A850" s="7"/>
      <c r="B850" s="7"/>
      <c r="C850" s="7"/>
      <c r="D850" s="7"/>
      <c r="E850" s="7"/>
      <c r="F850" s="7"/>
      <c r="G850" s="7"/>
      <c r="H850" s="7"/>
      <c r="I850" s="7"/>
      <c r="J850" s="7"/>
      <c r="K850" s="7"/>
      <c r="L850" s="7"/>
      <c r="M850" s="7"/>
      <c r="N850" s="7"/>
      <c r="O850" s="7"/>
      <c r="P850" s="7"/>
      <c r="Q850" s="7"/>
      <c r="R850" s="7"/>
      <c r="S850" s="7"/>
      <c r="T850" s="7"/>
    </row>
    <row r="851" ht="14.25" customHeight="1">
      <c r="A851" s="7"/>
      <c r="B851" s="7"/>
      <c r="C851" s="7"/>
      <c r="D851" s="7"/>
      <c r="E851" s="7"/>
      <c r="F851" s="7"/>
      <c r="G851" s="7"/>
      <c r="H851" s="7"/>
      <c r="I851" s="7"/>
      <c r="J851" s="7"/>
      <c r="K851" s="7"/>
      <c r="L851" s="7"/>
      <c r="M851" s="7"/>
      <c r="N851" s="7"/>
      <c r="O851" s="7"/>
      <c r="P851" s="7"/>
      <c r="Q851" s="7"/>
      <c r="R851" s="7"/>
      <c r="S851" s="7"/>
      <c r="T851" s="7"/>
    </row>
    <row r="852" ht="14.25" customHeight="1">
      <c r="A852" s="7"/>
      <c r="B852" s="7"/>
      <c r="C852" s="7"/>
      <c r="D852" s="7"/>
      <c r="E852" s="7"/>
      <c r="F852" s="7"/>
      <c r="G852" s="7"/>
      <c r="H852" s="7"/>
      <c r="I852" s="7"/>
      <c r="J852" s="7"/>
      <c r="K852" s="7"/>
      <c r="L852" s="7"/>
      <c r="M852" s="7"/>
      <c r="N852" s="7"/>
      <c r="O852" s="7"/>
      <c r="P852" s="7"/>
      <c r="Q852" s="7"/>
      <c r="R852" s="7"/>
      <c r="S852" s="7"/>
      <c r="T852" s="7"/>
    </row>
    <row r="853" ht="14.25" customHeight="1">
      <c r="A853" s="7"/>
      <c r="B853" s="7"/>
      <c r="C853" s="7"/>
      <c r="D853" s="7"/>
      <c r="E853" s="7"/>
      <c r="F853" s="7"/>
      <c r="G853" s="7"/>
      <c r="H853" s="7"/>
      <c r="I853" s="7"/>
      <c r="J853" s="7"/>
      <c r="K853" s="7"/>
      <c r="L853" s="7"/>
      <c r="M853" s="7"/>
      <c r="N853" s="7"/>
      <c r="O853" s="7"/>
      <c r="P853" s="7"/>
      <c r="Q853" s="7"/>
      <c r="R853" s="7"/>
      <c r="S853" s="7"/>
      <c r="T853" s="7"/>
    </row>
    <row r="854" ht="14.25" customHeight="1">
      <c r="A854" s="7"/>
      <c r="B854" s="7"/>
      <c r="C854" s="7"/>
      <c r="D854" s="7"/>
      <c r="E854" s="7"/>
      <c r="F854" s="7"/>
      <c r="G854" s="7"/>
      <c r="H854" s="7"/>
      <c r="I854" s="7"/>
      <c r="J854" s="7"/>
      <c r="K854" s="7"/>
      <c r="L854" s="7"/>
      <c r="M854" s="7"/>
      <c r="N854" s="7"/>
      <c r="O854" s="7"/>
      <c r="P854" s="7"/>
      <c r="Q854" s="7"/>
      <c r="R854" s="7"/>
      <c r="S854" s="7"/>
      <c r="T854" s="7"/>
    </row>
    <row r="855" ht="14.25" customHeight="1">
      <c r="A855" s="7"/>
      <c r="B855" s="7"/>
      <c r="C855" s="7"/>
      <c r="D855" s="7"/>
      <c r="E855" s="7"/>
      <c r="F855" s="7"/>
      <c r="G855" s="7"/>
      <c r="H855" s="7"/>
      <c r="I855" s="7"/>
      <c r="J855" s="7"/>
      <c r="K855" s="7"/>
      <c r="L855" s="7"/>
      <c r="M855" s="7"/>
      <c r="N855" s="7"/>
      <c r="O855" s="7"/>
      <c r="P855" s="7"/>
      <c r="Q855" s="7"/>
      <c r="R855" s="7"/>
      <c r="S855" s="7"/>
      <c r="T855" s="7"/>
    </row>
    <row r="856" ht="14.25" customHeight="1">
      <c r="A856" s="7"/>
      <c r="B856" s="7"/>
      <c r="C856" s="7"/>
      <c r="D856" s="7"/>
      <c r="E856" s="7"/>
      <c r="F856" s="7"/>
      <c r="G856" s="7"/>
      <c r="H856" s="7"/>
      <c r="I856" s="7"/>
      <c r="J856" s="7"/>
      <c r="K856" s="7"/>
      <c r="L856" s="7"/>
      <c r="M856" s="7"/>
      <c r="N856" s="7"/>
      <c r="O856" s="7"/>
      <c r="P856" s="7"/>
      <c r="Q856" s="7"/>
      <c r="R856" s="7"/>
      <c r="S856" s="7"/>
      <c r="T856" s="7"/>
    </row>
    <row r="857" ht="14.25" customHeight="1">
      <c r="A857" s="7"/>
      <c r="B857" s="7"/>
      <c r="C857" s="7"/>
      <c r="D857" s="7"/>
      <c r="E857" s="7"/>
      <c r="F857" s="7"/>
      <c r="G857" s="7"/>
      <c r="H857" s="7"/>
      <c r="I857" s="7"/>
      <c r="J857" s="7"/>
      <c r="K857" s="7"/>
      <c r="L857" s="7"/>
      <c r="M857" s="7"/>
      <c r="N857" s="7"/>
      <c r="O857" s="7"/>
      <c r="P857" s="7"/>
      <c r="Q857" s="7"/>
      <c r="R857" s="7"/>
      <c r="S857" s="7"/>
      <c r="T857" s="7"/>
    </row>
    <row r="858" ht="14.25" customHeight="1">
      <c r="A858" s="7"/>
      <c r="B858" s="7"/>
      <c r="C858" s="7"/>
      <c r="D858" s="7"/>
      <c r="E858" s="7"/>
      <c r="F858" s="7"/>
      <c r="G858" s="7"/>
      <c r="H858" s="7"/>
      <c r="I858" s="7"/>
      <c r="J858" s="7"/>
      <c r="K858" s="7"/>
      <c r="L858" s="7"/>
      <c r="M858" s="7"/>
      <c r="N858" s="7"/>
      <c r="O858" s="7"/>
      <c r="P858" s="7"/>
      <c r="Q858" s="7"/>
      <c r="R858" s="7"/>
      <c r="S858" s="7"/>
      <c r="T858" s="7"/>
    </row>
    <row r="859" ht="14.25" customHeight="1">
      <c r="A859" s="7"/>
      <c r="B859" s="7"/>
      <c r="C859" s="7"/>
      <c r="D859" s="7"/>
      <c r="E859" s="7"/>
      <c r="F859" s="7"/>
      <c r="G859" s="7"/>
      <c r="H859" s="7"/>
      <c r="I859" s="7"/>
      <c r="J859" s="7"/>
      <c r="K859" s="7"/>
      <c r="L859" s="7"/>
      <c r="M859" s="7"/>
      <c r="N859" s="7"/>
      <c r="O859" s="7"/>
      <c r="P859" s="7"/>
      <c r="Q859" s="7"/>
      <c r="R859" s="7"/>
      <c r="S859" s="7"/>
      <c r="T859" s="7"/>
    </row>
    <row r="860" ht="14.25" customHeight="1">
      <c r="A860" s="7"/>
      <c r="B860" s="7"/>
      <c r="C860" s="7"/>
      <c r="D860" s="7"/>
      <c r="E860" s="7"/>
      <c r="F860" s="7"/>
      <c r="G860" s="7"/>
      <c r="H860" s="7"/>
      <c r="I860" s="7"/>
      <c r="J860" s="7"/>
      <c r="K860" s="7"/>
      <c r="L860" s="7"/>
      <c r="M860" s="7"/>
      <c r="N860" s="7"/>
      <c r="O860" s="7"/>
      <c r="P860" s="7"/>
      <c r="Q860" s="7"/>
      <c r="R860" s="7"/>
      <c r="S860" s="7"/>
      <c r="T860" s="7"/>
    </row>
    <row r="861" ht="14.25" customHeight="1">
      <c r="A861" s="7"/>
      <c r="B861" s="7"/>
      <c r="C861" s="7"/>
      <c r="D861" s="7"/>
      <c r="E861" s="7"/>
      <c r="F861" s="7"/>
      <c r="G861" s="7"/>
      <c r="H861" s="7"/>
      <c r="I861" s="7"/>
      <c r="J861" s="7"/>
      <c r="K861" s="7"/>
      <c r="L861" s="7"/>
      <c r="M861" s="7"/>
      <c r="N861" s="7"/>
      <c r="O861" s="7"/>
      <c r="P861" s="7"/>
      <c r="Q861" s="7"/>
      <c r="R861" s="7"/>
      <c r="S861" s="7"/>
      <c r="T861" s="7"/>
    </row>
    <row r="862" ht="14.25" customHeight="1">
      <c r="A862" s="7"/>
      <c r="B862" s="7"/>
      <c r="C862" s="7"/>
      <c r="D862" s="7"/>
      <c r="E862" s="7"/>
      <c r="F862" s="7"/>
      <c r="G862" s="7"/>
      <c r="H862" s="7"/>
      <c r="I862" s="7"/>
      <c r="J862" s="7"/>
      <c r="K862" s="7"/>
      <c r="L862" s="7"/>
      <c r="M862" s="7"/>
      <c r="N862" s="7"/>
      <c r="O862" s="7"/>
      <c r="P862" s="7"/>
      <c r="Q862" s="7"/>
      <c r="R862" s="7"/>
      <c r="S862" s="7"/>
      <c r="T862" s="7"/>
    </row>
    <row r="863" ht="14.25" customHeight="1">
      <c r="A863" s="7"/>
      <c r="B863" s="7"/>
      <c r="C863" s="7"/>
      <c r="D863" s="7"/>
      <c r="E863" s="7"/>
      <c r="F863" s="7"/>
      <c r="G863" s="7"/>
      <c r="H863" s="7"/>
      <c r="I863" s="7"/>
      <c r="J863" s="7"/>
      <c r="K863" s="7"/>
      <c r="L863" s="7"/>
      <c r="M863" s="7"/>
      <c r="N863" s="7"/>
      <c r="O863" s="7"/>
      <c r="P863" s="7"/>
      <c r="Q863" s="7"/>
      <c r="R863" s="7"/>
      <c r="S863" s="7"/>
      <c r="T863" s="7"/>
    </row>
    <row r="864" ht="14.25" customHeight="1">
      <c r="A864" s="7"/>
      <c r="B864" s="7"/>
      <c r="C864" s="7"/>
      <c r="D864" s="7"/>
      <c r="E864" s="7"/>
      <c r="F864" s="7"/>
      <c r="G864" s="7"/>
      <c r="H864" s="7"/>
      <c r="I864" s="7"/>
      <c r="J864" s="7"/>
      <c r="K864" s="7"/>
      <c r="L864" s="7"/>
      <c r="M864" s="7"/>
      <c r="N864" s="7"/>
      <c r="O864" s="7"/>
      <c r="P864" s="7"/>
      <c r="Q864" s="7"/>
      <c r="R864" s="7"/>
      <c r="S864" s="7"/>
      <c r="T864" s="7"/>
    </row>
    <row r="865" ht="14.25" customHeight="1">
      <c r="A865" s="7"/>
      <c r="B865" s="7"/>
      <c r="C865" s="7"/>
      <c r="D865" s="7"/>
      <c r="E865" s="7"/>
      <c r="F865" s="7"/>
      <c r="G865" s="7"/>
      <c r="H865" s="7"/>
      <c r="I865" s="7"/>
      <c r="J865" s="7"/>
      <c r="K865" s="7"/>
      <c r="L865" s="7"/>
      <c r="M865" s="7"/>
      <c r="N865" s="7"/>
      <c r="O865" s="7"/>
      <c r="P865" s="7"/>
      <c r="Q865" s="7"/>
      <c r="R865" s="7"/>
      <c r="S865" s="7"/>
      <c r="T865" s="7"/>
    </row>
    <row r="866" ht="14.25" customHeight="1">
      <c r="A866" s="7"/>
      <c r="B866" s="7"/>
      <c r="C866" s="7"/>
      <c r="D866" s="7"/>
      <c r="E866" s="7"/>
      <c r="F866" s="7"/>
      <c r="G866" s="7"/>
      <c r="H866" s="7"/>
      <c r="I866" s="7"/>
      <c r="J866" s="7"/>
      <c r="K866" s="7"/>
      <c r="L866" s="7"/>
      <c r="M866" s="7"/>
      <c r="N866" s="7"/>
      <c r="O866" s="7"/>
      <c r="P866" s="7"/>
      <c r="Q866" s="7"/>
      <c r="R866" s="7"/>
      <c r="S866" s="7"/>
      <c r="T866" s="7"/>
    </row>
    <row r="867" ht="14.25" customHeight="1">
      <c r="A867" s="7"/>
      <c r="B867" s="7"/>
      <c r="C867" s="7"/>
      <c r="D867" s="7"/>
      <c r="E867" s="7"/>
      <c r="F867" s="7"/>
      <c r="G867" s="7"/>
      <c r="H867" s="7"/>
      <c r="I867" s="7"/>
      <c r="J867" s="7"/>
      <c r="K867" s="7"/>
      <c r="L867" s="7"/>
      <c r="M867" s="7"/>
      <c r="N867" s="7"/>
      <c r="O867" s="7"/>
      <c r="P867" s="7"/>
      <c r="Q867" s="7"/>
      <c r="R867" s="7"/>
      <c r="S867" s="7"/>
      <c r="T867" s="7"/>
    </row>
    <row r="868" ht="14.25" customHeight="1">
      <c r="A868" s="7"/>
      <c r="B868" s="7"/>
      <c r="C868" s="7"/>
      <c r="D868" s="7"/>
      <c r="E868" s="7"/>
      <c r="F868" s="7"/>
      <c r="G868" s="7"/>
      <c r="H868" s="7"/>
      <c r="I868" s="7"/>
      <c r="J868" s="7"/>
      <c r="K868" s="7"/>
      <c r="L868" s="7"/>
      <c r="M868" s="7"/>
      <c r="N868" s="7"/>
      <c r="O868" s="7"/>
      <c r="P868" s="7"/>
      <c r="Q868" s="7"/>
      <c r="R868" s="7"/>
      <c r="S868" s="7"/>
      <c r="T868" s="7"/>
    </row>
    <row r="869" ht="14.25" customHeight="1">
      <c r="A869" s="7"/>
      <c r="B869" s="7"/>
      <c r="C869" s="7"/>
      <c r="D869" s="7"/>
      <c r="E869" s="7"/>
      <c r="F869" s="7"/>
      <c r="G869" s="7"/>
      <c r="H869" s="7"/>
      <c r="I869" s="7"/>
      <c r="J869" s="7"/>
      <c r="K869" s="7"/>
      <c r="L869" s="7"/>
      <c r="M869" s="7"/>
      <c r="N869" s="7"/>
      <c r="O869" s="7"/>
      <c r="P869" s="7"/>
      <c r="Q869" s="7"/>
      <c r="R869" s="7"/>
      <c r="S869" s="7"/>
      <c r="T869" s="7"/>
    </row>
    <row r="870" ht="14.25" customHeight="1">
      <c r="A870" s="7"/>
      <c r="B870" s="7"/>
      <c r="C870" s="7"/>
      <c r="D870" s="7"/>
      <c r="E870" s="7"/>
      <c r="F870" s="7"/>
      <c r="G870" s="7"/>
      <c r="H870" s="7"/>
      <c r="I870" s="7"/>
      <c r="J870" s="7"/>
      <c r="K870" s="7"/>
      <c r="L870" s="7"/>
      <c r="M870" s="7"/>
      <c r="N870" s="7"/>
      <c r="O870" s="7"/>
      <c r="P870" s="7"/>
      <c r="Q870" s="7"/>
      <c r="R870" s="7"/>
      <c r="S870" s="7"/>
      <c r="T870" s="7"/>
    </row>
    <row r="871" ht="14.25" customHeight="1">
      <c r="A871" s="7"/>
      <c r="B871" s="7"/>
      <c r="C871" s="7"/>
      <c r="D871" s="7"/>
      <c r="E871" s="7"/>
      <c r="F871" s="7"/>
      <c r="G871" s="7"/>
      <c r="H871" s="7"/>
      <c r="I871" s="7"/>
      <c r="J871" s="7"/>
      <c r="K871" s="7"/>
      <c r="L871" s="7"/>
      <c r="M871" s="7"/>
      <c r="N871" s="7"/>
      <c r="O871" s="7"/>
      <c r="P871" s="7"/>
      <c r="Q871" s="7"/>
      <c r="R871" s="7"/>
      <c r="S871" s="7"/>
      <c r="T871" s="7"/>
    </row>
    <row r="872" ht="14.25" customHeight="1">
      <c r="A872" s="7"/>
      <c r="B872" s="7"/>
      <c r="C872" s="7"/>
      <c r="D872" s="7"/>
      <c r="E872" s="7"/>
      <c r="F872" s="7"/>
      <c r="G872" s="7"/>
      <c r="H872" s="7"/>
      <c r="I872" s="7"/>
      <c r="J872" s="7"/>
      <c r="K872" s="7"/>
      <c r="L872" s="7"/>
      <c r="M872" s="7"/>
      <c r="N872" s="7"/>
      <c r="O872" s="7"/>
      <c r="P872" s="7"/>
      <c r="Q872" s="7"/>
      <c r="R872" s="7"/>
      <c r="S872" s="7"/>
      <c r="T872" s="7"/>
    </row>
    <row r="873" ht="14.25" customHeight="1">
      <c r="A873" s="7"/>
      <c r="B873" s="7"/>
      <c r="C873" s="7"/>
      <c r="D873" s="7"/>
      <c r="E873" s="7"/>
      <c r="F873" s="7"/>
      <c r="G873" s="7"/>
      <c r="H873" s="7"/>
      <c r="I873" s="7"/>
      <c r="J873" s="7"/>
      <c r="K873" s="7"/>
      <c r="L873" s="7"/>
      <c r="M873" s="7"/>
      <c r="N873" s="7"/>
      <c r="O873" s="7"/>
      <c r="P873" s="7"/>
      <c r="Q873" s="7"/>
      <c r="R873" s="7"/>
      <c r="S873" s="7"/>
      <c r="T873" s="7"/>
    </row>
    <row r="874" ht="14.25" customHeight="1">
      <c r="A874" s="7"/>
      <c r="B874" s="7"/>
      <c r="C874" s="7"/>
      <c r="D874" s="7"/>
      <c r="E874" s="7"/>
      <c r="F874" s="7"/>
      <c r="G874" s="7"/>
      <c r="H874" s="7"/>
      <c r="I874" s="7"/>
      <c r="J874" s="7"/>
      <c r="K874" s="7"/>
      <c r="L874" s="7"/>
      <c r="M874" s="7"/>
      <c r="N874" s="7"/>
      <c r="O874" s="7"/>
      <c r="P874" s="7"/>
      <c r="Q874" s="7"/>
      <c r="R874" s="7"/>
      <c r="S874" s="7"/>
      <c r="T874" s="7"/>
    </row>
    <row r="875" ht="14.25" customHeight="1">
      <c r="A875" s="7"/>
      <c r="B875" s="7"/>
      <c r="C875" s="7"/>
      <c r="D875" s="7"/>
      <c r="E875" s="7"/>
      <c r="F875" s="7"/>
      <c r="G875" s="7"/>
      <c r="H875" s="7"/>
      <c r="I875" s="7"/>
      <c r="J875" s="7"/>
      <c r="K875" s="7"/>
      <c r="L875" s="7"/>
      <c r="M875" s="7"/>
      <c r="N875" s="7"/>
      <c r="O875" s="7"/>
      <c r="P875" s="7"/>
      <c r="Q875" s="7"/>
      <c r="R875" s="7"/>
      <c r="S875" s="7"/>
      <c r="T875" s="7"/>
    </row>
    <row r="876" ht="14.25" customHeight="1">
      <c r="A876" s="7"/>
      <c r="B876" s="7"/>
      <c r="C876" s="7"/>
      <c r="D876" s="7"/>
      <c r="E876" s="7"/>
      <c r="F876" s="7"/>
      <c r="G876" s="7"/>
      <c r="H876" s="7"/>
      <c r="I876" s="7"/>
      <c r="J876" s="7"/>
      <c r="K876" s="7"/>
      <c r="L876" s="7"/>
      <c r="M876" s="7"/>
      <c r="N876" s="7"/>
      <c r="O876" s="7"/>
      <c r="P876" s="7"/>
      <c r="Q876" s="7"/>
      <c r="R876" s="7"/>
      <c r="S876" s="7"/>
      <c r="T876" s="7"/>
    </row>
    <row r="877" ht="14.25" customHeight="1">
      <c r="A877" s="7"/>
      <c r="B877" s="7"/>
      <c r="C877" s="7"/>
      <c r="D877" s="7"/>
      <c r="E877" s="7"/>
      <c r="F877" s="7"/>
      <c r="G877" s="7"/>
      <c r="H877" s="7"/>
      <c r="I877" s="7"/>
      <c r="J877" s="7"/>
      <c r="K877" s="7"/>
      <c r="L877" s="7"/>
      <c r="M877" s="7"/>
      <c r="N877" s="7"/>
      <c r="O877" s="7"/>
      <c r="P877" s="7"/>
      <c r="Q877" s="7"/>
      <c r="R877" s="7"/>
      <c r="S877" s="7"/>
      <c r="T877" s="7"/>
    </row>
    <row r="878" ht="14.25" customHeight="1">
      <c r="A878" s="7"/>
      <c r="B878" s="7"/>
      <c r="C878" s="7"/>
      <c r="D878" s="7"/>
      <c r="E878" s="7"/>
      <c r="F878" s="7"/>
      <c r="G878" s="7"/>
      <c r="H878" s="7"/>
      <c r="I878" s="7"/>
      <c r="J878" s="7"/>
      <c r="K878" s="7"/>
      <c r="L878" s="7"/>
      <c r="M878" s="7"/>
      <c r="N878" s="7"/>
      <c r="O878" s="7"/>
      <c r="P878" s="7"/>
      <c r="Q878" s="7"/>
      <c r="R878" s="7"/>
      <c r="S878" s="7"/>
      <c r="T878" s="7"/>
    </row>
    <row r="879" ht="14.25" customHeight="1">
      <c r="A879" s="7"/>
      <c r="B879" s="7"/>
      <c r="C879" s="7"/>
      <c r="D879" s="7"/>
      <c r="E879" s="7"/>
      <c r="F879" s="7"/>
      <c r="G879" s="7"/>
      <c r="H879" s="7"/>
      <c r="I879" s="7"/>
      <c r="J879" s="7"/>
      <c r="K879" s="7"/>
      <c r="L879" s="7"/>
      <c r="M879" s="7"/>
      <c r="N879" s="7"/>
      <c r="O879" s="7"/>
      <c r="P879" s="7"/>
      <c r="Q879" s="7"/>
      <c r="R879" s="7"/>
      <c r="S879" s="7"/>
      <c r="T879" s="7"/>
    </row>
    <row r="880" ht="14.25" customHeight="1">
      <c r="A880" s="7"/>
      <c r="B880" s="7"/>
      <c r="C880" s="7"/>
      <c r="D880" s="7"/>
      <c r="E880" s="7"/>
      <c r="F880" s="7"/>
      <c r="G880" s="7"/>
      <c r="H880" s="7"/>
      <c r="I880" s="7"/>
      <c r="J880" s="7"/>
      <c r="K880" s="7"/>
      <c r="L880" s="7"/>
      <c r="M880" s="7"/>
      <c r="N880" s="7"/>
      <c r="O880" s="7"/>
      <c r="P880" s="7"/>
      <c r="Q880" s="7"/>
      <c r="R880" s="7"/>
      <c r="S880" s="7"/>
      <c r="T880" s="7"/>
    </row>
    <row r="881" ht="14.25" customHeight="1">
      <c r="A881" s="7"/>
      <c r="B881" s="7"/>
      <c r="C881" s="7"/>
      <c r="D881" s="7"/>
      <c r="E881" s="7"/>
      <c r="F881" s="7"/>
      <c r="G881" s="7"/>
      <c r="H881" s="7"/>
      <c r="I881" s="7"/>
      <c r="J881" s="7"/>
      <c r="K881" s="7"/>
      <c r="L881" s="7"/>
      <c r="M881" s="7"/>
      <c r="N881" s="7"/>
      <c r="O881" s="7"/>
      <c r="P881" s="7"/>
      <c r="Q881" s="7"/>
      <c r="R881" s="7"/>
      <c r="S881" s="7"/>
      <c r="T881" s="7"/>
    </row>
    <row r="882" ht="14.25" customHeight="1">
      <c r="A882" s="7"/>
      <c r="B882" s="7"/>
      <c r="C882" s="7"/>
      <c r="D882" s="7"/>
      <c r="E882" s="7"/>
      <c r="F882" s="7"/>
      <c r="G882" s="7"/>
      <c r="H882" s="7"/>
      <c r="I882" s="7"/>
      <c r="J882" s="7"/>
      <c r="K882" s="7"/>
      <c r="L882" s="7"/>
      <c r="M882" s="7"/>
      <c r="N882" s="7"/>
      <c r="O882" s="7"/>
      <c r="P882" s="7"/>
      <c r="Q882" s="7"/>
      <c r="R882" s="7"/>
      <c r="S882" s="7"/>
      <c r="T882" s="7"/>
    </row>
    <row r="883" ht="14.25" customHeight="1">
      <c r="A883" s="7"/>
      <c r="B883" s="7"/>
      <c r="C883" s="7"/>
      <c r="D883" s="7"/>
      <c r="E883" s="7"/>
      <c r="F883" s="7"/>
      <c r="G883" s="7"/>
      <c r="H883" s="7"/>
      <c r="I883" s="7"/>
      <c r="J883" s="7"/>
      <c r="K883" s="7"/>
      <c r="L883" s="7"/>
      <c r="M883" s="7"/>
      <c r="N883" s="7"/>
      <c r="O883" s="7"/>
      <c r="P883" s="7"/>
      <c r="Q883" s="7"/>
      <c r="R883" s="7"/>
      <c r="S883" s="7"/>
      <c r="T883" s="7"/>
    </row>
    <row r="884" ht="14.25" customHeight="1">
      <c r="A884" s="7"/>
      <c r="B884" s="7"/>
      <c r="C884" s="7"/>
      <c r="D884" s="7"/>
      <c r="E884" s="7"/>
      <c r="F884" s="7"/>
      <c r="G884" s="7"/>
      <c r="H884" s="7"/>
      <c r="I884" s="7"/>
      <c r="J884" s="7"/>
      <c r="K884" s="7"/>
      <c r="L884" s="7"/>
      <c r="M884" s="7"/>
      <c r="N884" s="7"/>
      <c r="O884" s="7"/>
      <c r="P884" s="7"/>
      <c r="Q884" s="7"/>
      <c r="R884" s="7"/>
      <c r="S884" s="7"/>
      <c r="T884" s="7"/>
    </row>
    <row r="885" ht="14.25" customHeight="1">
      <c r="A885" s="7"/>
      <c r="B885" s="7"/>
      <c r="C885" s="7"/>
      <c r="D885" s="7"/>
      <c r="E885" s="7"/>
      <c r="F885" s="7"/>
      <c r="G885" s="7"/>
      <c r="H885" s="7"/>
      <c r="I885" s="7"/>
      <c r="J885" s="7"/>
      <c r="K885" s="7"/>
      <c r="L885" s="7"/>
      <c r="M885" s="7"/>
      <c r="N885" s="7"/>
      <c r="O885" s="7"/>
      <c r="P885" s="7"/>
      <c r="Q885" s="7"/>
      <c r="R885" s="7"/>
      <c r="S885" s="7"/>
      <c r="T885" s="7"/>
    </row>
    <row r="886" ht="14.25" customHeight="1">
      <c r="A886" s="7"/>
      <c r="B886" s="7"/>
      <c r="C886" s="7"/>
      <c r="D886" s="7"/>
      <c r="E886" s="7"/>
      <c r="F886" s="7"/>
      <c r="G886" s="7"/>
      <c r="H886" s="7"/>
      <c r="I886" s="7"/>
      <c r="J886" s="7"/>
      <c r="K886" s="7"/>
      <c r="L886" s="7"/>
      <c r="M886" s="7"/>
      <c r="N886" s="7"/>
      <c r="O886" s="7"/>
      <c r="P886" s="7"/>
      <c r="Q886" s="7"/>
      <c r="R886" s="7"/>
      <c r="S886" s="7"/>
      <c r="T886" s="7"/>
    </row>
    <row r="887" ht="14.25" customHeight="1">
      <c r="A887" s="7"/>
      <c r="B887" s="7"/>
      <c r="C887" s="7"/>
      <c r="D887" s="7"/>
      <c r="E887" s="7"/>
      <c r="F887" s="7"/>
      <c r="G887" s="7"/>
      <c r="H887" s="7"/>
      <c r="I887" s="7"/>
      <c r="J887" s="7"/>
      <c r="K887" s="7"/>
      <c r="L887" s="7"/>
      <c r="M887" s="7"/>
      <c r="N887" s="7"/>
      <c r="O887" s="7"/>
      <c r="P887" s="7"/>
      <c r="Q887" s="7"/>
      <c r="R887" s="7"/>
      <c r="S887" s="7"/>
      <c r="T887" s="7"/>
    </row>
    <row r="888" ht="14.25" customHeight="1">
      <c r="A888" s="7"/>
      <c r="B888" s="7"/>
      <c r="C888" s="7"/>
      <c r="D888" s="7"/>
      <c r="E888" s="7"/>
      <c r="F888" s="7"/>
      <c r="G888" s="7"/>
      <c r="H888" s="7"/>
      <c r="I888" s="7"/>
      <c r="J888" s="7"/>
      <c r="K888" s="7"/>
      <c r="L888" s="7"/>
      <c r="M888" s="7"/>
      <c r="N888" s="7"/>
      <c r="O888" s="7"/>
      <c r="P888" s="7"/>
      <c r="Q888" s="7"/>
      <c r="R888" s="7"/>
      <c r="S888" s="7"/>
      <c r="T888" s="7"/>
    </row>
    <row r="889" ht="14.25" customHeight="1">
      <c r="A889" s="7"/>
      <c r="B889" s="7"/>
      <c r="C889" s="7"/>
      <c r="D889" s="7"/>
      <c r="E889" s="7"/>
      <c r="F889" s="7"/>
      <c r="G889" s="7"/>
      <c r="H889" s="7"/>
      <c r="I889" s="7"/>
      <c r="J889" s="7"/>
      <c r="K889" s="7"/>
      <c r="L889" s="7"/>
      <c r="M889" s="7"/>
      <c r="N889" s="7"/>
      <c r="O889" s="7"/>
      <c r="P889" s="7"/>
      <c r="Q889" s="7"/>
      <c r="R889" s="7"/>
      <c r="S889" s="7"/>
      <c r="T889" s="7"/>
    </row>
    <row r="890" ht="14.25" customHeight="1">
      <c r="A890" s="7"/>
      <c r="B890" s="7"/>
      <c r="C890" s="7"/>
      <c r="D890" s="7"/>
      <c r="E890" s="7"/>
      <c r="F890" s="7"/>
      <c r="G890" s="7"/>
      <c r="H890" s="7"/>
      <c r="I890" s="7"/>
      <c r="J890" s="7"/>
      <c r="K890" s="7"/>
      <c r="L890" s="7"/>
      <c r="M890" s="7"/>
      <c r="N890" s="7"/>
      <c r="O890" s="7"/>
      <c r="P890" s="7"/>
      <c r="Q890" s="7"/>
      <c r="R890" s="7"/>
      <c r="S890" s="7"/>
      <c r="T890" s="7"/>
    </row>
    <row r="891" ht="14.25" customHeight="1">
      <c r="A891" s="7"/>
      <c r="B891" s="7"/>
      <c r="C891" s="7"/>
      <c r="D891" s="7"/>
      <c r="E891" s="7"/>
      <c r="F891" s="7"/>
      <c r="G891" s="7"/>
      <c r="H891" s="7"/>
      <c r="I891" s="7"/>
      <c r="J891" s="7"/>
      <c r="K891" s="7"/>
      <c r="L891" s="7"/>
      <c r="M891" s="7"/>
      <c r="N891" s="7"/>
      <c r="O891" s="7"/>
      <c r="P891" s="7"/>
      <c r="Q891" s="7"/>
      <c r="R891" s="7"/>
      <c r="S891" s="7"/>
      <c r="T891" s="7"/>
    </row>
    <row r="892" ht="14.25" customHeight="1">
      <c r="A892" s="7"/>
      <c r="B892" s="7"/>
      <c r="C892" s="7"/>
      <c r="D892" s="7"/>
      <c r="E892" s="7"/>
      <c r="F892" s="7"/>
      <c r="G892" s="7"/>
      <c r="H892" s="7"/>
      <c r="I892" s="7"/>
      <c r="J892" s="7"/>
      <c r="K892" s="7"/>
      <c r="L892" s="7"/>
      <c r="M892" s="7"/>
      <c r="N892" s="7"/>
      <c r="O892" s="7"/>
      <c r="P892" s="7"/>
      <c r="Q892" s="7"/>
      <c r="R892" s="7"/>
      <c r="S892" s="7"/>
      <c r="T892" s="7"/>
    </row>
    <row r="893" ht="14.25" customHeight="1">
      <c r="A893" s="7"/>
      <c r="B893" s="7"/>
      <c r="C893" s="7"/>
      <c r="D893" s="7"/>
      <c r="E893" s="7"/>
      <c r="F893" s="7"/>
      <c r="G893" s="7"/>
      <c r="H893" s="7"/>
      <c r="I893" s="7"/>
      <c r="J893" s="7"/>
      <c r="K893" s="7"/>
      <c r="L893" s="7"/>
      <c r="M893" s="7"/>
      <c r="N893" s="7"/>
      <c r="O893" s="7"/>
      <c r="P893" s="7"/>
      <c r="Q893" s="7"/>
      <c r="R893" s="7"/>
      <c r="S893" s="7"/>
      <c r="T893" s="7"/>
    </row>
    <row r="894" ht="14.25" customHeight="1">
      <c r="A894" s="7"/>
      <c r="B894" s="7"/>
      <c r="C894" s="7"/>
      <c r="D894" s="7"/>
      <c r="E894" s="7"/>
      <c r="F894" s="7"/>
      <c r="G894" s="7"/>
      <c r="H894" s="7"/>
      <c r="I894" s="7"/>
      <c r="J894" s="7"/>
      <c r="K894" s="7"/>
      <c r="L894" s="7"/>
      <c r="M894" s="7"/>
      <c r="N894" s="7"/>
      <c r="O894" s="7"/>
      <c r="P894" s="7"/>
      <c r="Q894" s="7"/>
      <c r="R894" s="7"/>
      <c r="S894" s="7"/>
      <c r="T894" s="7"/>
    </row>
    <row r="895" ht="14.25" customHeight="1">
      <c r="A895" s="7"/>
      <c r="B895" s="7"/>
      <c r="C895" s="7"/>
      <c r="D895" s="7"/>
      <c r="E895" s="7"/>
      <c r="F895" s="7"/>
      <c r="G895" s="7"/>
      <c r="H895" s="7"/>
      <c r="I895" s="7"/>
      <c r="J895" s="7"/>
      <c r="K895" s="7"/>
      <c r="L895" s="7"/>
      <c r="M895" s="7"/>
      <c r="N895" s="7"/>
      <c r="O895" s="7"/>
      <c r="P895" s="7"/>
      <c r="Q895" s="7"/>
      <c r="R895" s="7"/>
      <c r="S895" s="7"/>
      <c r="T895" s="7"/>
    </row>
    <row r="896" ht="14.25" customHeight="1">
      <c r="A896" s="7"/>
      <c r="B896" s="7"/>
      <c r="C896" s="7"/>
      <c r="D896" s="7"/>
      <c r="E896" s="7"/>
      <c r="F896" s="7"/>
      <c r="G896" s="7"/>
      <c r="H896" s="7"/>
      <c r="I896" s="7"/>
      <c r="J896" s="7"/>
      <c r="K896" s="7"/>
      <c r="L896" s="7"/>
      <c r="M896" s="7"/>
      <c r="N896" s="7"/>
      <c r="O896" s="7"/>
      <c r="P896" s="7"/>
      <c r="Q896" s="7"/>
      <c r="R896" s="7"/>
      <c r="S896" s="7"/>
      <c r="T896" s="7"/>
    </row>
    <row r="897" ht="14.25" customHeight="1">
      <c r="A897" s="7"/>
      <c r="B897" s="7"/>
      <c r="C897" s="7"/>
      <c r="D897" s="7"/>
      <c r="E897" s="7"/>
      <c r="F897" s="7"/>
      <c r="G897" s="7"/>
      <c r="H897" s="7"/>
      <c r="I897" s="7"/>
      <c r="J897" s="7"/>
      <c r="K897" s="7"/>
      <c r="L897" s="7"/>
      <c r="M897" s="7"/>
      <c r="N897" s="7"/>
      <c r="O897" s="7"/>
      <c r="P897" s="7"/>
      <c r="Q897" s="7"/>
      <c r="R897" s="7"/>
      <c r="S897" s="7"/>
      <c r="T897" s="7"/>
    </row>
    <row r="898" ht="14.25" customHeight="1">
      <c r="A898" s="7"/>
      <c r="B898" s="7"/>
      <c r="C898" s="7"/>
      <c r="D898" s="7"/>
      <c r="E898" s="7"/>
      <c r="F898" s="7"/>
      <c r="G898" s="7"/>
      <c r="H898" s="7"/>
      <c r="I898" s="7"/>
      <c r="J898" s="7"/>
      <c r="K898" s="7"/>
      <c r="L898" s="7"/>
      <c r="M898" s="7"/>
      <c r="N898" s="7"/>
      <c r="O898" s="7"/>
      <c r="P898" s="7"/>
      <c r="Q898" s="7"/>
      <c r="R898" s="7"/>
      <c r="S898" s="7"/>
      <c r="T898" s="7"/>
    </row>
    <row r="899" ht="14.25" customHeight="1">
      <c r="A899" s="7"/>
      <c r="B899" s="7"/>
      <c r="C899" s="7"/>
      <c r="D899" s="7"/>
      <c r="E899" s="7"/>
      <c r="F899" s="7"/>
      <c r="G899" s="7"/>
      <c r="H899" s="7"/>
      <c r="I899" s="7"/>
      <c r="J899" s="7"/>
      <c r="K899" s="7"/>
      <c r="L899" s="7"/>
      <c r="M899" s="7"/>
      <c r="N899" s="7"/>
      <c r="O899" s="7"/>
      <c r="P899" s="7"/>
      <c r="Q899" s="7"/>
      <c r="R899" s="7"/>
      <c r="S899" s="7"/>
      <c r="T899" s="7"/>
    </row>
    <row r="900" ht="14.25" customHeight="1">
      <c r="A900" s="7"/>
      <c r="B900" s="7"/>
      <c r="C900" s="7"/>
      <c r="D900" s="7"/>
      <c r="E900" s="7"/>
      <c r="F900" s="7"/>
      <c r="G900" s="7"/>
      <c r="H900" s="7"/>
      <c r="I900" s="7"/>
      <c r="J900" s="7"/>
      <c r="K900" s="7"/>
      <c r="L900" s="7"/>
      <c r="M900" s="7"/>
      <c r="N900" s="7"/>
      <c r="O900" s="7"/>
      <c r="P900" s="7"/>
      <c r="Q900" s="7"/>
      <c r="R900" s="7"/>
      <c r="S900" s="7"/>
      <c r="T900" s="7"/>
    </row>
    <row r="901" ht="14.25" customHeight="1">
      <c r="A901" s="7"/>
      <c r="B901" s="7"/>
      <c r="C901" s="7"/>
      <c r="D901" s="7"/>
      <c r="E901" s="7"/>
      <c r="F901" s="7"/>
      <c r="G901" s="7"/>
      <c r="H901" s="7"/>
      <c r="I901" s="7"/>
      <c r="J901" s="7"/>
      <c r="K901" s="7"/>
      <c r="L901" s="7"/>
      <c r="M901" s="7"/>
      <c r="N901" s="7"/>
      <c r="O901" s="7"/>
      <c r="P901" s="7"/>
      <c r="Q901" s="7"/>
      <c r="R901" s="7"/>
      <c r="S901" s="7"/>
      <c r="T901" s="7"/>
    </row>
    <row r="902" ht="14.25" customHeight="1">
      <c r="A902" s="7"/>
      <c r="B902" s="7"/>
      <c r="C902" s="7"/>
      <c r="D902" s="7"/>
      <c r="E902" s="7"/>
      <c r="F902" s="7"/>
      <c r="G902" s="7"/>
      <c r="H902" s="7"/>
      <c r="I902" s="7"/>
      <c r="J902" s="7"/>
      <c r="K902" s="7"/>
      <c r="L902" s="7"/>
      <c r="M902" s="7"/>
      <c r="N902" s="7"/>
      <c r="O902" s="7"/>
      <c r="P902" s="7"/>
      <c r="Q902" s="7"/>
      <c r="R902" s="7"/>
      <c r="S902" s="7"/>
      <c r="T902" s="7"/>
    </row>
    <row r="903" ht="14.25" customHeight="1">
      <c r="A903" s="7"/>
      <c r="B903" s="7"/>
      <c r="C903" s="7"/>
      <c r="D903" s="7"/>
      <c r="E903" s="7"/>
      <c r="F903" s="7"/>
      <c r="G903" s="7"/>
      <c r="H903" s="7"/>
      <c r="I903" s="7"/>
      <c r="J903" s="7"/>
      <c r="K903" s="7"/>
      <c r="L903" s="7"/>
      <c r="M903" s="7"/>
      <c r="N903" s="7"/>
      <c r="O903" s="7"/>
      <c r="P903" s="7"/>
      <c r="Q903" s="7"/>
      <c r="R903" s="7"/>
      <c r="S903" s="7"/>
      <c r="T903" s="7"/>
    </row>
    <row r="904" ht="14.25" customHeight="1">
      <c r="A904" s="7"/>
      <c r="B904" s="7"/>
      <c r="C904" s="7"/>
      <c r="D904" s="7"/>
      <c r="E904" s="7"/>
      <c r="F904" s="7"/>
      <c r="G904" s="7"/>
      <c r="H904" s="7"/>
      <c r="I904" s="7"/>
      <c r="J904" s="7"/>
      <c r="K904" s="7"/>
      <c r="L904" s="7"/>
      <c r="M904" s="7"/>
      <c r="N904" s="7"/>
      <c r="O904" s="7"/>
      <c r="P904" s="7"/>
      <c r="Q904" s="7"/>
      <c r="R904" s="7"/>
      <c r="S904" s="7"/>
      <c r="T904" s="7"/>
    </row>
    <row r="905" ht="14.25" customHeight="1">
      <c r="A905" s="7"/>
      <c r="B905" s="7"/>
      <c r="C905" s="7"/>
      <c r="D905" s="7"/>
      <c r="E905" s="7"/>
      <c r="F905" s="7"/>
      <c r="G905" s="7"/>
      <c r="H905" s="7"/>
      <c r="I905" s="7"/>
      <c r="J905" s="7"/>
      <c r="K905" s="7"/>
      <c r="L905" s="7"/>
      <c r="M905" s="7"/>
      <c r="N905" s="7"/>
      <c r="O905" s="7"/>
      <c r="P905" s="7"/>
      <c r="Q905" s="7"/>
      <c r="R905" s="7"/>
      <c r="S905" s="7"/>
      <c r="T905" s="7"/>
    </row>
    <row r="906" ht="14.25" customHeight="1">
      <c r="A906" s="7"/>
      <c r="B906" s="7"/>
      <c r="C906" s="7"/>
      <c r="D906" s="7"/>
      <c r="E906" s="7"/>
      <c r="F906" s="7"/>
      <c r="G906" s="7"/>
      <c r="H906" s="7"/>
      <c r="I906" s="7"/>
      <c r="J906" s="7"/>
      <c r="K906" s="7"/>
      <c r="L906" s="7"/>
      <c r="M906" s="7"/>
      <c r="N906" s="7"/>
      <c r="O906" s="7"/>
      <c r="P906" s="7"/>
      <c r="Q906" s="7"/>
      <c r="R906" s="7"/>
      <c r="S906" s="7"/>
      <c r="T906" s="7"/>
    </row>
    <row r="907" ht="14.25" customHeight="1">
      <c r="A907" s="7"/>
      <c r="B907" s="7"/>
      <c r="C907" s="7"/>
      <c r="D907" s="7"/>
      <c r="E907" s="7"/>
      <c r="F907" s="7"/>
      <c r="G907" s="7"/>
      <c r="H907" s="7"/>
      <c r="I907" s="7"/>
      <c r="J907" s="7"/>
      <c r="K907" s="7"/>
      <c r="L907" s="7"/>
      <c r="M907" s="7"/>
      <c r="N907" s="7"/>
      <c r="O907" s="7"/>
      <c r="P907" s="7"/>
      <c r="Q907" s="7"/>
      <c r="R907" s="7"/>
      <c r="S907" s="7"/>
      <c r="T907" s="7"/>
    </row>
    <row r="908" ht="14.25" customHeight="1">
      <c r="A908" s="7"/>
      <c r="B908" s="7"/>
      <c r="C908" s="7"/>
      <c r="D908" s="7"/>
      <c r="E908" s="7"/>
      <c r="F908" s="7"/>
      <c r="G908" s="7"/>
      <c r="H908" s="7"/>
      <c r="I908" s="7"/>
      <c r="J908" s="7"/>
      <c r="K908" s="7"/>
      <c r="L908" s="7"/>
      <c r="M908" s="7"/>
      <c r="N908" s="7"/>
      <c r="O908" s="7"/>
      <c r="P908" s="7"/>
      <c r="Q908" s="7"/>
      <c r="R908" s="7"/>
      <c r="S908" s="7"/>
      <c r="T908" s="7"/>
    </row>
    <row r="909" ht="14.25" customHeight="1">
      <c r="A909" s="7"/>
      <c r="B909" s="7"/>
      <c r="C909" s="7"/>
      <c r="D909" s="7"/>
      <c r="E909" s="7"/>
      <c r="F909" s="7"/>
      <c r="G909" s="7"/>
      <c r="H909" s="7"/>
      <c r="I909" s="7"/>
      <c r="J909" s="7"/>
      <c r="K909" s="7"/>
      <c r="L909" s="7"/>
      <c r="M909" s="7"/>
      <c r="N909" s="7"/>
      <c r="O909" s="7"/>
      <c r="P909" s="7"/>
      <c r="Q909" s="7"/>
      <c r="R909" s="7"/>
      <c r="S909" s="7"/>
      <c r="T909" s="7"/>
    </row>
    <row r="910" ht="14.25" customHeight="1">
      <c r="A910" s="7"/>
      <c r="B910" s="7"/>
      <c r="C910" s="7"/>
      <c r="D910" s="7"/>
      <c r="E910" s="7"/>
      <c r="F910" s="7"/>
      <c r="G910" s="7"/>
      <c r="H910" s="7"/>
      <c r="I910" s="7"/>
      <c r="J910" s="7"/>
      <c r="K910" s="7"/>
      <c r="L910" s="7"/>
      <c r="M910" s="7"/>
      <c r="N910" s="7"/>
      <c r="O910" s="7"/>
      <c r="P910" s="7"/>
      <c r="Q910" s="7"/>
      <c r="R910" s="7"/>
      <c r="S910" s="7"/>
      <c r="T910" s="7"/>
    </row>
    <row r="911" ht="14.25" customHeight="1">
      <c r="A911" s="7"/>
      <c r="B911" s="7"/>
      <c r="C911" s="7"/>
      <c r="D911" s="7"/>
      <c r="E911" s="7"/>
      <c r="F911" s="7"/>
      <c r="G911" s="7"/>
      <c r="H911" s="7"/>
      <c r="I911" s="7"/>
      <c r="J911" s="7"/>
      <c r="K911" s="7"/>
      <c r="L911" s="7"/>
      <c r="M911" s="7"/>
      <c r="N911" s="7"/>
      <c r="O911" s="7"/>
      <c r="P911" s="7"/>
      <c r="Q911" s="7"/>
      <c r="R911" s="7"/>
      <c r="S911" s="7"/>
      <c r="T911" s="7"/>
    </row>
    <row r="912" ht="14.25" customHeight="1">
      <c r="A912" s="7"/>
      <c r="B912" s="7"/>
      <c r="C912" s="7"/>
      <c r="D912" s="7"/>
      <c r="E912" s="7"/>
      <c r="F912" s="7"/>
      <c r="G912" s="7"/>
      <c r="H912" s="7"/>
      <c r="I912" s="7"/>
      <c r="J912" s="7"/>
      <c r="K912" s="7"/>
      <c r="L912" s="7"/>
      <c r="M912" s="7"/>
      <c r="N912" s="7"/>
      <c r="O912" s="7"/>
      <c r="P912" s="7"/>
      <c r="Q912" s="7"/>
      <c r="R912" s="7"/>
      <c r="S912" s="7"/>
      <c r="T912" s="7"/>
    </row>
    <row r="913" ht="14.25" customHeight="1">
      <c r="A913" s="7"/>
      <c r="B913" s="7"/>
      <c r="C913" s="7"/>
      <c r="D913" s="7"/>
      <c r="E913" s="7"/>
      <c r="F913" s="7"/>
      <c r="G913" s="7"/>
      <c r="H913" s="7"/>
      <c r="I913" s="7"/>
      <c r="J913" s="7"/>
      <c r="K913" s="7"/>
      <c r="L913" s="7"/>
      <c r="M913" s="7"/>
      <c r="N913" s="7"/>
      <c r="O913" s="7"/>
      <c r="P913" s="7"/>
      <c r="Q913" s="7"/>
      <c r="R913" s="7"/>
      <c r="S913" s="7"/>
      <c r="T913" s="7"/>
    </row>
    <row r="914" ht="14.25" customHeight="1">
      <c r="A914" s="7"/>
      <c r="B914" s="7"/>
      <c r="C914" s="7"/>
      <c r="D914" s="7"/>
      <c r="E914" s="7"/>
      <c r="F914" s="7"/>
      <c r="G914" s="7"/>
      <c r="H914" s="7"/>
      <c r="I914" s="7"/>
      <c r="J914" s="7"/>
      <c r="K914" s="7"/>
      <c r="L914" s="7"/>
      <c r="M914" s="7"/>
      <c r="N914" s="7"/>
      <c r="O914" s="7"/>
      <c r="P914" s="7"/>
      <c r="Q914" s="7"/>
      <c r="R914" s="7"/>
      <c r="S914" s="7"/>
      <c r="T914" s="7"/>
    </row>
    <row r="915" ht="14.25" customHeight="1">
      <c r="A915" s="7"/>
      <c r="B915" s="7"/>
      <c r="C915" s="7"/>
      <c r="D915" s="7"/>
      <c r="E915" s="7"/>
      <c r="F915" s="7"/>
      <c r="G915" s="7"/>
      <c r="H915" s="7"/>
      <c r="I915" s="7"/>
      <c r="J915" s="7"/>
      <c r="K915" s="7"/>
      <c r="L915" s="7"/>
      <c r="M915" s="7"/>
      <c r="N915" s="7"/>
      <c r="O915" s="7"/>
      <c r="P915" s="7"/>
      <c r="Q915" s="7"/>
      <c r="R915" s="7"/>
      <c r="S915" s="7"/>
      <c r="T915" s="7"/>
    </row>
    <row r="916" ht="14.25" customHeight="1">
      <c r="A916" s="7"/>
      <c r="B916" s="7"/>
      <c r="C916" s="7"/>
      <c r="D916" s="7"/>
      <c r="E916" s="7"/>
      <c r="F916" s="7"/>
      <c r="G916" s="7"/>
      <c r="H916" s="7"/>
      <c r="I916" s="7"/>
      <c r="J916" s="7"/>
      <c r="K916" s="7"/>
      <c r="L916" s="7"/>
      <c r="M916" s="7"/>
      <c r="N916" s="7"/>
      <c r="O916" s="7"/>
      <c r="P916" s="7"/>
      <c r="Q916" s="7"/>
      <c r="R916" s="7"/>
      <c r="S916" s="7"/>
      <c r="T916" s="7"/>
    </row>
    <row r="917" ht="14.25" customHeight="1">
      <c r="A917" s="7"/>
      <c r="B917" s="7"/>
      <c r="C917" s="7"/>
      <c r="D917" s="7"/>
      <c r="E917" s="7"/>
      <c r="F917" s="7"/>
      <c r="G917" s="7"/>
      <c r="H917" s="7"/>
      <c r="I917" s="7"/>
      <c r="J917" s="7"/>
      <c r="K917" s="7"/>
      <c r="L917" s="7"/>
      <c r="M917" s="7"/>
      <c r="N917" s="7"/>
      <c r="O917" s="7"/>
      <c r="P917" s="7"/>
      <c r="Q917" s="7"/>
      <c r="R917" s="7"/>
      <c r="S917" s="7"/>
      <c r="T917" s="7"/>
    </row>
    <row r="918" ht="14.25" customHeight="1">
      <c r="A918" s="7"/>
      <c r="B918" s="7"/>
      <c r="C918" s="7"/>
      <c r="D918" s="7"/>
      <c r="E918" s="7"/>
      <c r="F918" s="7"/>
      <c r="G918" s="7"/>
      <c r="H918" s="7"/>
      <c r="I918" s="7"/>
      <c r="J918" s="7"/>
      <c r="K918" s="7"/>
      <c r="L918" s="7"/>
      <c r="M918" s="7"/>
      <c r="N918" s="7"/>
      <c r="O918" s="7"/>
      <c r="P918" s="7"/>
      <c r="Q918" s="7"/>
      <c r="R918" s="7"/>
      <c r="S918" s="7"/>
      <c r="T918" s="7"/>
    </row>
    <row r="919" ht="14.25" customHeight="1">
      <c r="A919" s="7"/>
      <c r="B919" s="7"/>
      <c r="C919" s="7"/>
      <c r="D919" s="7"/>
      <c r="E919" s="7"/>
      <c r="F919" s="7"/>
      <c r="G919" s="7"/>
      <c r="H919" s="7"/>
      <c r="I919" s="7"/>
      <c r="J919" s="7"/>
      <c r="K919" s="7"/>
      <c r="L919" s="7"/>
      <c r="M919" s="7"/>
      <c r="N919" s="7"/>
      <c r="O919" s="7"/>
      <c r="P919" s="7"/>
      <c r="Q919" s="7"/>
      <c r="R919" s="7"/>
      <c r="S919" s="7"/>
      <c r="T919" s="7"/>
    </row>
    <row r="920" ht="14.25" customHeight="1">
      <c r="A920" s="7"/>
      <c r="B920" s="7"/>
      <c r="C920" s="7"/>
      <c r="D920" s="7"/>
      <c r="E920" s="7"/>
      <c r="F920" s="7"/>
      <c r="G920" s="7"/>
      <c r="H920" s="7"/>
      <c r="I920" s="7"/>
      <c r="J920" s="7"/>
      <c r="K920" s="7"/>
      <c r="L920" s="7"/>
      <c r="M920" s="7"/>
      <c r="N920" s="7"/>
      <c r="O920" s="7"/>
      <c r="P920" s="7"/>
      <c r="Q920" s="7"/>
      <c r="R920" s="7"/>
      <c r="S920" s="7"/>
      <c r="T920" s="7"/>
    </row>
    <row r="921" ht="14.25" customHeight="1">
      <c r="A921" s="7"/>
      <c r="B921" s="7"/>
      <c r="C921" s="7"/>
      <c r="D921" s="7"/>
      <c r="E921" s="7"/>
      <c r="F921" s="7"/>
      <c r="G921" s="7"/>
      <c r="H921" s="7"/>
      <c r="I921" s="7"/>
      <c r="J921" s="7"/>
      <c r="K921" s="7"/>
      <c r="L921" s="7"/>
      <c r="M921" s="7"/>
      <c r="N921" s="7"/>
      <c r="O921" s="7"/>
      <c r="P921" s="7"/>
      <c r="Q921" s="7"/>
      <c r="R921" s="7"/>
      <c r="S921" s="7"/>
      <c r="T921" s="7"/>
    </row>
    <row r="922" ht="14.25" customHeight="1">
      <c r="A922" s="7"/>
      <c r="B922" s="7"/>
      <c r="C922" s="7"/>
      <c r="D922" s="7"/>
      <c r="E922" s="7"/>
      <c r="F922" s="7"/>
      <c r="G922" s="7"/>
      <c r="H922" s="7"/>
      <c r="I922" s="7"/>
      <c r="J922" s="7"/>
      <c r="K922" s="7"/>
      <c r="L922" s="7"/>
      <c r="M922" s="7"/>
      <c r="N922" s="7"/>
      <c r="O922" s="7"/>
      <c r="P922" s="7"/>
      <c r="Q922" s="7"/>
      <c r="R922" s="7"/>
      <c r="S922" s="7"/>
      <c r="T922" s="7"/>
    </row>
    <row r="923" ht="14.25" customHeight="1">
      <c r="A923" s="7"/>
      <c r="B923" s="7"/>
      <c r="C923" s="7"/>
      <c r="D923" s="7"/>
      <c r="E923" s="7"/>
      <c r="F923" s="7"/>
      <c r="G923" s="7"/>
      <c r="H923" s="7"/>
      <c r="I923" s="7"/>
      <c r="J923" s="7"/>
      <c r="K923" s="7"/>
      <c r="L923" s="7"/>
      <c r="M923" s="7"/>
      <c r="N923" s="7"/>
      <c r="O923" s="7"/>
      <c r="P923" s="7"/>
      <c r="Q923" s="7"/>
      <c r="R923" s="7"/>
      <c r="S923" s="7"/>
      <c r="T923" s="7"/>
    </row>
    <row r="924" ht="14.25" customHeight="1">
      <c r="A924" s="7"/>
      <c r="B924" s="7"/>
      <c r="C924" s="7"/>
      <c r="D924" s="7"/>
      <c r="E924" s="7"/>
      <c r="F924" s="7"/>
      <c r="G924" s="7"/>
      <c r="H924" s="7"/>
      <c r="I924" s="7"/>
      <c r="J924" s="7"/>
      <c r="K924" s="7"/>
      <c r="L924" s="7"/>
      <c r="M924" s="7"/>
      <c r="N924" s="7"/>
      <c r="O924" s="7"/>
      <c r="P924" s="7"/>
      <c r="Q924" s="7"/>
      <c r="R924" s="7"/>
      <c r="S924" s="7"/>
      <c r="T924" s="7"/>
    </row>
    <row r="925" ht="14.25" customHeight="1">
      <c r="A925" s="7"/>
      <c r="B925" s="7"/>
      <c r="C925" s="7"/>
      <c r="D925" s="7"/>
      <c r="E925" s="7"/>
      <c r="F925" s="7"/>
      <c r="G925" s="7"/>
      <c r="H925" s="7"/>
      <c r="I925" s="7"/>
      <c r="J925" s="7"/>
      <c r="K925" s="7"/>
      <c r="L925" s="7"/>
      <c r="M925" s="7"/>
      <c r="N925" s="7"/>
      <c r="O925" s="7"/>
      <c r="P925" s="7"/>
      <c r="Q925" s="7"/>
      <c r="R925" s="7"/>
      <c r="S925" s="7"/>
      <c r="T925" s="7"/>
    </row>
    <row r="926" ht="14.25" customHeight="1">
      <c r="A926" s="7"/>
      <c r="B926" s="7"/>
      <c r="C926" s="7"/>
      <c r="D926" s="7"/>
      <c r="E926" s="7"/>
      <c r="F926" s="7"/>
      <c r="G926" s="7"/>
      <c r="H926" s="7"/>
      <c r="I926" s="7"/>
      <c r="J926" s="7"/>
      <c r="K926" s="7"/>
      <c r="L926" s="7"/>
      <c r="M926" s="7"/>
      <c r="N926" s="7"/>
      <c r="O926" s="7"/>
      <c r="P926" s="7"/>
      <c r="Q926" s="7"/>
      <c r="R926" s="7"/>
      <c r="S926" s="7"/>
      <c r="T926" s="7"/>
    </row>
    <row r="927" ht="14.25" customHeight="1">
      <c r="A927" s="7"/>
      <c r="B927" s="7"/>
      <c r="C927" s="7"/>
      <c r="D927" s="7"/>
      <c r="E927" s="7"/>
      <c r="F927" s="7"/>
      <c r="G927" s="7"/>
      <c r="H927" s="7"/>
      <c r="I927" s="7"/>
      <c r="J927" s="7"/>
      <c r="K927" s="7"/>
      <c r="L927" s="7"/>
      <c r="M927" s="7"/>
      <c r="N927" s="7"/>
      <c r="O927" s="7"/>
      <c r="P927" s="7"/>
      <c r="Q927" s="7"/>
      <c r="R927" s="7"/>
      <c r="S927" s="7"/>
      <c r="T927" s="7"/>
    </row>
    <row r="928" ht="14.25" customHeight="1">
      <c r="A928" s="7"/>
      <c r="B928" s="7"/>
      <c r="C928" s="7"/>
      <c r="D928" s="7"/>
      <c r="E928" s="7"/>
      <c r="F928" s="7"/>
      <c r="G928" s="7"/>
      <c r="H928" s="7"/>
      <c r="I928" s="7"/>
      <c r="J928" s="7"/>
      <c r="K928" s="7"/>
      <c r="L928" s="7"/>
      <c r="M928" s="7"/>
      <c r="N928" s="7"/>
      <c r="O928" s="7"/>
      <c r="P928" s="7"/>
      <c r="Q928" s="7"/>
      <c r="R928" s="7"/>
      <c r="S928" s="7"/>
      <c r="T928" s="7"/>
    </row>
    <row r="929" ht="14.25" customHeight="1">
      <c r="A929" s="7"/>
      <c r="B929" s="7"/>
      <c r="C929" s="7"/>
      <c r="D929" s="7"/>
      <c r="E929" s="7"/>
      <c r="F929" s="7"/>
      <c r="G929" s="7"/>
      <c r="H929" s="7"/>
      <c r="I929" s="7"/>
      <c r="J929" s="7"/>
      <c r="K929" s="7"/>
      <c r="L929" s="7"/>
      <c r="M929" s="7"/>
      <c r="N929" s="7"/>
      <c r="O929" s="7"/>
      <c r="P929" s="7"/>
      <c r="Q929" s="7"/>
      <c r="R929" s="7"/>
      <c r="S929" s="7"/>
      <c r="T929" s="7"/>
    </row>
    <row r="930" ht="14.25" customHeight="1">
      <c r="A930" s="7"/>
      <c r="B930" s="7"/>
      <c r="C930" s="7"/>
      <c r="D930" s="7"/>
      <c r="E930" s="7"/>
      <c r="F930" s="7"/>
      <c r="G930" s="7"/>
      <c r="H930" s="7"/>
      <c r="I930" s="7"/>
      <c r="J930" s="7"/>
      <c r="K930" s="7"/>
      <c r="L930" s="7"/>
      <c r="M930" s="7"/>
      <c r="N930" s="7"/>
      <c r="O930" s="7"/>
      <c r="P930" s="7"/>
      <c r="Q930" s="7"/>
      <c r="R930" s="7"/>
      <c r="S930" s="7"/>
      <c r="T930" s="7"/>
    </row>
    <row r="931" ht="14.25" customHeight="1">
      <c r="A931" s="7"/>
      <c r="B931" s="7"/>
      <c r="C931" s="7"/>
      <c r="D931" s="7"/>
      <c r="E931" s="7"/>
      <c r="F931" s="7"/>
      <c r="G931" s="7"/>
      <c r="H931" s="7"/>
      <c r="I931" s="7"/>
      <c r="J931" s="7"/>
      <c r="K931" s="7"/>
      <c r="L931" s="7"/>
      <c r="M931" s="7"/>
      <c r="N931" s="7"/>
      <c r="O931" s="7"/>
      <c r="P931" s="7"/>
      <c r="Q931" s="7"/>
      <c r="R931" s="7"/>
      <c r="S931" s="7"/>
      <c r="T931" s="7"/>
    </row>
    <row r="932" ht="14.25" customHeight="1">
      <c r="A932" s="7"/>
      <c r="B932" s="7"/>
      <c r="C932" s="7"/>
      <c r="D932" s="7"/>
      <c r="E932" s="7"/>
      <c r="F932" s="7"/>
      <c r="G932" s="7"/>
      <c r="H932" s="7"/>
      <c r="I932" s="7"/>
      <c r="J932" s="7"/>
      <c r="K932" s="7"/>
      <c r="L932" s="7"/>
      <c r="M932" s="7"/>
      <c r="N932" s="7"/>
      <c r="O932" s="7"/>
      <c r="P932" s="7"/>
      <c r="Q932" s="7"/>
      <c r="R932" s="7"/>
      <c r="S932" s="7"/>
      <c r="T932" s="7"/>
    </row>
    <row r="933" ht="14.25" customHeight="1">
      <c r="A933" s="7"/>
      <c r="B933" s="7"/>
      <c r="C933" s="7"/>
      <c r="D933" s="7"/>
      <c r="E933" s="7"/>
      <c r="F933" s="7"/>
      <c r="G933" s="7"/>
      <c r="H933" s="7"/>
      <c r="I933" s="7"/>
      <c r="J933" s="7"/>
      <c r="K933" s="7"/>
      <c r="L933" s="7"/>
      <c r="M933" s="7"/>
      <c r="N933" s="7"/>
      <c r="O933" s="7"/>
      <c r="P933" s="7"/>
      <c r="Q933" s="7"/>
      <c r="R933" s="7"/>
      <c r="S933" s="7"/>
      <c r="T933" s="7"/>
    </row>
    <row r="934" ht="14.25" customHeight="1">
      <c r="A934" s="7"/>
      <c r="B934" s="7"/>
      <c r="C934" s="7"/>
      <c r="D934" s="7"/>
      <c r="E934" s="7"/>
      <c r="F934" s="7"/>
      <c r="G934" s="7"/>
      <c r="H934" s="7"/>
      <c r="I934" s="7"/>
      <c r="J934" s="7"/>
      <c r="K934" s="7"/>
      <c r="L934" s="7"/>
      <c r="M934" s="7"/>
      <c r="N934" s="7"/>
      <c r="O934" s="7"/>
      <c r="P934" s="7"/>
      <c r="Q934" s="7"/>
      <c r="R934" s="7"/>
      <c r="S934" s="7"/>
      <c r="T934" s="7"/>
    </row>
    <row r="935" ht="14.25" customHeight="1">
      <c r="A935" s="7"/>
      <c r="B935" s="7"/>
      <c r="C935" s="7"/>
      <c r="D935" s="7"/>
      <c r="E935" s="7"/>
      <c r="F935" s="7"/>
      <c r="G935" s="7"/>
      <c r="H935" s="7"/>
      <c r="I935" s="7"/>
      <c r="J935" s="7"/>
      <c r="K935" s="7"/>
      <c r="L935" s="7"/>
      <c r="M935" s="7"/>
      <c r="N935" s="7"/>
      <c r="O935" s="7"/>
      <c r="P935" s="7"/>
      <c r="Q935" s="7"/>
      <c r="R935" s="7"/>
      <c r="S935" s="7"/>
      <c r="T935" s="7"/>
    </row>
    <row r="936" ht="14.25" customHeight="1">
      <c r="A936" s="7"/>
      <c r="B936" s="7"/>
      <c r="C936" s="7"/>
      <c r="D936" s="7"/>
      <c r="E936" s="7"/>
      <c r="F936" s="7"/>
      <c r="G936" s="7"/>
      <c r="H936" s="7"/>
      <c r="I936" s="7"/>
      <c r="J936" s="7"/>
      <c r="K936" s="7"/>
      <c r="L936" s="7"/>
      <c r="M936" s="7"/>
      <c r="N936" s="7"/>
      <c r="O936" s="7"/>
      <c r="P936" s="7"/>
      <c r="Q936" s="7"/>
      <c r="R936" s="7"/>
      <c r="S936" s="7"/>
      <c r="T936" s="7"/>
    </row>
    <row r="937" ht="14.25" customHeight="1">
      <c r="A937" s="7"/>
      <c r="B937" s="7"/>
      <c r="C937" s="7"/>
      <c r="D937" s="7"/>
      <c r="E937" s="7"/>
      <c r="F937" s="7"/>
      <c r="G937" s="7"/>
      <c r="H937" s="7"/>
      <c r="I937" s="7"/>
      <c r="J937" s="7"/>
      <c r="K937" s="7"/>
      <c r="L937" s="7"/>
      <c r="M937" s="7"/>
      <c r="N937" s="7"/>
      <c r="O937" s="7"/>
      <c r="P937" s="7"/>
      <c r="Q937" s="7"/>
      <c r="R937" s="7"/>
      <c r="S937" s="7"/>
      <c r="T937" s="7"/>
    </row>
    <row r="938" ht="14.25" customHeight="1">
      <c r="A938" s="7"/>
      <c r="B938" s="7"/>
      <c r="C938" s="7"/>
      <c r="D938" s="7"/>
      <c r="E938" s="7"/>
      <c r="F938" s="7"/>
      <c r="G938" s="7"/>
      <c r="H938" s="7"/>
      <c r="I938" s="7"/>
      <c r="J938" s="7"/>
      <c r="K938" s="7"/>
      <c r="L938" s="7"/>
      <c r="M938" s="7"/>
      <c r="N938" s="7"/>
      <c r="O938" s="7"/>
      <c r="P938" s="7"/>
      <c r="Q938" s="7"/>
      <c r="R938" s="7"/>
      <c r="S938" s="7"/>
      <c r="T938" s="7"/>
    </row>
    <row r="939" ht="14.25" customHeight="1">
      <c r="A939" s="7"/>
      <c r="B939" s="7"/>
      <c r="C939" s="7"/>
      <c r="D939" s="7"/>
      <c r="E939" s="7"/>
      <c r="F939" s="7"/>
      <c r="G939" s="7"/>
      <c r="H939" s="7"/>
      <c r="I939" s="7"/>
      <c r="J939" s="7"/>
      <c r="K939" s="7"/>
      <c r="L939" s="7"/>
      <c r="M939" s="7"/>
      <c r="N939" s="7"/>
      <c r="O939" s="7"/>
      <c r="P939" s="7"/>
      <c r="Q939" s="7"/>
      <c r="R939" s="7"/>
      <c r="S939" s="7"/>
      <c r="T939" s="7"/>
    </row>
    <row r="940" ht="14.25" customHeight="1">
      <c r="A940" s="7"/>
      <c r="B940" s="7"/>
      <c r="C940" s="7"/>
      <c r="D940" s="7"/>
      <c r="E940" s="7"/>
      <c r="F940" s="7"/>
      <c r="G940" s="7"/>
      <c r="H940" s="7"/>
      <c r="I940" s="7"/>
      <c r="J940" s="7"/>
      <c r="K940" s="7"/>
      <c r="L940" s="7"/>
      <c r="M940" s="7"/>
      <c r="N940" s="7"/>
      <c r="O940" s="7"/>
      <c r="P940" s="7"/>
      <c r="Q940" s="7"/>
      <c r="R940" s="7"/>
      <c r="S940" s="7"/>
      <c r="T940" s="7"/>
    </row>
    <row r="941" ht="14.25" customHeight="1">
      <c r="A941" s="7"/>
      <c r="B941" s="7"/>
      <c r="C941" s="7"/>
      <c r="D941" s="7"/>
      <c r="E941" s="7"/>
      <c r="F941" s="7"/>
      <c r="G941" s="7"/>
      <c r="H941" s="7"/>
      <c r="I941" s="7"/>
      <c r="J941" s="7"/>
      <c r="K941" s="7"/>
      <c r="L941" s="7"/>
      <c r="M941" s="7"/>
      <c r="N941" s="7"/>
      <c r="O941" s="7"/>
      <c r="P941" s="7"/>
      <c r="Q941" s="7"/>
      <c r="R941" s="7"/>
      <c r="S941" s="7"/>
      <c r="T941" s="7"/>
    </row>
    <row r="942" ht="14.25" customHeight="1">
      <c r="A942" s="7"/>
      <c r="B942" s="7"/>
      <c r="C942" s="7"/>
      <c r="D942" s="7"/>
      <c r="E942" s="7"/>
      <c r="F942" s="7"/>
      <c r="G942" s="7"/>
      <c r="H942" s="7"/>
      <c r="I942" s="7"/>
      <c r="J942" s="7"/>
      <c r="K942" s="7"/>
      <c r="L942" s="7"/>
      <c r="M942" s="7"/>
      <c r="N942" s="7"/>
      <c r="O942" s="7"/>
      <c r="P942" s="7"/>
      <c r="Q942" s="7"/>
      <c r="R942" s="7"/>
      <c r="S942" s="7"/>
      <c r="T942" s="7"/>
    </row>
    <row r="943" ht="14.25" customHeight="1">
      <c r="A943" s="7"/>
      <c r="B943" s="7"/>
      <c r="C943" s="7"/>
      <c r="D943" s="7"/>
      <c r="E943" s="7"/>
      <c r="F943" s="7"/>
      <c r="G943" s="7"/>
      <c r="H943" s="7"/>
      <c r="I943" s="7"/>
      <c r="J943" s="7"/>
      <c r="K943" s="7"/>
      <c r="L943" s="7"/>
      <c r="M943" s="7"/>
      <c r="N943" s="7"/>
      <c r="O943" s="7"/>
      <c r="P943" s="7"/>
      <c r="Q943" s="7"/>
      <c r="R943" s="7"/>
      <c r="S943" s="7"/>
      <c r="T943" s="7"/>
    </row>
    <row r="944" ht="14.25" customHeight="1">
      <c r="A944" s="7"/>
      <c r="B944" s="7"/>
      <c r="C944" s="7"/>
      <c r="D944" s="7"/>
      <c r="E944" s="7"/>
      <c r="F944" s="7"/>
      <c r="G944" s="7"/>
      <c r="H944" s="7"/>
      <c r="I944" s="7"/>
      <c r="J944" s="7"/>
      <c r="K944" s="7"/>
      <c r="L944" s="7"/>
      <c r="M944" s="7"/>
      <c r="N944" s="7"/>
      <c r="O944" s="7"/>
      <c r="P944" s="7"/>
      <c r="Q944" s="7"/>
      <c r="R944" s="7"/>
      <c r="S944" s="7"/>
      <c r="T944" s="7"/>
    </row>
    <row r="945" ht="14.25" customHeight="1">
      <c r="A945" s="7"/>
      <c r="B945" s="7"/>
      <c r="C945" s="7"/>
      <c r="D945" s="7"/>
      <c r="E945" s="7"/>
      <c r="F945" s="7"/>
      <c r="G945" s="7"/>
      <c r="H945" s="7"/>
      <c r="I945" s="7"/>
      <c r="J945" s="7"/>
      <c r="K945" s="7"/>
      <c r="L945" s="7"/>
      <c r="M945" s="7"/>
      <c r="N945" s="7"/>
      <c r="O945" s="7"/>
      <c r="P945" s="7"/>
      <c r="Q945" s="7"/>
      <c r="R945" s="7"/>
      <c r="S945" s="7"/>
      <c r="T945" s="7"/>
    </row>
    <row r="946" ht="14.25" customHeight="1">
      <c r="A946" s="7"/>
      <c r="B946" s="7"/>
      <c r="C946" s="7"/>
      <c r="D946" s="7"/>
      <c r="E946" s="7"/>
      <c r="F946" s="7"/>
      <c r="G946" s="7"/>
      <c r="H946" s="7"/>
      <c r="I946" s="7"/>
      <c r="J946" s="7"/>
      <c r="K946" s="7"/>
      <c r="L946" s="7"/>
      <c r="M946" s="7"/>
      <c r="N946" s="7"/>
      <c r="O946" s="7"/>
      <c r="P946" s="7"/>
      <c r="Q946" s="7"/>
      <c r="R946" s="7"/>
      <c r="S946" s="7"/>
      <c r="T946" s="7"/>
    </row>
    <row r="947" ht="14.25" customHeight="1">
      <c r="A947" s="7"/>
      <c r="B947" s="7"/>
      <c r="C947" s="7"/>
      <c r="D947" s="7"/>
      <c r="E947" s="7"/>
      <c r="F947" s="7"/>
      <c r="G947" s="7"/>
      <c r="H947" s="7"/>
      <c r="I947" s="7"/>
      <c r="J947" s="7"/>
      <c r="K947" s="7"/>
      <c r="L947" s="7"/>
      <c r="M947" s="7"/>
      <c r="N947" s="7"/>
      <c r="O947" s="7"/>
      <c r="P947" s="7"/>
      <c r="Q947" s="7"/>
      <c r="R947" s="7"/>
      <c r="S947" s="7"/>
      <c r="T947" s="7"/>
    </row>
    <row r="948" ht="14.25" customHeight="1">
      <c r="A948" s="7"/>
      <c r="B948" s="7"/>
      <c r="C948" s="7"/>
      <c r="D948" s="7"/>
      <c r="E948" s="7"/>
      <c r="F948" s="7"/>
      <c r="G948" s="7"/>
      <c r="H948" s="7"/>
      <c r="I948" s="7"/>
      <c r="J948" s="7"/>
      <c r="K948" s="7"/>
      <c r="L948" s="7"/>
      <c r="M948" s="7"/>
      <c r="N948" s="7"/>
      <c r="O948" s="7"/>
      <c r="P948" s="7"/>
      <c r="Q948" s="7"/>
      <c r="R948" s="7"/>
      <c r="S948" s="7"/>
      <c r="T948" s="7"/>
    </row>
    <row r="949" ht="14.25" customHeight="1">
      <c r="A949" s="7"/>
      <c r="B949" s="7"/>
      <c r="C949" s="7"/>
      <c r="D949" s="7"/>
      <c r="E949" s="7"/>
      <c r="F949" s="7"/>
      <c r="G949" s="7"/>
      <c r="H949" s="7"/>
      <c r="I949" s="7"/>
      <c r="J949" s="7"/>
      <c r="K949" s="7"/>
      <c r="L949" s="7"/>
      <c r="M949" s="7"/>
      <c r="N949" s="7"/>
      <c r="O949" s="7"/>
      <c r="P949" s="7"/>
      <c r="Q949" s="7"/>
      <c r="R949" s="7"/>
      <c r="S949" s="7"/>
      <c r="T949" s="7"/>
    </row>
    <row r="950" ht="14.25" customHeight="1">
      <c r="A950" s="7"/>
      <c r="B950" s="7"/>
      <c r="C950" s="7"/>
      <c r="D950" s="7"/>
      <c r="E950" s="7"/>
      <c r="F950" s="7"/>
      <c r="G950" s="7"/>
      <c r="H950" s="7"/>
      <c r="I950" s="7"/>
      <c r="J950" s="7"/>
      <c r="K950" s="7"/>
      <c r="L950" s="7"/>
      <c r="M950" s="7"/>
      <c r="N950" s="7"/>
      <c r="O950" s="7"/>
      <c r="P950" s="7"/>
      <c r="Q950" s="7"/>
      <c r="R950" s="7"/>
      <c r="S950" s="7"/>
      <c r="T950" s="7"/>
    </row>
    <row r="951" ht="14.25" customHeight="1">
      <c r="A951" s="7"/>
      <c r="B951" s="7"/>
      <c r="C951" s="7"/>
      <c r="D951" s="7"/>
      <c r="E951" s="7"/>
      <c r="F951" s="7"/>
      <c r="G951" s="7"/>
      <c r="H951" s="7"/>
      <c r="I951" s="7"/>
      <c r="J951" s="7"/>
      <c r="K951" s="7"/>
      <c r="L951" s="7"/>
      <c r="M951" s="7"/>
      <c r="N951" s="7"/>
      <c r="O951" s="7"/>
      <c r="P951" s="7"/>
      <c r="Q951" s="7"/>
      <c r="R951" s="7"/>
      <c r="S951" s="7"/>
      <c r="T951" s="7"/>
    </row>
    <row r="952" ht="14.25" customHeight="1">
      <c r="A952" s="7"/>
      <c r="B952" s="7"/>
      <c r="C952" s="7"/>
      <c r="D952" s="7"/>
      <c r="E952" s="7"/>
      <c r="F952" s="7"/>
      <c r="G952" s="7"/>
      <c r="H952" s="7"/>
      <c r="I952" s="7"/>
      <c r="J952" s="7"/>
      <c r="K952" s="7"/>
      <c r="L952" s="7"/>
      <c r="M952" s="7"/>
      <c r="N952" s="7"/>
      <c r="O952" s="7"/>
      <c r="P952" s="7"/>
      <c r="Q952" s="7"/>
      <c r="R952" s="7"/>
      <c r="S952" s="7"/>
      <c r="T952" s="7"/>
    </row>
    <row r="953" ht="14.25" customHeight="1">
      <c r="A953" s="7"/>
      <c r="B953" s="7"/>
      <c r="C953" s="7"/>
      <c r="D953" s="7"/>
      <c r="E953" s="7"/>
      <c r="F953" s="7"/>
      <c r="G953" s="7"/>
      <c r="H953" s="7"/>
      <c r="I953" s="7"/>
      <c r="J953" s="7"/>
      <c r="K953" s="7"/>
      <c r="L953" s="7"/>
      <c r="M953" s="7"/>
      <c r="N953" s="7"/>
      <c r="O953" s="7"/>
      <c r="P953" s="7"/>
      <c r="Q953" s="7"/>
      <c r="R953" s="7"/>
      <c r="S953" s="7"/>
      <c r="T953" s="7"/>
    </row>
    <row r="954" ht="14.25" customHeight="1">
      <c r="A954" s="7"/>
      <c r="B954" s="7"/>
      <c r="C954" s="7"/>
      <c r="D954" s="7"/>
      <c r="E954" s="7"/>
      <c r="F954" s="7"/>
      <c r="G954" s="7"/>
      <c r="H954" s="7"/>
      <c r="I954" s="7"/>
      <c r="J954" s="7"/>
      <c r="K954" s="7"/>
      <c r="L954" s="7"/>
      <c r="M954" s="7"/>
      <c r="N954" s="7"/>
      <c r="O954" s="7"/>
      <c r="P954" s="7"/>
      <c r="Q954" s="7"/>
      <c r="R954" s="7"/>
      <c r="S954" s="7"/>
      <c r="T954" s="7"/>
    </row>
    <row r="955" ht="14.25" customHeight="1">
      <c r="A955" s="7"/>
      <c r="B955" s="7"/>
      <c r="C955" s="7"/>
      <c r="D955" s="7"/>
      <c r="E955" s="7"/>
      <c r="F955" s="7"/>
      <c r="G955" s="7"/>
      <c r="H955" s="7"/>
      <c r="I955" s="7"/>
      <c r="J955" s="7"/>
      <c r="K955" s="7"/>
      <c r="L955" s="7"/>
      <c r="M955" s="7"/>
      <c r="N955" s="7"/>
      <c r="O955" s="7"/>
      <c r="P955" s="7"/>
      <c r="Q955" s="7"/>
      <c r="R955" s="7"/>
      <c r="S955" s="7"/>
      <c r="T955" s="7"/>
    </row>
    <row r="956" ht="14.25" customHeight="1">
      <c r="A956" s="7"/>
      <c r="B956" s="7"/>
      <c r="C956" s="7"/>
      <c r="D956" s="7"/>
      <c r="E956" s="7"/>
      <c r="F956" s="7"/>
      <c r="G956" s="7"/>
      <c r="H956" s="7"/>
      <c r="I956" s="7"/>
      <c r="J956" s="7"/>
      <c r="K956" s="7"/>
      <c r="L956" s="7"/>
      <c r="M956" s="7"/>
      <c r="N956" s="7"/>
      <c r="O956" s="7"/>
      <c r="P956" s="7"/>
      <c r="Q956" s="7"/>
      <c r="R956" s="7"/>
      <c r="S956" s="7"/>
      <c r="T956" s="7"/>
    </row>
    <row r="957" ht="14.25" customHeight="1">
      <c r="A957" s="7"/>
      <c r="B957" s="7"/>
      <c r="C957" s="7"/>
      <c r="D957" s="7"/>
      <c r="E957" s="7"/>
      <c r="F957" s="7"/>
      <c r="G957" s="7"/>
      <c r="H957" s="7"/>
      <c r="I957" s="7"/>
      <c r="J957" s="7"/>
      <c r="K957" s="7"/>
      <c r="L957" s="7"/>
      <c r="M957" s="7"/>
      <c r="N957" s="7"/>
      <c r="O957" s="7"/>
      <c r="P957" s="7"/>
      <c r="Q957" s="7"/>
      <c r="R957" s="7"/>
      <c r="S957" s="7"/>
      <c r="T957" s="7"/>
    </row>
    <row r="958" ht="14.25" customHeight="1">
      <c r="A958" s="7"/>
      <c r="B958" s="7"/>
      <c r="C958" s="7"/>
      <c r="D958" s="7"/>
      <c r="E958" s="7"/>
      <c r="F958" s="7"/>
      <c r="G958" s="7"/>
      <c r="H958" s="7"/>
      <c r="I958" s="7"/>
      <c r="J958" s="7"/>
      <c r="K958" s="7"/>
      <c r="L958" s="7"/>
      <c r="M958" s="7"/>
      <c r="N958" s="7"/>
      <c r="O958" s="7"/>
      <c r="P958" s="7"/>
      <c r="Q958" s="7"/>
      <c r="R958" s="7"/>
      <c r="S958" s="7"/>
      <c r="T958" s="7"/>
    </row>
    <row r="959" ht="14.25" customHeight="1">
      <c r="A959" s="7"/>
      <c r="B959" s="7"/>
      <c r="C959" s="7"/>
      <c r="D959" s="7"/>
      <c r="E959" s="7"/>
      <c r="F959" s="7"/>
      <c r="G959" s="7"/>
      <c r="H959" s="7"/>
      <c r="I959" s="7"/>
      <c r="J959" s="7"/>
      <c r="K959" s="7"/>
      <c r="L959" s="7"/>
      <c r="M959" s="7"/>
      <c r="N959" s="7"/>
      <c r="O959" s="7"/>
      <c r="P959" s="7"/>
      <c r="Q959" s="7"/>
      <c r="R959" s="7"/>
      <c r="S959" s="7"/>
      <c r="T959" s="7"/>
    </row>
    <row r="960" ht="14.25" customHeight="1">
      <c r="A960" s="7"/>
      <c r="B960" s="7"/>
      <c r="C960" s="7"/>
      <c r="D960" s="7"/>
      <c r="E960" s="7"/>
      <c r="F960" s="7"/>
      <c r="G960" s="7"/>
      <c r="H960" s="7"/>
      <c r="I960" s="7"/>
      <c r="J960" s="7"/>
      <c r="K960" s="7"/>
      <c r="L960" s="7"/>
      <c r="M960" s="7"/>
      <c r="N960" s="7"/>
      <c r="O960" s="7"/>
      <c r="P960" s="7"/>
      <c r="Q960" s="7"/>
      <c r="R960" s="7"/>
      <c r="S960" s="7"/>
      <c r="T960" s="7"/>
    </row>
    <row r="961" ht="14.25" customHeight="1">
      <c r="A961" s="7"/>
      <c r="B961" s="7"/>
      <c r="C961" s="7"/>
      <c r="D961" s="7"/>
      <c r="E961" s="7"/>
      <c r="F961" s="7"/>
      <c r="G961" s="7"/>
      <c r="H961" s="7"/>
      <c r="I961" s="7"/>
      <c r="J961" s="7"/>
      <c r="K961" s="7"/>
      <c r="L961" s="7"/>
      <c r="M961" s="7"/>
      <c r="N961" s="7"/>
      <c r="O961" s="7"/>
      <c r="P961" s="7"/>
      <c r="Q961" s="7"/>
      <c r="R961" s="7"/>
      <c r="S961" s="7"/>
      <c r="T961" s="7"/>
    </row>
    <row r="962" ht="14.25" customHeight="1">
      <c r="A962" s="7"/>
      <c r="B962" s="7"/>
      <c r="C962" s="7"/>
      <c r="D962" s="7"/>
      <c r="E962" s="7"/>
      <c r="F962" s="7"/>
      <c r="G962" s="7"/>
      <c r="H962" s="7"/>
      <c r="I962" s="7"/>
      <c r="J962" s="7"/>
      <c r="K962" s="7"/>
      <c r="L962" s="7"/>
      <c r="M962" s="7"/>
      <c r="N962" s="7"/>
      <c r="O962" s="7"/>
      <c r="P962" s="7"/>
      <c r="Q962" s="7"/>
      <c r="R962" s="7"/>
      <c r="S962" s="7"/>
      <c r="T962" s="7"/>
    </row>
    <row r="963" ht="14.25" customHeight="1">
      <c r="A963" s="7"/>
      <c r="B963" s="7"/>
      <c r="C963" s="7"/>
      <c r="D963" s="7"/>
      <c r="E963" s="7"/>
      <c r="F963" s="7"/>
      <c r="G963" s="7"/>
      <c r="H963" s="7"/>
      <c r="I963" s="7"/>
      <c r="J963" s="7"/>
      <c r="K963" s="7"/>
      <c r="L963" s="7"/>
      <c r="M963" s="7"/>
      <c r="N963" s="7"/>
      <c r="O963" s="7"/>
      <c r="P963" s="7"/>
      <c r="Q963" s="7"/>
      <c r="R963" s="7"/>
      <c r="S963" s="7"/>
      <c r="T963" s="7"/>
    </row>
    <row r="964" ht="14.25" customHeight="1">
      <c r="A964" s="7"/>
      <c r="B964" s="7"/>
      <c r="C964" s="7"/>
      <c r="D964" s="7"/>
      <c r="E964" s="7"/>
      <c r="F964" s="7"/>
      <c r="G964" s="7"/>
      <c r="H964" s="7"/>
      <c r="I964" s="7"/>
      <c r="J964" s="7"/>
      <c r="K964" s="7"/>
      <c r="L964" s="7"/>
      <c r="M964" s="7"/>
      <c r="N964" s="7"/>
      <c r="O964" s="7"/>
      <c r="P964" s="7"/>
      <c r="Q964" s="7"/>
      <c r="R964" s="7"/>
      <c r="S964" s="7"/>
      <c r="T964" s="7"/>
    </row>
    <row r="965" ht="14.25" customHeight="1">
      <c r="A965" s="7"/>
      <c r="B965" s="7"/>
      <c r="C965" s="7"/>
      <c r="D965" s="7"/>
      <c r="E965" s="7"/>
      <c r="F965" s="7"/>
      <c r="G965" s="7"/>
      <c r="H965" s="7"/>
      <c r="I965" s="7"/>
      <c r="J965" s="7"/>
      <c r="K965" s="7"/>
      <c r="L965" s="7"/>
      <c r="M965" s="7"/>
      <c r="N965" s="7"/>
      <c r="O965" s="7"/>
      <c r="P965" s="7"/>
      <c r="Q965" s="7"/>
      <c r="R965" s="7"/>
      <c r="S965" s="7"/>
      <c r="T965" s="7"/>
    </row>
    <row r="966" ht="14.25" customHeight="1">
      <c r="A966" s="7"/>
      <c r="B966" s="7"/>
      <c r="C966" s="7"/>
      <c r="D966" s="7"/>
      <c r="E966" s="7"/>
      <c r="F966" s="7"/>
      <c r="G966" s="7"/>
      <c r="H966" s="7"/>
      <c r="I966" s="7"/>
      <c r="J966" s="7"/>
      <c r="K966" s="7"/>
      <c r="L966" s="7"/>
      <c r="M966" s="7"/>
      <c r="N966" s="7"/>
      <c r="O966" s="7"/>
      <c r="P966" s="7"/>
      <c r="Q966" s="7"/>
      <c r="R966" s="7"/>
      <c r="S966" s="7"/>
      <c r="T966" s="7"/>
    </row>
    <row r="967" ht="14.25" customHeight="1">
      <c r="A967" s="7"/>
      <c r="B967" s="7"/>
      <c r="C967" s="7"/>
      <c r="D967" s="7"/>
      <c r="E967" s="7"/>
      <c r="F967" s="7"/>
      <c r="G967" s="7"/>
      <c r="H967" s="7"/>
      <c r="I967" s="7"/>
      <c r="J967" s="7"/>
      <c r="K967" s="7"/>
      <c r="L967" s="7"/>
      <c r="M967" s="7"/>
      <c r="N967" s="7"/>
      <c r="O967" s="7"/>
      <c r="P967" s="7"/>
      <c r="Q967" s="7"/>
      <c r="R967" s="7"/>
      <c r="S967" s="7"/>
      <c r="T967" s="7"/>
    </row>
    <row r="968" ht="14.25" customHeight="1">
      <c r="A968" s="7"/>
      <c r="B968" s="7"/>
      <c r="C968" s="7"/>
      <c r="D968" s="7"/>
      <c r="E968" s="7"/>
      <c r="F968" s="7"/>
      <c r="G968" s="7"/>
      <c r="H968" s="7"/>
      <c r="I968" s="7"/>
      <c r="J968" s="7"/>
      <c r="K968" s="7"/>
      <c r="L968" s="7"/>
      <c r="M968" s="7"/>
      <c r="N968" s="7"/>
      <c r="O968" s="7"/>
      <c r="P968" s="7"/>
      <c r="Q968" s="7"/>
      <c r="R968" s="7"/>
      <c r="S968" s="7"/>
      <c r="T968" s="7"/>
    </row>
    <row r="969" ht="14.25" customHeight="1">
      <c r="A969" s="7"/>
      <c r="B969" s="7"/>
      <c r="C969" s="7"/>
      <c r="D969" s="7"/>
      <c r="E969" s="7"/>
      <c r="F969" s="7"/>
      <c r="G969" s="7"/>
      <c r="H969" s="7"/>
      <c r="I969" s="7"/>
      <c r="J969" s="7"/>
      <c r="K969" s="7"/>
      <c r="L969" s="7"/>
      <c r="M969" s="7"/>
      <c r="N969" s="7"/>
      <c r="O969" s="7"/>
      <c r="P969" s="7"/>
      <c r="Q969" s="7"/>
      <c r="R969" s="7"/>
      <c r="S969" s="7"/>
      <c r="T969" s="7"/>
    </row>
    <row r="970" ht="14.25" customHeight="1">
      <c r="A970" s="7"/>
      <c r="B970" s="7"/>
      <c r="C970" s="7"/>
      <c r="D970" s="7"/>
      <c r="E970" s="7"/>
      <c r="F970" s="7"/>
      <c r="G970" s="7"/>
      <c r="H970" s="7"/>
      <c r="I970" s="7"/>
      <c r="J970" s="7"/>
      <c r="K970" s="7"/>
      <c r="L970" s="7"/>
      <c r="M970" s="7"/>
      <c r="N970" s="7"/>
      <c r="O970" s="7"/>
      <c r="P970" s="7"/>
      <c r="Q970" s="7"/>
      <c r="R970" s="7"/>
      <c r="S970" s="7"/>
      <c r="T970" s="7"/>
    </row>
    <row r="971" ht="14.25" customHeight="1">
      <c r="A971" s="7"/>
      <c r="B971" s="7"/>
      <c r="C971" s="7"/>
      <c r="D971" s="7"/>
      <c r="E971" s="7"/>
      <c r="F971" s="7"/>
      <c r="G971" s="7"/>
      <c r="H971" s="7"/>
      <c r="I971" s="7"/>
      <c r="J971" s="7"/>
      <c r="K971" s="7"/>
      <c r="L971" s="7"/>
      <c r="M971" s="7"/>
      <c r="N971" s="7"/>
      <c r="O971" s="7"/>
      <c r="P971" s="7"/>
      <c r="Q971" s="7"/>
      <c r="R971" s="7"/>
      <c r="S971" s="7"/>
      <c r="T971" s="7"/>
    </row>
    <row r="972" ht="14.25" customHeight="1">
      <c r="A972" s="7"/>
      <c r="B972" s="7"/>
      <c r="C972" s="7"/>
      <c r="D972" s="7"/>
      <c r="E972" s="7"/>
      <c r="F972" s="7"/>
      <c r="G972" s="7"/>
      <c r="H972" s="7"/>
      <c r="I972" s="7"/>
      <c r="J972" s="7"/>
      <c r="K972" s="7"/>
      <c r="L972" s="7"/>
      <c r="M972" s="7"/>
      <c r="N972" s="7"/>
      <c r="O972" s="7"/>
      <c r="P972" s="7"/>
      <c r="Q972" s="7"/>
      <c r="R972" s="7"/>
      <c r="S972" s="7"/>
      <c r="T972" s="7"/>
    </row>
    <row r="973" ht="14.25" customHeight="1">
      <c r="A973" s="7"/>
      <c r="B973" s="7"/>
      <c r="C973" s="7"/>
      <c r="D973" s="7"/>
      <c r="E973" s="7"/>
      <c r="F973" s="7"/>
      <c r="G973" s="7"/>
      <c r="H973" s="7"/>
      <c r="I973" s="7"/>
      <c r="J973" s="7"/>
      <c r="K973" s="7"/>
      <c r="L973" s="7"/>
      <c r="M973" s="7"/>
      <c r="N973" s="7"/>
      <c r="O973" s="7"/>
      <c r="P973" s="7"/>
      <c r="Q973" s="7"/>
      <c r="R973" s="7"/>
      <c r="S973" s="7"/>
      <c r="T973" s="7"/>
    </row>
    <row r="974" ht="14.25" customHeight="1">
      <c r="A974" s="7"/>
      <c r="B974" s="7"/>
      <c r="C974" s="7"/>
      <c r="D974" s="7"/>
      <c r="E974" s="7"/>
      <c r="F974" s="7"/>
      <c r="G974" s="7"/>
      <c r="H974" s="7"/>
      <c r="I974" s="7"/>
      <c r="J974" s="7"/>
      <c r="K974" s="7"/>
      <c r="L974" s="7"/>
      <c r="M974" s="7"/>
      <c r="N974" s="7"/>
      <c r="O974" s="7"/>
      <c r="P974" s="7"/>
      <c r="Q974" s="7"/>
      <c r="R974" s="7"/>
      <c r="S974" s="7"/>
      <c r="T974" s="7"/>
    </row>
    <row r="975" ht="14.25" customHeight="1">
      <c r="A975" s="7"/>
      <c r="B975" s="7"/>
      <c r="C975" s="7"/>
      <c r="D975" s="7"/>
      <c r="E975" s="7"/>
      <c r="F975" s="7"/>
      <c r="G975" s="7"/>
      <c r="H975" s="7"/>
      <c r="I975" s="7"/>
      <c r="J975" s="7"/>
      <c r="K975" s="7"/>
      <c r="L975" s="7"/>
      <c r="M975" s="7"/>
      <c r="N975" s="7"/>
      <c r="O975" s="7"/>
      <c r="P975" s="7"/>
      <c r="Q975" s="7"/>
      <c r="R975" s="7"/>
      <c r="S975" s="7"/>
      <c r="T975" s="7"/>
    </row>
    <row r="976" ht="14.25" customHeight="1">
      <c r="A976" s="7"/>
      <c r="B976" s="7"/>
      <c r="C976" s="7"/>
      <c r="D976" s="7"/>
      <c r="E976" s="7"/>
      <c r="F976" s="7"/>
      <c r="G976" s="7"/>
      <c r="H976" s="7"/>
      <c r="I976" s="7"/>
      <c r="J976" s="7"/>
      <c r="K976" s="7"/>
      <c r="L976" s="7"/>
      <c r="M976" s="7"/>
      <c r="N976" s="7"/>
      <c r="O976" s="7"/>
      <c r="P976" s="7"/>
      <c r="Q976" s="7"/>
      <c r="R976" s="7"/>
      <c r="S976" s="7"/>
      <c r="T976" s="7"/>
    </row>
    <row r="977" ht="14.25" customHeight="1">
      <c r="A977" s="7"/>
      <c r="B977" s="7"/>
      <c r="C977" s="7"/>
      <c r="D977" s="7"/>
      <c r="E977" s="7"/>
      <c r="F977" s="7"/>
      <c r="G977" s="7"/>
      <c r="H977" s="7"/>
      <c r="I977" s="7"/>
      <c r="J977" s="7"/>
      <c r="K977" s="7"/>
      <c r="L977" s="7"/>
      <c r="M977" s="7"/>
      <c r="N977" s="7"/>
      <c r="O977" s="7"/>
      <c r="P977" s="7"/>
      <c r="Q977" s="7"/>
      <c r="R977" s="7"/>
      <c r="S977" s="7"/>
      <c r="T977" s="7"/>
    </row>
    <row r="978" ht="14.25" customHeight="1">
      <c r="A978" s="7"/>
      <c r="B978" s="7"/>
      <c r="C978" s="7"/>
      <c r="D978" s="7"/>
      <c r="E978" s="7"/>
      <c r="F978" s="7"/>
      <c r="G978" s="7"/>
      <c r="H978" s="7"/>
      <c r="I978" s="7"/>
      <c r="J978" s="7"/>
      <c r="K978" s="7"/>
      <c r="L978" s="7"/>
      <c r="M978" s="7"/>
      <c r="N978" s="7"/>
      <c r="O978" s="7"/>
      <c r="P978" s="7"/>
      <c r="Q978" s="7"/>
      <c r="R978" s="7"/>
      <c r="S978" s="7"/>
      <c r="T978" s="7"/>
    </row>
    <row r="979" ht="14.25" customHeight="1">
      <c r="A979" s="7"/>
      <c r="B979" s="7"/>
      <c r="C979" s="7"/>
      <c r="D979" s="7"/>
      <c r="E979" s="7"/>
      <c r="F979" s="7"/>
      <c r="G979" s="7"/>
      <c r="H979" s="7"/>
      <c r="I979" s="7"/>
      <c r="J979" s="7"/>
      <c r="K979" s="7"/>
      <c r="L979" s="7"/>
      <c r="M979" s="7"/>
      <c r="N979" s="7"/>
      <c r="O979" s="7"/>
      <c r="P979" s="7"/>
      <c r="Q979" s="7"/>
      <c r="R979" s="7"/>
      <c r="S979" s="7"/>
      <c r="T979" s="7"/>
    </row>
    <row r="980" ht="14.25" customHeight="1">
      <c r="A980" s="7"/>
      <c r="B980" s="7"/>
      <c r="C980" s="7"/>
      <c r="D980" s="7"/>
      <c r="E980" s="7"/>
      <c r="F980" s="7"/>
      <c r="G980" s="7"/>
      <c r="H980" s="7"/>
      <c r="I980" s="7"/>
      <c r="J980" s="7"/>
      <c r="K980" s="7"/>
      <c r="L980" s="7"/>
      <c r="M980" s="7"/>
      <c r="N980" s="7"/>
      <c r="O980" s="7"/>
      <c r="P980" s="7"/>
      <c r="Q980" s="7"/>
      <c r="R980" s="7"/>
      <c r="S980" s="7"/>
      <c r="T980" s="7"/>
    </row>
    <row r="981" ht="14.25" customHeight="1">
      <c r="A981" s="7"/>
      <c r="B981" s="7"/>
      <c r="C981" s="7"/>
      <c r="D981" s="7"/>
      <c r="E981" s="7"/>
      <c r="F981" s="7"/>
      <c r="G981" s="7"/>
      <c r="H981" s="7"/>
      <c r="I981" s="7"/>
      <c r="J981" s="7"/>
      <c r="K981" s="7"/>
      <c r="L981" s="7"/>
      <c r="M981" s="7"/>
      <c r="N981" s="7"/>
      <c r="O981" s="7"/>
      <c r="P981" s="7"/>
      <c r="Q981" s="7"/>
      <c r="R981" s="7"/>
      <c r="S981" s="7"/>
      <c r="T981" s="7"/>
    </row>
    <row r="982" ht="14.25" customHeight="1">
      <c r="A982" s="7"/>
      <c r="B982" s="7"/>
      <c r="C982" s="7"/>
      <c r="D982" s="7"/>
      <c r="E982" s="7"/>
      <c r="F982" s="7"/>
      <c r="G982" s="7"/>
      <c r="H982" s="7"/>
      <c r="I982" s="7"/>
      <c r="J982" s="7"/>
      <c r="K982" s="7"/>
      <c r="L982" s="7"/>
      <c r="M982" s="7"/>
      <c r="N982" s="7"/>
      <c r="O982" s="7"/>
      <c r="P982" s="7"/>
      <c r="Q982" s="7"/>
      <c r="R982" s="7"/>
      <c r="S982" s="7"/>
      <c r="T982" s="7"/>
    </row>
    <row r="983" ht="14.25" customHeight="1">
      <c r="A983" s="7"/>
      <c r="B983" s="7"/>
      <c r="C983" s="7"/>
      <c r="D983" s="7"/>
      <c r="E983" s="7"/>
      <c r="F983" s="7"/>
      <c r="G983" s="7"/>
      <c r="H983" s="7"/>
      <c r="I983" s="7"/>
      <c r="J983" s="7"/>
      <c r="K983" s="7"/>
      <c r="L983" s="7"/>
      <c r="M983" s="7"/>
      <c r="N983" s="7"/>
      <c r="O983" s="7"/>
      <c r="P983" s="7"/>
      <c r="Q983" s="7"/>
      <c r="R983" s="7"/>
      <c r="S983" s="7"/>
      <c r="T983" s="7"/>
    </row>
    <row r="984" ht="14.25" customHeight="1">
      <c r="A984" s="7"/>
      <c r="B984" s="7"/>
      <c r="C984" s="7"/>
      <c r="D984" s="7"/>
      <c r="E984" s="7"/>
      <c r="F984" s="7"/>
      <c r="G984" s="7"/>
      <c r="H984" s="7"/>
      <c r="I984" s="7"/>
      <c r="J984" s="7"/>
      <c r="K984" s="7"/>
      <c r="L984" s="7"/>
      <c r="M984" s="7"/>
      <c r="N984" s="7"/>
      <c r="O984" s="7"/>
      <c r="P984" s="7"/>
      <c r="Q984" s="7"/>
      <c r="R984" s="7"/>
      <c r="S984" s="7"/>
      <c r="T984" s="7"/>
    </row>
    <row r="985" ht="14.25" customHeight="1">
      <c r="A985" s="7"/>
      <c r="B985" s="7"/>
      <c r="C985" s="7"/>
      <c r="D985" s="7"/>
      <c r="E985" s="7"/>
      <c r="F985" s="7"/>
      <c r="G985" s="7"/>
      <c r="H985" s="7"/>
      <c r="I985" s="7"/>
      <c r="J985" s="7"/>
      <c r="K985" s="7"/>
      <c r="L985" s="7"/>
      <c r="M985" s="7"/>
      <c r="N985" s="7"/>
      <c r="O985" s="7"/>
      <c r="P985" s="7"/>
      <c r="Q985" s="7"/>
      <c r="R985" s="7"/>
      <c r="S985" s="7"/>
      <c r="T985" s="7"/>
    </row>
    <row r="986" ht="14.25" customHeight="1">
      <c r="A986" s="7"/>
      <c r="B986" s="7"/>
      <c r="C986" s="7"/>
      <c r="D986" s="7"/>
      <c r="E986" s="7"/>
      <c r="F986" s="7"/>
      <c r="G986" s="7"/>
      <c r="H986" s="7"/>
      <c r="I986" s="7"/>
      <c r="J986" s="7"/>
      <c r="K986" s="7"/>
      <c r="L986" s="7"/>
      <c r="M986" s="7"/>
      <c r="N986" s="7"/>
      <c r="O986" s="7"/>
      <c r="P986" s="7"/>
      <c r="Q986" s="7"/>
      <c r="R986" s="7"/>
      <c r="S986" s="7"/>
      <c r="T986" s="7"/>
    </row>
    <row r="987" ht="14.25" customHeight="1">
      <c r="A987" s="7"/>
      <c r="B987" s="7"/>
      <c r="C987" s="7"/>
      <c r="D987" s="7"/>
      <c r="E987" s="7"/>
      <c r="F987" s="7"/>
      <c r="G987" s="7"/>
      <c r="H987" s="7"/>
      <c r="I987" s="7"/>
      <c r="J987" s="7"/>
      <c r="K987" s="7"/>
      <c r="L987" s="7"/>
      <c r="M987" s="7"/>
      <c r="N987" s="7"/>
      <c r="O987" s="7"/>
      <c r="P987" s="7"/>
      <c r="Q987" s="7"/>
      <c r="R987" s="7"/>
      <c r="S987" s="7"/>
      <c r="T987" s="7"/>
    </row>
    <row r="988" ht="14.25" customHeight="1">
      <c r="A988" s="7"/>
      <c r="B988" s="7"/>
      <c r="C988" s="7"/>
      <c r="D988" s="7"/>
      <c r="E988" s="7"/>
      <c r="F988" s="7"/>
      <c r="G988" s="7"/>
      <c r="H988" s="7"/>
      <c r="I988" s="7"/>
      <c r="J988" s="7"/>
      <c r="K988" s="7"/>
      <c r="L988" s="7"/>
      <c r="M988" s="7"/>
      <c r="N988" s="7"/>
      <c r="O988" s="7"/>
      <c r="P988" s="7"/>
      <c r="Q988" s="7"/>
      <c r="R988" s="7"/>
      <c r="S988" s="7"/>
      <c r="T988" s="7"/>
    </row>
    <row r="989" ht="14.25" customHeight="1">
      <c r="A989" s="7"/>
      <c r="B989" s="7"/>
      <c r="C989" s="7"/>
      <c r="D989" s="7"/>
      <c r="E989" s="7"/>
      <c r="F989" s="7"/>
      <c r="G989" s="7"/>
      <c r="H989" s="7"/>
      <c r="I989" s="7"/>
      <c r="J989" s="7"/>
      <c r="K989" s="7"/>
      <c r="L989" s="7"/>
      <c r="M989" s="7"/>
      <c r="N989" s="7"/>
      <c r="O989" s="7"/>
      <c r="P989" s="7"/>
      <c r="Q989" s="7"/>
      <c r="R989" s="7"/>
      <c r="S989" s="7"/>
      <c r="T989" s="7"/>
    </row>
    <row r="990" ht="14.25" customHeight="1">
      <c r="A990" s="7"/>
      <c r="B990" s="7"/>
      <c r="C990" s="7"/>
      <c r="D990" s="7"/>
      <c r="E990" s="7"/>
      <c r="F990" s="7"/>
      <c r="G990" s="7"/>
      <c r="H990" s="7"/>
      <c r="I990" s="7"/>
      <c r="J990" s="7"/>
      <c r="K990" s="7"/>
      <c r="L990" s="7"/>
      <c r="M990" s="7"/>
      <c r="N990" s="7"/>
      <c r="O990" s="7"/>
      <c r="P990" s="7"/>
      <c r="Q990" s="7"/>
      <c r="R990" s="7"/>
      <c r="S990" s="7"/>
      <c r="T990" s="7"/>
    </row>
    <row r="991" ht="14.25" customHeight="1">
      <c r="A991" s="7"/>
      <c r="B991" s="7"/>
      <c r="C991" s="7"/>
      <c r="D991" s="7"/>
      <c r="E991" s="7"/>
      <c r="F991" s="7"/>
      <c r="G991" s="7"/>
      <c r="H991" s="7"/>
      <c r="I991" s="7"/>
      <c r="J991" s="7"/>
      <c r="K991" s="7"/>
      <c r="L991" s="7"/>
      <c r="M991" s="7"/>
      <c r="N991" s="7"/>
      <c r="O991" s="7"/>
      <c r="P991" s="7"/>
      <c r="Q991" s="7"/>
      <c r="R991" s="7"/>
      <c r="S991" s="7"/>
      <c r="T991" s="7"/>
    </row>
    <row r="992" ht="14.25" customHeight="1">
      <c r="A992" s="7"/>
      <c r="B992" s="7"/>
      <c r="C992" s="7"/>
      <c r="D992" s="7"/>
      <c r="E992" s="7"/>
      <c r="F992" s="7"/>
      <c r="G992" s="7"/>
      <c r="H992" s="7"/>
      <c r="I992" s="7"/>
      <c r="J992" s="7"/>
      <c r="K992" s="7"/>
      <c r="L992" s="7"/>
      <c r="M992" s="7"/>
      <c r="N992" s="7"/>
      <c r="O992" s="7"/>
      <c r="P992" s="7"/>
      <c r="Q992" s="7"/>
      <c r="R992" s="7"/>
      <c r="S992" s="7"/>
      <c r="T992" s="7"/>
    </row>
    <row r="993" ht="14.25" customHeight="1">
      <c r="A993" s="7"/>
      <c r="B993" s="7"/>
      <c r="C993" s="7"/>
      <c r="D993" s="7"/>
      <c r="E993" s="7"/>
      <c r="F993" s="7"/>
      <c r="G993" s="7"/>
      <c r="H993" s="7"/>
      <c r="I993" s="7"/>
      <c r="J993" s="7"/>
      <c r="K993" s="7"/>
      <c r="L993" s="7"/>
      <c r="M993" s="7"/>
      <c r="N993" s="7"/>
      <c r="O993" s="7"/>
      <c r="P993" s="7"/>
      <c r="Q993" s="7"/>
      <c r="R993" s="7"/>
      <c r="S993" s="7"/>
      <c r="T993" s="7"/>
    </row>
    <row r="994" ht="14.25" customHeight="1">
      <c r="A994" s="7"/>
      <c r="B994" s="7"/>
      <c r="C994" s="7"/>
      <c r="D994" s="7"/>
      <c r="E994" s="7"/>
      <c r="F994" s="7"/>
      <c r="G994" s="7"/>
      <c r="H994" s="7"/>
      <c r="I994" s="7"/>
      <c r="J994" s="7"/>
      <c r="K994" s="7"/>
      <c r="L994" s="7"/>
      <c r="M994" s="7"/>
      <c r="N994" s="7"/>
      <c r="O994" s="7"/>
      <c r="P994" s="7"/>
      <c r="Q994" s="7"/>
      <c r="R994" s="7"/>
      <c r="S994" s="7"/>
      <c r="T994" s="7"/>
    </row>
    <row r="995" ht="14.25" customHeight="1">
      <c r="A995" s="7"/>
      <c r="B995" s="7"/>
      <c r="C995" s="7"/>
      <c r="D995" s="7"/>
      <c r="E995" s="7"/>
      <c r="F995" s="7"/>
      <c r="G995" s="7"/>
      <c r="H995" s="7"/>
      <c r="I995" s="7"/>
      <c r="J995" s="7"/>
      <c r="K995" s="7"/>
      <c r="L995" s="7"/>
      <c r="M995" s="7"/>
      <c r="N995" s="7"/>
      <c r="O995" s="7"/>
      <c r="P995" s="7"/>
      <c r="Q995" s="7"/>
      <c r="R995" s="7"/>
      <c r="S995" s="7"/>
      <c r="T995" s="7"/>
    </row>
    <row r="996" ht="14.25" customHeight="1">
      <c r="A996" s="7"/>
      <c r="B996" s="7"/>
      <c r="C996" s="7"/>
      <c r="D996" s="7"/>
      <c r="E996" s="7"/>
      <c r="F996" s="7"/>
      <c r="G996" s="7"/>
      <c r="H996" s="7"/>
      <c r="I996" s="7"/>
      <c r="J996" s="7"/>
      <c r="K996" s="7"/>
      <c r="L996" s="7"/>
      <c r="M996" s="7"/>
      <c r="N996" s="7"/>
      <c r="O996" s="7"/>
      <c r="P996" s="7"/>
      <c r="Q996" s="7"/>
      <c r="R996" s="7"/>
      <c r="S996" s="7"/>
      <c r="T996" s="7"/>
    </row>
    <row r="997" ht="14.25" customHeight="1">
      <c r="A997" s="7"/>
      <c r="B997" s="7"/>
      <c r="C997" s="7"/>
      <c r="D997" s="7"/>
      <c r="E997" s="7"/>
      <c r="F997" s="7"/>
      <c r="G997" s="7"/>
      <c r="H997" s="7"/>
      <c r="I997" s="7"/>
      <c r="J997" s="7"/>
      <c r="K997" s="7"/>
      <c r="L997" s="7"/>
      <c r="M997" s="7"/>
      <c r="N997" s="7"/>
      <c r="O997" s="7"/>
      <c r="P997" s="7"/>
      <c r="Q997" s="7"/>
      <c r="R997" s="7"/>
      <c r="S997" s="7"/>
      <c r="T997" s="7"/>
    </row>
    <row r="998" ht="14.25" customHeight="1">
      <c r="A998" s="7"/>
      <c r="B998" s="7"/>
      <c r="C998" s="7"/>
      <c r="D998" s="7"/>
      <c r="E998" s="7"/>
      <c r="F998" s="7"/>
      <c r="G998" s="7"/>
      <c r="H998" s="7"/>
      <c r="I998" s="7"/>
      <c r="J998" s="7"/>
      <c r="K998" s="7"/>
      <c r="L998" s="7"/>
      <c r="M998" s="7"/>
      <c r="N998" s="7"/>
      <c r="O998" s="7"/>
      <c r="P998" s="7"/>
      <c r="Q998" s="7"/>
      <c r="R998" s="7"/>
      <c r="S998" s="7"/>
      <c r="T998" s="7"/>
    </row>
    <row r="999" ht="14.25" customHeight="1">
      <c r="A999" s="7"/>
      <c r="B999" s="7"/>
      <c r="C999" s="7"/>
      <c r="D999" s="7"/>
      <c r="E999" s="7"/>
      <c r="F999" s="7"/>
      <c r="G999" s="7"/>
      <c r="H999" s="7"/>
      <c r="I999" s="7"/>
      <c r="J999" s="7"/>
      <c r="K999" s="7"/>
      <c r="L999" s="7"/>
      <c r="M999" s="7"/>
      <c r="N999" s="7"/>
      <c r="O999" s="7"/>
      <c r="P999" s="7"/>
      <c r="Q999" s="7"/>
      <c r="R999" s="7"/>
      <c r="S999" s="7"/>
      <c r="T999" s="7"/>
    </row>
    <row r="1000" ht="14.25" customHeight="1">
      <c r="A1000" s="7"/>
      <c r="B1000" s="7"/>
      <c r="C1000" s="7"/>
      <c r="D1000" s="7"/>
      <c r="E1000" s="7"/>
      <c r="F1000" s="7"/>
      <c r="G1000" s="7"/>
      <c r="H1000" s="7"/>
      <c r="I1000" s="7"/>
      <c r="J1000" s="7"/>
      <c r="K1000" s="7"/>
      <c r="L1000" s="7"/>
      <c r="M1000" s="7"/>
      <c r="N1000" s="7"/>
      <c r="O1000" s="7"/>
      <c r="P1000" s="7"/>
      <c r="Q1000" s="7"/>
      <c r="R1000" s="7"/>
      <c r="S1000" s="7"/>
      <c r="T1000" s="7"/>
    </row>
  </sheetData>
  <mergeCells count="15">
    <mergeCell ref="V4:V7"/>
    <mergeCell ref="W4:W7"/>
    <mergeCell ref="X4:X7"/>
    <mergeCell ref="Y4:Y7"/>
    <mergeCell ref="O4:P4"/>
    <mergeCell ref="D5:F5"/>
    <mergeCell ref="E6:E7"/>
    <mergeCell ref="F6:G6"/>
    <mergeCell ref="O3:T3"/>
    <mergeCell ref="U3:W3"/>
    <mergeCell ref="X3:Z3"/>
    <mergeCell ref="Q4:R4"/>
    <mergeCell ref="S4:T4"/>
    <mergeCell ref="U4:U7"/>
    <mergeCell ref="Z4:Z7"/>
  </mergeCells>
  <conditionalFormatting sqref="AB7">
    <cfRule type="containsText" dxfId="5" priority="1" operator="containsText" text="CHECK">
      <formula>NOT(ISERROR(SEARCH(("CHECK"),(AB7))))</formula>
    </cfRule>
  </conditionalFormatting>
  <printOptions/>
  <pageMargins bottom="0.75" footer="0.0" header="0.0" left="0.7" right="0.7" top="0.75"/>
  <pageSetup paperSize="9"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tabColor rgb="FFFF0000"/>
    <pageSetUpPr/>
  </sheetPr>
  <sheetViews>
    <sheetView workbookViewId="0"/>
  </sheetViews>
  <sheetFormatPr customHeight="1" defaultColWidth="14.43" defaultRowHeight="15.0"/>
  <cols>
    <col customWidth="1" min="1" max="1" width="4.0"/>
    <col customWidth="1" min="2" max="2" width="6.14"/>
    <col customWidth="1" min="3" max="3" width="7.43"/>
    <col customWidth="1" min="4" max="4" width="9.57"/>
    <col customWidth="1" min="5" max="5" width="14.29"/>
    <col customWidth="1" min="6" max="6" width="11.57"/>
    <col customWidth="1" min="7" max="7" width="17.14"/>
    <col customWidth="1" min="8" max="8" width="15.43"/>
    <col customWidth="1" min="9" max="10" width="16.86"/>
    <col customWidth="1" min="11" max="12" width="16.43"/>
    <col customWidth="1" min="13" max="13" width="15.71"/>
    <col customWidth="1" min="14" max="14" width="13.86"/>
    <col customWidth="1" min="15" max="15" width="15.43"/>
    <col customWidth="1" min="16" max="17" width="13.86"/>
    <col customWidth="1" min="18" max="18" width="9.14"/>
    <col customWidth="1" min="19" max="19" width="16.71"/>
    <col customWidth="1" min="20" max="55" width="18.71"/>
  </cols>
  <sheetData>
    <row r="1" ht="14.25" customHeight="1">
      <c r="A1" s="6" t="s">
        <v>1</v>
      </c>
      <c r="C1" s="7"/>
      <c r="D1" s="7"/>
      <c r="E1" s="6"/>
      <c r="F1" s="6"/>
      <c r="G1" s="6"/>
      <c r="H1" s="6"/>
      <c r="I1" s="10"/>
      <c r="J1" s="10"/>
      <c r="K1" s="10"/>
      <c r="L1" s="10"/>
      <c r="M1" s="11"/>
      <c r="N1" s="11"/>
      <c r="O1" s="11"/>
      <c r="P1" s="6"/>
      <c r="Q1" s="6"/>
      <c r="R1" s="11"/>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row>
    <row r="2" ht="14.25" customHeight="1">
      <c r="A2" s="6"/>
      <c r="B2" s="20">
        <v>1.0</v>
      </c>
      <c r="C2" s="20">
        <f t="shared" ref="C2:BC2" si="1">B2+1</f>
        <v>2</v>
      </c>
      <c r="D2" s="20">
        <f t="shared" si="1"/>
        <v>3</v>
      </c>
      <c r="E2" s="20">
        <f t="shared" si="1"/>
        <v>4</v>
      </c>
      <c r="F2" s="20">
        <f t="shared" si="1"/>
        <v>5</v>
      </c>
      <c r="G2" s="20">
        <f t="shared" si="1"/>
        <v>6</v>
      </c>
      <c r="H2" s="20">
        <f t="shared" si="1"/>
        <v>7</v>
      </c>
      <c r="I2" s="20">
        <f t="shared" si="1"/>
        <v>8</v>
      </c>
      <c r="J2" s="20">
        <f t="shared" si="1"/>
        <v>9</v>
      </c>
      <c r="K2" s="20">
        <f t="shared" si="1"/>
        <v>10</v>
      </c>
      <c r="L2" s="20">
        <f t="shared" si="1"/>
        <v>11</v>
      </c>
      <c r="M2" s="20">
        <f t="shared" si="1"/>
        <v>12</v>
      </c>
      <c r="N2" s="20">
        <f t="shared" si="1"/>
        <v>13</v>
      </c>
      <c r="O2" s="20">
        <f t="shared" si="1"/>
        <v>14</v>
      </c>
      <c r="P2" s="20">
        <f t="shared" si="1"/>
        <v>15</v>
      </c>
      <c r="Q2" s="20">
        <f t="shared" si="1"/>
        <v>16</v>
      </c>
      <c r="R2" s="20">
        <f t="shared" si="1"/>
        <v>17</v>
      </c>
      <c r="S2" s="20">
        <f t="shared" si="1"/>
        <v>18</v>
      </c>
      <c r="T2" s="20">
        <f t="shared" si="1"/>
        <v>19</v>
      </c>
      <c r="U2" s="20">
        <f t="shared" si="1"/>
        <v>20</v>
      </c>
      <c r="V2" s="20">
        <f t="shared" si="1"/>
        <v>21</v>
      </c>
      <c r="W2" s="20">
        <f t="shared" si="1"/>
        <v>22</v>
      </c>
      <c r="X2" s="20">
        <f t="shared" si="1"/>
        <v>23</v>
      </c>
      <c r="Y2" s="20">
        <f t="shared" si="1"/>
        <v>24</v>
      </c>
      <c r="Z2" s="20">
        <f t="shared" si="1"/>
        <v>25</v>
      </c>
      <c r="AA2" s="20">
        <f t="shared" si="1"/>
        <v>26</v>
      </c>
      <c r="AB2" s="20">
        <f t="shared" si="1"/>
        <v>27</v>
      </c>
      <c r="AC2" s="20">
        <f t="shared" si="1"/>
        <v>28</v>
      </c>
      <c r="AD2" s="20">
        <f t="shared" si="1"/>
        <v>29</v>
      </c>
      <c r="AE2" s="20">
        <f t="shared" si="1"/>
        <v>30</v>
      </c>
      <c r="AF2" s="20">
        <f t="shared" si="1"/>
        <v>31</v>
      </c>
      <c r="AG2" s="20">
        <f t="shared" si="1"/>
        <v>32</v>
      </c>
      <c r="AH2" s="20">
        <f t="shared" si="1"/>
        <v>33</v>
      </c>
      <c r="AI2" s="20">
        <f t="shared" si="1"/>
        <v>34</v>
      </c>
      <c r="AJ2" s="20">
        <f t="shared" si="1"/>
        <v>35</v>
      </c>
      <c r="AK2" s="20">
        <f t="shared" si="1"/>
        <v>36</v>
      </c>
      <c r="AL2" s="20">
        <f t="shared" si="1"/>
        <v>37</v>
      </c>
      <c r="AM2" s="20">
        <f t="shared" si="1"/>
        <v>38</v>
      </c>
      <c r="AN2" s="20">
        <f t="shared" si="1"/>
        <v>39</v>
      </c>
      <c r="AO2" s="20">
        <f t="shared" si="1"/>
        <v>40</v>
      </c>
      <c r="AP2" s="20">
        <f t="shared" si="1"/>
        <v>41</v>
      </c>
      <c r="AQ2" s="20">
        <f t="shared" si="1"/>
        <v>42</v>
      </c>
      <c r="AR2" s="20">
        <f t="shared" si="1"/>
        <v>43</v>
      </c>
      <c r="AS2" s="20">
        <f t="shared" si="1"/>
        <v>44</v>
      </c>
      <c r="AT2" s="20">
        <f t="shared" si="1"/>
        <v>45</v>
      </c>
      <c r="AU2" s="20">
        <f t="shared" si="1"/>
        <v>46</v>
      </c>
      <c r="AV2" s="20">
        <f t="shared" si="1"/>
        <v>47</v>
      </c>
      <c r="AW2" s="20">
        <f t="shared" si="1"/>
        <v>48</v>
      </c>
      <c r="AX2" s="20">
        <f t="shared" si="1"/>
        <v>49</v>
      </c>
      <c r="AY2" s="20">
        <f t="shared" si="1"/>
        <v>50</v>
      </c>
      <c r="AZ2" s="20">
        <f t="shared" si="1"/>
        <v>51</v>
      </c>
      <c r="BA2" s="20">
        <f t="shared" si="1"/>
        <v>52</v>
      </c>
      <c r="BB2" s="20">
        <f t="shared" si="1"/>
        <v>53</v>
      </c>
      <c r="BC2" s="20">
        <f t="shared" si="1"/>
        <v>54</v>
      </c>
    </row>
    <row r="3" ht="14.25" customHeight="1">
      <c r="A3" s="7"/>
      <c r="H3" s="50"/>
      <c r="M3" s="7"/>
      <c r="N3" s="64"/>
      <c r="O3" s="64"/>
      <c r="P3" s="50"/>
      <c r="Q3" s="50"/>
      <c r="R3" s="7"/>
      <c r="S3" s="7"/>
      <c r="T3" s="191" t="str">
        <f>+Assumption!$H$35</f>
        <v>PFI Mega Life Liquid Fund</v>
      </c>
      <c r="U3" s="19"/>
      <c r="V3" s="22"/>
      <c r="W3" s="191" t="str">
        <f>+Assumption!$H$36</f>
        <v>PFI Mega Life Balanced Fund</v>
      </c>
      <c r="X3" s="19"/>
      <c r="Y3" s="22"/>
      <c r="Z3" s="191" t="str">
        <f>+Assumption!$H$37</f>
        <v>PFI Mega Life Equity Fund</v>
      </c>
      <c r="AA3" s="19"/>
      <c r="AB3" s="22"/>
      <c r="AC3" s="191" t="str">
        <f>+Assumption!$H$38</f>
        <v>PFI Mega Life Fixed Income Fund</v>
      </c>
      <c r="AD3" s="19"/>
      <c r="AE3" s="22"/>
      <c r="AF3" s="192" t="str">
        <f>+Assumption!$H$35</f>
        <v>PFI Mega Life Liquid Fund</v>
      </c>
      <c r="AG3" s="19"/>
      <c r="AH3" s="22"/>
      <c r="AI3" s="192" t="str">
        <f>+Assumption!$H$36</f>
        <v>PFI Mega Life Balanced Fund</v>
      </c>
      <c r="AJ3" s="19"/>
      <c r="AK3" s="22"/>
      <c r="AL3" s="192" t="str">
        <f>+Assumption!$H$37</f>
        <v>PFI Mega Life Equity Fund</v>
      </c>
      <c r="AM3" s="19"/>
      <c r="AN3" s="22"/>
      <c r="AO3" s="192" t="str">
        <f>+Assumption!$H$38</f>
        <v>PFI Mega Life Fixed Income Fund</v>
      </c>
      <c r="AP3" s="19"/>
      <c r="AQ3" s="22"/>
      <c r="AR3" s="193" t="str">
        <f>+Assumption!$H$35</f>
        <v>PFI Mega Life Liquid Fund</v>
      </c>
      <c r="AS3" s="19"/>
      <c r="AT3" s="22"/>
      <c r="AU3" s="193" t="str">
        <f>+Assumption!$H$36</f>
        <v>PFI Mega Life Balanced Fund</v>
      </c>
      <c r="AV3" s="19"/>
      <c r="AW3" s="22"/>
      <c r="AX3" s="193" t="str">
        <f>+Assumption!$H$37</f>
        <v>PFI Mega Life Equity Fund</v>
      </c>
      <c r="AY3" s="19"/>
      <c r="AZ3" s="22"/>
      <c r="BA3" s="193" t="str">
        <f>+Assumption!$H$38</f>
        <v>PFI Mega Life Fixed Income Fund</v>
      </c>
      <c r="BB3" s="19"/>
      <c r="BC3" s="22"/>
    </row>
    <row r="4" ht="14.25" customHeight="1">
      <c r="A4" s="7"/>
      <c r="G4" s="64"/>
      <c r="H4" s="64"/>
      <c r="K4" s="194">
        <f t="shared" ref="K4:M4" si="2">K8/12</f>
        <v>478501.6922</v>
      </c>
      <c r="L4" s="194">
        <f t="shared" si="2"/>
        <v>26400.09336</v>
      </c>
      <c r="M4" s="194">
        <f t="shared" si="2"/>
        <v>504901.75</v>
      </c>
      <c r="N4" s="7"/>
      <c r="O4" s="7"/>
      <c r="P4" s="66"/>
      <c r="Q4" s="66"/>
      <c r="R4" s="50"/>
      <c r="S4" s="7"/>
      <c r="T4" s="195" t="str">
        <f>+"Negative Investment at net returns of " &amp; VLOOKUP(T$3,Assumption!$H$35:$K$43,2,0)*100 &amp; " %"</f>
        <v>Negative Investment at net returns of -1 %</v>
      </c>
      <c r="U4" s="19"/>
      <c r="V4" s="22"/>
      <c r="W4" s="195" t="str">
        <f>+"Negative Investment at net returns of " &amp; VLOOKUP(W$3,Assumption!$H$35:$K$43,2,0)*100 &amp; " %"</f>
        <v>Negative Investment at net returns of -1 %</v>
      </c>
      <c r="X4" s="19"/>
      <c r="Y4" s="22"/>
      <c r="Z4" s="195" t="str">
        <f>+"Negative Investment at net returns of " &amp; VLOOKUP(Z$3,Assumption!$H$35:$K$43,2,0)*100 &amp; " %"</f>
        <v>Negative Investment at net returns of -1 %</v>
      </c>
      <c r="AA4" s="19"/>
      <c r="AB4" s="22"/>
      <c r="AC4" s="195" t="str">
        <f>+"Negative Investment at net returns of " &amp; VLOOKUP(AC$3,Assumption!$H$35:$K$43,2,0)*100 &amp; " %"</f>
        <v>Negative Investment at net returns of -1 %</v>
      </c>
      <c r="AD4" s="19"/>
      <c r="AE4" s="22"/>
      <c r="AF4" s="102" t="str">
        <f>+"Zero Investment at net returns of " &amp; VLOOKUP(AF$3,Assumption!$H$35:$K$43,3,0)*100 &amp; " %"</f>
        <v>Zero Investment at net returns of 0 %</v>
      </c>
      <c r="AG4" s="19"/>
      <c r="AH4" s="22"/>
      <c r="AI4" s="102" t="str">
        <f>+"Zero Investment at net returns of " &amp; VLOOKUP(AI$3,Assumption!$H$35:$K$43,3,0)*100 &amp; " %"</f>
        <v>Zero Investment at net returns of 0 %</v>
      </c>
      <c r="AJ4" s="19"/>
      <c r="AK4" s="22"/>
      <c r="AL4" s="102" t="str">
        <f>+"Zero Investment at net returns of " &amp; VLOOKUP(AL$3,Assumption!$H$35:$K$43,3,0)*100 &amp; " %"</f>
        <v>Zero Investment at net returns of 0 %</v>
      </c>
      <c r="AM4" s="19"/>
      <c r="AN4" s="22"/>
      <c r="AO4" s="102" t="str">
        <f>+"Zero Investment at net returns of " &amp; VLOOKUP(AO$3,Assumption!$H$35:$K$43,3,0)*100 &amp; " %"</f>
        <v>Zero Investment at net returns of 0 %</v>
      </c>
      <c r="AP4" s="19"/>
      <c r="AQ4" s="22"/>
      <c r="AR4" s="196" t="str">
        <f>+"Positive Investment at net returns of " &amp; VLOOKUP(AR$3,Assumption!$H$35:$K$43,4,0)*100 &amp; " %"</f>
        <v>Positive Investment at net returns of 4 %</v>
      </c>
      <c r="AS4" s="19"/>
      <c r="AT4" s="22"/>
      <c r="AU4" s="196" t="str">
        <f>+"Positive Investment at net returns of " &amp; VLOOKUP(AU$3,Assumption!$H$35:$K$43,4,0)*100 &amp; " %"</f>
        <v>Positive Investment at net returns of 7 %</v>
      </c>
      <c r="AV4" s="19"/>
      <c r="AW4" s="22"/>
      <c r="AX4" s="196" t="str">
        <f>+"Positive Investment at net returns of " &amp; VLOOKUP(AX$3,Assumption!$H$35:$K$43,4,0)*100 &amp; " %"</f>
        <v>Positive Investment at net returns of 8 %</v>
      </c>
      <c r="AY4" s="19"/>
      <c r="AZ4" s="22"/>
      <c r="BA4" s="196" t="str">
        <f>+"Positive Investment at net returns of " &amp; VLOOKUP(BA$3,Assumption!$H$35:$K$43,4,0)*100 &amp; " %"</f>
        <v>Positive Investment at net returns of 5 %</v>
      </c>
      <c r="BB4" s="19"/>
      <c r="BC4" s="22"/>
    </row>
    <row r="5" ht="14.25" customHeight="1">
      <c r="A5" s="6"/>
      <c r="B5" s="96" t="s">
        <v>37</v>
      </c>
      <c r="C5" s="96" t="s">
        <v>38</v>
      </c>
      <c r="D5" s="96" t="s">
        <v>123</v>
      </c>
      <c r="E5" s="102" t="s">
        <v>39</v>
      </c>
      <c r="F5" s="19"/>
      <c r="G5" s="22"/>
      <c r="H5" s="197"/>
      <c r="I5" s="96" t="s">
        <v>124</v>
      </c>
      <c r="J5" s="96" t="s">
        <v>125</v>
      </c>
      <c r="K5" s="197" t="s">
        <v>44</v>
      </c>
      <c r="L5" s="96" t="s">
        <v>44</v>
      </c>
      <c r="M5" s="96" t="s">
        <v>57</v>
      </c>
      <c r="N5" s="198" t="s">
        <v>126</v>
      </c>
      <c r="O5" s="22"/>
      <c r="P5" s="96" t="s">
        <v>73</v>
      </c>
      <c r="Q5" s="96"/>
      <c r="R5" s="199" t="s">
        <v>46</v>
      </c>
      <c r="S5" s="96" t="s">
        <v>127</v>
      </c>
      <c r="T5" s="200" t="s">
        <v>49</v>
      </c>
      <c r="U5" s="200" t="s">
        <v>49</v>
      </c>
      <c r="V5" s="200" t="s">
        <v>49</v>
      </c>
      <c r="W5" s="200" t="s">
        <v>49</v>
      </c>
      <c r="X5" s="200" t="s">
        <v>49</v>
      </c>
      <c r="Y5" s="200" t="s">
        <v>49</v>
      </c>
      <c r="Z5" s="200" t="s">
        <v>49</v>
      </c>
      <c r="AA5" s="200" t="s">
        <v>49</v>
      </c>
      <c r="AB5" s="200" t="s">
        <v>49</v>
      </c>
      <c r="AC5" s="200" t="s">
        <v>49</v>
      </c>
      <c r="AD5" s="200" t="s">
        <v>49</v>
      </c>
      <c r="AE5" s="200" t="s">
        <v>49</v>
      </c>
      <c r="AF5" s="96" t="s">
        <v>49</v>
      </c>
      <c r="AG5" s="96" t="s">
        <v>49</v>
      </c>
      <c r="AH5" s="96" t="s">
        <v>49</v>
      </c>
      <c r="AI5" s="96" t="s">
        <v>49</v>
      </c>
      <c r="AJ5" s="96" t="s">
        <v>49</v>
      </c>
      <c r="AK5" s="96" t="s">
        <v>49</v>
      </c>
      <c r="AL5" s="96" t="s">
        <v>49</v>
      </c>
      <c r="AM5" s="96" t="s">
        <v>49</v>
      </c>
      <c r="AN5" s="96" t="s">
        <v>49</v>
      </c>
      <c r="AO5" s="96" t="s">
        <v>49</v>
      </c>
      <c r="AP5" s="96" t="s">
        <v>49</v>
      </c>
      <c r="AQ5" s="96" t="s">
        <v>49</v>
      </c>
      <c r="AR5" s="201" t="s">
        <v>49</v>
      </c>
      <c r="AS5" s="201" t="s">
        <v>49</v>
      </c>
      <c r="AT5" s="201" t="s">
        <v>49</v>
      </c>
      <c r="AU5" s="201" t="s">
        <v>49</v>
      </c>
      <c r="AV5" s="201" t="s">
        <v>49</v>
      </c>
      <c r="AW5" s="201" t="s">
        <v>49</v>
      </c>
      <c r="AX5" s="201" t="s">
        <v>49</v>
      </c>
      <c r="AY5" s="201" t="s">
        <v>49</v>
      </c>
      <c r="AZ5" s="201" t="s">
        <v>49</v>
      </c>
      <c r="BA5" s="201" t="s">
        <v>49</v>
      </c>
      <c r="BB5" s="201" t="s">
        <v>49</v>
      </c>
      <c r="BC5" s="201" t="s">
        <v>49</v>
      </c>
    </row>
    <row r="6" ht="14.25" customHeight="1">
      <c r="A6" s="6"/>
      <c r="B6" s="96" t="s">
        <v>52</v>
      </c>
      <c r="C6" s="96" t="s">
        <v>54</v>
      </c>
      <c r="D6" s="96" t="s">
        <v>54</v>
      </c>
      <c r="E6" s="96" t="s">
        <v>128</v>
      </c>
      <c r="F6" s="100" t="s">
        <v>57</v>
      </c>
      <c r="G6" s="96" t="s">
        <v>129</v>
      </c>
      <c r="H6" s="197"/>
      <c r="I6" s="96" t="s">
        <v>60</v>
      </c>
      <c r="J6" s="96" t="s">
        <v>60</v>
      </c>
      <c r="K6" s="104" t="s">
        <v>61</v>
      </c>
      <c r="L6" s="104" t="s">
        <v>62</v>
      </c>
      <c r="M6" s="104" t="s">
        <v>130</v>
      </c>
      <c r="N6" s="199" t="s">
        <v>128</v>
      </c>
      <c r="O6" s="199" t="s">
        <v>13</v>
      </c>
      <c r="P6" s="96" t="s">
        <v>131</v>
      </c>
      <c r="Q6" s="96" t="s">
        <v>57</v>
      </c>
      <c r="R6" s="202" t="s">
        <v>64</v>
      </c>
      <c r="S6" s="96" t="s">
        <v>131</v>
      </c>
      <c r="T6" s="200" t="s">
        <v>66</v>
      </c>
      <c r="U6" s="200" t="s">
        <v>67</v>
      </c>
      <c r="V6" s="200" t="s">
        <v>132</v>
      </c>
      <c r="W6" s="200" t="s">
        <v>66</v>
      </c>
      <c r="X6" s="200" t="s">
        <v>67</v>
      </c>
      <c r="Y6" s="200" t="s">
        <v>132</v>
      </c>
      <c r="Z6" s="200" t="s">
        <v>66</v>
      </c>
      <c r="AA6" s="200" t="s">
        <v>67</v>
      </c>
      <c r="AB6" s="200" t="s">
        <v>132</v>
      </c>
      <c r="AC6" s="200" t="s">
        <v>66</v>
      </c>
      <c r="AD6" s="200" t="s">
        <v>67</v>
      </c>
      <c r="AE6" s="200" t="s">
        <v>132</v>
      </c>
      <c r="AF6" s="96" t="s">
        <v>66</v>
      </c>
      <c r="AG6" s="96" t="s">
        <v>67</v>
      </c>
      <c r="AH6" s="96" t="s">
        <v>132</v>
      </c>
      <c r="AI6" s="96" t="s">
        <v>66</v>
      </c>
      <c r="AJ6" s="96" t="s">
        <v>67</v>
      </c>
      <c r="AK6" s="96" t="s">
        <v>132</v>
      </c>
      <c r="AL6" s="96" t="s">
        <v>66</v>
      </c>
      <c r="AM6" s="96" t="s">
        <v>67</v>
      </c>
      <c r="AN6" s="96" t="s">
        <v>132</v>
      </c>
      <c r="AO6" s="96" t="s">
        <v>66</v>
      </c>
      <c r="AP6" s="96" t="s">
        <v>67</v>
      </c>
      <c r="AQ6" s="96" t="s">
        <v>132</v>
      </c>
      <c r="AR6" s="201" t="s">
        <v>66</v>
      </c>
      <c r="AS6" s="201" t="s">
        <v>67</v>
      </c>
      <c r="AT6" s="201" t="s">
        <v>132</v>
      </c>
      <c r="AU6" s="201" t="s">
        <v>66</v>
      </c>
      <c r="AV6" s="201" t="s">
        <v>67</v>
      </c>
      <c r="AW6" s="201" t="s">
        <v>132</v>
      </c>
      <c r="AX6" s="201" t="s">
        <v>66</v>
      </c>
      <c r="AY6" s="201" t="s">
        <v>67</v>
      </c>
      <c r="AZ6" s="201" t="s">
        <v>132</v>
      </c>
      <c r="BA6" s="201" t="s">
        <v>66</v>
      </c>
      <c r="BB6" s="201" t="s">
        <v>67</v>
      </c>
      <c r="BC6" s="201" t="s">
        <v>132</v>
      </c>
    </row>
    <row r="7" ht="14.25" customHeight="1">
      <c r="A7" s="7"/>
      <c r="B7" s="203"/>
      <c r="C7" s="203"/>
      <c r="D7" s="203"/>
      <c r="E7" s="96" t="s">
        <v>133</v>
      </c>
      <c r="F7" s="204"/>
      <c r="G7" s="96" t="s">
        <v>13</v>
      </c>
      <c r="H7" s="96" t="s">
        <v>73</v>
      </c>
      <c r="I7" s="205"/>
      <c r="J7" s="205"/>
      <c r="K7" s="206"/>
      <c r="L7" s="206"/>
      <c r="M7" s="206"/>
      <c r="N7" s="104"/>
      <c r="O7" s="205"/>
      <c r="P7" s="96"/>
      <c r="Q7" s="96"/>
      <c r="R7" s="204"/>
      <c r="S7" s="96"/>
      <c r="T7" s="64"/>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row>
    <row r="8" ht="14.25" customHeight="1">
      <c r="A8" s="126">
        <v>1.0</v>
      </c>
      <c r="B8" s="129">
        <f>+IF(A8&gt;Coverage,"",A8)</f>
        <v>1</v>
      </c>
      <c r="C8" s="134">
        <f>+IF(B8=1,Insured_Age,IF(B8="","",C7+1))</f>
        <v>60</v>
      </c>
      <c r="D8" s="134">
        <f>+IF(B8&gt;Coverage,"",IF(B8=1,input!$H$11,D7+1))</f>
        <v>59</v>
      </c>
      <c r="E8" s="134">
        <f>IF(B8=1,premi_dasar,IF(B8&gt;Coverage,"",0))</f>
        <v>220000778</v>
      </c>
      <c r="F8" s="134">
        <f>IF(B8&gt;Coverage,"",SUM(E8))</f>
        <v>220000778</v>
      </c>
      <c r="G8" s="134">
        <f>IF(B8&gt;Coverage,"",SUMIFS(input!$E$38:$E$50,input!$C$38:$C$50,$C8))</f>
        <v>100000000</v>
      </c>
      <c r="H8" s="134">
        <f>IF(B8&gt;Coverage,"",SUMIFS(input!$E$53:$E$87,input!$C$53:$C$87,$C8))</f>
        <v>0</v>
      </c>
      <c r="I8" s="66">
        <f>+IF(B8="","",Sum_Assured*VLOOKUP(MIN(C8,10),Assumption!$M$19:$N$28,2,0))</f>
        <v>330001167</v>
      </c>
      <c r="J8" s="66">
        <f>IF(B8="","",input!$D$33)</f>
        <v>330001167</v>
      </c>
      <c r="K8" s="66">
        <f>IF(B8&gt;Coverage,"",VLOOKUP($C8,COI_Tab[],IF(sex="Male",2,3),0)*I8*(1+EM_Basic)/1000)</f>
        <v>5742020.306</v>
      </c>
      <c r="L8" s="66">
        <f>IF(B8&gt;Coverage,"",VLOOKUP($C8,COI_Tab[],4,0)*J8*(1+EM_Basic)/1000)</f>
        <v>316801.1203</v>
      </c>
      <c r="M8" s="207">
        <f>IF(B8&gt;Coverage,"",ROUND(K8+L8,0))</f>
        <v>6058821</v>
      </c>
      <c r="N8" s="134">
        <f>IF(B8&gt;Coverage,"",VLOOKUP($B8,Assumption!$H$11:$I$15,2)*E8)</f>
        <v>11000038.9</v>
      </c>
      <c r="O8" s="134">
        <f>IF(B8&gt;Coverage,"",Assumption!$J$11*$G8)</f>
        <v>3000000</v>
      </c>
      <c r="P8" s="134">
        <f>IF(B8&gt;Coverage,"",H8*VLOOKUP(MIN(B8,6),Assumption!$M$11:$N$16,2,0))</f>
        <v>0</v>
      </c>
      <c r="Q8" s="134">
        <f>IF(B8&gt;Coverage,"",SUM(N8:P8))</f>
        <v>14000038.9</v>
      </c>
      <c r="R8" s="207">
        <f>+IF($B8&gt;Coverage,"",Assumption!$I$18*12)</f>
        <v>300000</v>
      </c>
      <c r="S8" s="208">
        <f>+IF($B8&gt;Coverage,"",Assumption!$I$20)</f>
        <v>0</v>
      </c>
      <c r="T8" s="207">
        <f>+IF($B8&gt;Coverage,0,ROUND((U7+($F8+$G8-$H8-$Q8)*PML_LF)*(1+VLOOKUP(T$3,Assumption!$H$35:$K$43,2,0))^0.5-($M8+$R8)*PML_LF-($S8*PML_LF*U7),0))</f>
        <v>44716211</v>
      </c>
      <c r="U8" s="207">
        <f>+IF($B8&gt;Coverage,0,ROUND(T8*(1+VLOOKUP(T$3,Assumption!$H$35:$K$43,2,0))^0.5,0))</f>
        <v>44492068</v>
      </c>
      <c r="V8" s="207">
        <f>+IF($B8="",0,(1-VLOOKUP(MIN($B8,6),Assumption!$M$10:$N$16,2))*U8)</f>
        <v>42267464.6</v>
      </c>
      <c r="W8" s="207">
        <f>+IF($B8&gt;Coverage,0,ROUND((X7+($F8+$G8-$H8-$Q8)*PML_BF)*(1+VLOOKUP(W$3,Assumption!$H$35:$K$43,2,0))^0.5-($M8+$R8)*PML_BF-($S8*PML_BF*X7),0))</f>
        <v>74527018</v>
      </c>
      <c r="X8" s="207">
        <f>+IF($B8&gt;Coverage,0,ROUND(W8*(1+VLOOKUP(W$3,Assumption!$H$35:$K$43,2,0))^0.5,0))</f>
        <v>74153447</v>
      </c>
      <c r="Y8" s="207">
        <f>+IF($B8="",0,(1-VLOOKUP(MIN($B8,6),Assumption!$M$10:$N$16,2))*X8)</f>
        <v>70445774.65</v>
      </c>
      <c r="Z8" s="207">
        <f>+IF($B8&gt;Coverage,0,ROUND((AA7+($F8+$G8-$H8-$Q8)*PML_EF)*(1+VLOOKUP(Z$3,Assumption!$H$35:$K$43,2,0))^0.5-($M8+$R8)*PML_EF-($S8*PML_EF*AA7),0))</f>
        <v>119243228</v>
      </c>
      <c r="AA8" s="207">
        <f>+IF($B8&gt;Coverage,0,ROUND(Z8*(1+VLOOKUP(Z$3,Assumption!$H$35:$K$43,2,0))^0.5,0))</f>
        <v>118645514</v>
      </c>
      <c r="AB8" s="207">
        <f>+IF($B8="",0,(1-VLOOKUP(MIN($B8,6),Assumption!$M$10:$N$16,2))*AA8)</f>
        <v>112713238.3</v>
      </c>
      <c r="AC8" s="207">
        <f>+IF($B8&gt;Coverage,0,ROUND((AD7+($F8+$G8-$H8-$Q8)*PML_FI)*(1+VLOOKUP(AC$3,Assumption!$H$35:$K$43,2,0))^0.5-($M8+$R8)*PML_FI-($S8*PML_FI*AD7),0))</f>
        <v>59621614</v>
      </c>
      <c r="AD8" s="207">
        <f>+IF($B8&gt;Coverage,0,ROUND(AC8*(1+VLOOKUP(AC$3,Assumption!$H$35:$K$43,2,0))^0.5,0))</f>
        <v>59322757</v>
      </c>
      <c r="AE8" s="207">
        <f>+IF($B8="",0,(1-VLOOKUP(MIN($B8,6),Assumption!$M$10:$N$16,2))*AD8)</f>
        <v>56356619.15</v>
      </c>
      <c r="AF8" s="207">
        <f>+IF($B8&gt;Coverage,0,ROUND((AG7+($F8+$G8-$H8-$Q8)*PML_LF)*(1+VLOOKUP(AF$3,Assumption!$H$35:$K$43,3,0))^0.5-($M8+$R8)*PML_LF-($S8*PML_LF*AG7),0))</f>
        <v>44946288</v>
      </c>
      <c r="AG8" s="207">
        <f>+IF($B8&gt;Coverage,0,ROUND(AF8*(1+VLOOKUP(AF$3,Assumption!$H$35:$K$43,3,0))^0.5,0))</f>
        <v>44946288</v>
      </c>
      <c r="AH8" s="207">
        <f>+IF($B8="",0,(1-VLOOKUP(MIN($B8,6),Assumption!$M$10:$N$16,2))*AG8)</f>
        <v>42698973.6</v>
      </c>
      <c r="AI8" s="207">
        <f>+IF($B8&gt;Coverage,0,ROUND((AJ7+($F8+$G8-$H8-$Q8)*PML_BF)*(1+VLOOKUP(AI$3,Assumption!$H$35:$K$43,3,0))^0.5-($M8+$R8)*PML_BF-($S8*PML_BF*AJ7),0))</f>
        <v>74910480</v>
      </c>
      <c r="AJ8" s="207">
        <f>+IF($B8&gt;Coverage,0,ROUND(AI8*(1+VLOOKUP(AI$3,Assumption!$H$35:$K$43,3,0))^0.5,0))</f>
        <v>74910480</v>
      </c>
      <c r="AK8" s="207">
        <f>+IF($B8="",0,(1-VLOOKUP(MIN($B8,6),Assumption!$M$10:$N$16,2))*AJ8)</f>
        <v>71164956</v>
      </c>
      <c r="AL8" s="207">
        <f>+IF($B8&gt;Coverage,0,ROUND((AM7+($F8+$G8-$H8-$Q8)*PML_EF)*(1+VLOOKUP(AL$3,Assumption!$H$35:$K$43,3,0))^0.5-($M8+$R8)*PML_EF-($S8*PML_EF*AM7),0))</f>
        <v>119856767</v>
      </c>
      <c r="AM8" s="207">
        <f>+IF($B8&gt;Coverage,0,ROUND(AL8*(1+VLOOKUP(AL$3,Assumption!$H$35:$K$43,3,0))^0.5,0))</f>
        <v>119856767</v>
      </c>
      <c r="AN8" s="207">
        <f>+IF($B8="",0,(1-VLOOKUP(MIN($B8,6),Assumption!$M$10:$N$16,2))*AM8)</f>
        <v>113863928.7</v>
      </c>
      <c r="AO8" s="207">
        <f>+IF($B8&gt;Coverage,0,ROUND((AP7+($F8+$G8-$H8-$Q8)*PML_FI)*(1+VLOOKUP(AO$3,Assumption!$H$35:$K$43,3,0))^0.5-($M8+$R8)*PML_FI-($S8*PML_FI*AP7),0))</f>
        <v>59928384</v>
      </c>
      <c r="AP8" s="207">
        <f>+IF($B8&gt;Coverage,0,ROUND(AO8*(1+VLOOKUP(AO$3,Assumption!$H$35:$K$43,3,0))^0.5,0))</f>
        <v>59928384</v>
      </c>
      <c r="AQ8" s="207">
        <f>+IF($B8="",0,(1-VLOOKUP(MIN($B8,6),Assumption!$M$10:$N$16,2))*AP8)</f>
        <v>56931964.8</v>
      </c>
      <c r="AR8" s="207">
        <f>+IF($B8&gt;Coverage,0,ROUND((AS7+($F8+$G8-$H8-$Q8)*PML_LF)*(1+VLOOKUP(AR$3,Assumption!$H$35:$K$43,4,0))^0.5-($M8+$R8)*PML_LF-($S8*PML_LF*AS7),0))</f>
        <v>45855289</v>
      </c>
      <c r="AS8" s="207">
        <f>+IF($B8&gt;Coverage,0,ROUND(AR8*(1+VLOOKUP(AR$3,Assumption!$H$35:$K$43,4,0))^0.5,0))</f>
        <v>46763403</v>
      </c>
      <c r="AT8" s="207">
        <f>+IF($B8="",0,(1-VLOOKUP(MIN($B8,6),Assumption!$M$10:$N$16,2))*AS8)</f>
        <v>44425232.85</v>
      </c>
      <c r="AU8" s="207">
        <f>+IF($B8&gt;Coverage,0,ROUND((AV7+($F8+$G8-$H8-$Q8)*PML_BF)*(1+VLOOKUP(AU$3,Assumption!$H$35:$K$43,4,0))^0.5-($M8+$R8)*PML_BF-($S8*PML_BF*AV7),0))</f>
        <v>77542701</v>
      </c>
      <c r="AV8" s="207">
        <f>+IF($B8&gt;Coverage,0,ROUND(AU8*(1+VLOOKUP(AU$3,Assumption!$H$35:$K$43,4,0))^0.5,0))</f>
        <v>80210794</v>
      </c>
      <c r="AW8" s="207">
        <f>+IF($B8="",0,(1-VLOOKUP(MIN($B8,6),Assumption!$M$10:$N$16,2))*AV8)</f>
        <v>76200254.3</v>
      </c>
      <c r="AX8" s="207">
        <f>+IF($B8&gt;Coverage,0,ROUND((AY7+($F8+$G8-$H8-$Q8)*PML_EF)*(1+VLOOKUP(AX$3,Assumption!$H$35:$K$43,4,0))^0.5-($M8+$R8)*PML_EF-($S8*PML_EF*AY7),0))</f>
        <v>124658590</v>
      </c>
      <c r="AY8" s="207">
        <f>+IF($B8&gt;Coverage,0,ROUND(AX8*(1+VLOOKUP(AX$3,Assumption!$H$35:$K$43,4,0))^0.5,0))</f>
        <v>129549007</v>
      </c>
      <c r="AZ8" s="207">
        <f>+IF($B8="",0,(1-VLOOKUP(MIN($B8,6),Assumption!$M$10:$N$16,2))*AY8)</f>
        <v>123071556.7</v>
      </c>
      <c r="BA8" s="207">
        <f>+IF($B8&gt;Coverage,0,ROUND((BB7+($F8+$G8-$H8-$Q8)*PML_FI)*(1+VLOOKUP(BA$3,Assumption!$H$35:$K$43,4,0))^0.5-($M8+$R8)*PML_FI-($S8*PML_FI*BB7),0))</f>
        <v>61439726</v>
      </c>
      <c r="BB8" s="207">
        <f>+IF($B8&gt;Coverage,0,ROUND(BA8*(1+VLOOKUP(BA$3,Assumption!$H$35:$K$43,4,0))^0.5,0))</f>
        <v>62956985</v>
      </c>
      <c r="BC8" s="207">
        <f>+IF($B8="",0,(1-VLOOKUP(MIN($B8,6),Assumption!$M$10:$N$16,2))*BB8)</f>
        <v>59809135.75</v>
      </c>
    </row>
    <row r="9" ht="14.25" customHeight="1">
      <c r="A9" s="126">
        <v>2.0</v>
      </c>
      <c r="B9" s="129">
        <f>+IF(A9&gt;Coverage,"",A9)</f>
        <v>2</v>
      </c>
      <c r="C9" s="134">
        <f>+IF(B9=1,Insured_Age,IF(B9="","",C8+1))</f>
        <v>61</v>
      </c>
      <c r="D9" s="134">
        <f>+IF(B9&gt;Coverage,"",IF(B9=1,input!$H$11,D8+1))</f>
        <v>60</v>
      </c>
      <c r="E9" s="134">
        <f>IF(B9=1,premi_dasar,IF(B9&gt;Coverage,"",0))</f>
        <v>0</v>
      </c>
      <c r="F9" s="134">
        <f>IF(B9&gt;Coverage,"",SUM(E9))</f>
        <v>0</v>
      </c>
      <c r="G9" s="134">
        <f>IF(B9&gt;Coverage,"",SUMIFS(input!$E$38:$E$50,input!$C$38:$C$50,$C9))</f>
        <v>0</v>
      </c>
      <c r="H9" s="134">
        <f>IF(B9&gt;Coverage,"",SUMIFS(input!$E$53:$E$87,input!$C$53:$C$87,$C9))</f>
        <v>0</v>
      </c>
      <c r="I9" s="66">
        <f>+IF(B9="","",Sum_Assured*VLOOKUP(MIN(C9,10),Assumption!$M$19:$N$28,2,0))</f>
        <v>330001167</v>
      </c>
      <c r="J9" s="66">
        <f>IF(B9="","",input!$D$33)</f>
        <v>330001167</v>
      </c>
      <c r="K9" s="66">
        <f>IF(B9&gt;Coverage,"",VLOOKUP($C9,COI_Tab[],IF(sex="Male",2,3),0)*I9*(1+EM_Basic)/1000)</f>
        <v>5761820.376</v>
      </c>
      <c r="L9" s="66">
        <f>IF(B9&gt;Coverage,"",VLOOKUP($C9,COI_Tab[],4,0)*J9*(1+EM_Basic)/1000)</f>
        <v>316801.1203</v>
      </c>
      <c r="M9" s="207">
        <f>IF(B9&gt;Coverage,"",ROUND(K9+L9,0))</f>
        <v>6078621</v>
      </c>
      <c r="N9" s="134">
        <f>IF(B9&gt;Coverage,"",VLOOKUP($B9,Assumption!$H$11:$I$15,2)*E9)</f>
        <v>0</v>
      </c>
      <c r="O9" s="134">
        <f>IF(B9&gt;Coverage,"",Assumption!$J$11*$G9)</f>
        <v>0</v>
      </c>
      <c r="P9" s="134">
        <f>IF(B9&gt;Coverage,"",H9*VLOOKUP(MIN(B9,6),Assumption!$M$11:$N$16,2,0))</f>
        <v>0</v>
      </c>
      <c r="Q9" s="134">
        <f>IF(B9&gt;Coverage,"",SUM(N9:P9))</f>
        <v>0</v>
      </c>
      <c r="R9" s="207">
        <f>+IF($B9&gt;Coverage,"",Assumption!$I$18*12)</f>
        <v>300000</v>
      </c>
      <c r="S9" s="208">
        <f>+IF($B9&gt;Coverage,"",Assumption!$I$20)</f>
        <v>0</v>
      </c>
      <c r="T9" s="207">
        <f>+IF($B9&gt;Coverage,0,ROUND((U8+($F9+$G9-$H9-$Q9)*PML_LF)*(1+VLOOKUP(T$3,Assumption!$H$35:$K$43,2,0))^0.5-($M9+$R9)*PML_LF-($S9*PML_LF*U8),0))</f>
        <v>43312256</v>
      </c>
      <c r="U9" s="207">
        <f>+IF($B9&gt;Coverage,0,ROUND(T9*(1+VLOOKUP(T$3,Assumption!$H$35:$K$43,2,0))^0.5,0))</f>
        <v>43095151</v>
      </c>
      <c r="V9" s="207">
        <f>+IF($B9="",0,(1-VLOOKUP(MIN($B9,6),Assumption!$M$10:$N$16,2))*U9)</f>
        <v>41371344.96</v>
      </c>
      <c r="W9" s="207">
        <f>+IF($B9&gt;Coverage,0,ROUND((X8+($F9+$G9-$H9-$Q9)*PML_BF)*(1+VLOOKUP(W$3,Assumption!$H$35:$K$43,2,0))^0.5-($M9+$R9)*PML_BF-($S9*PML_BF*X8),0))</f>
        <v>72187093</v>
      </c>
      <c r="X9" s="207">
        <f>+IF($B9&gt;Coverage,0,ROUND(W9*(1+VLOOKUP(W$3,Assumption!$H$35:$K$43,2,0))^0.5,0))</f>
        <v>71825251</v>
      </c>
      <c r="Y9" s="207">
        <f>+IF($B9="",0,(1-VLOOKUP(MIN($B9,6),Assumption!$M$10:$N$16,2))*X9)</f>
        <v>68952240.96</v>
      </c>
      <c r="Z9" s="207">
        <f>+IF($B9&gt;Coverage,0,ROUND((AA8+($F9+$G9-$H9-$Q9)*PML_EF)*(1+VLOOKUP(Z$3,Assumption!$H$35:$K$43,2,0))^0.5-($M9+$R9)*PML_EF-($S9*PML_EF*AA8),0))</f>
        <v>115499347</v>
      </c>
      <c r="AA9" s="207">
        <f>+IF($B9&gt;Coverage,0,ROUND(Z9*(1+VLOOKUP(Z$3,Assumption!$H$35:$K$43,2,0))^0.5,0))</f>
        <v>114920399</v>
      </c>
      <c r="AB9" s="207">
        <f>+IF($B9="",0,(1-VLOOKUP(MIN($B9,6),Assumption!$M$10:$N$16,2))*AA9)</f>
        <v>110323583</v>
      </c>
      <c r="AC9" s="207">
        <f>+IF($B9&gt;Coverage,0,ROUND((AD8+($F9+$G9-$H9-$Q9)*PML_FI)*(1+VLOOKUP(AC$3,Assumption!$H$35:$K$43,2,0))^0.5-($M9+$R9)*PML_FI-($S9*PML_FI*AD8),0))</f>
        <v>57749674</v>
      </c>
      <c r="AD9" s="207">
        <f>+IF($B9&gt;Coverage,0,ROUND(AC9*(1+VLOOKUP(AC$3,Assumption!$H$35:$K$43,2,0))^0.5,0))</f>
        <v>57460200</v>
      </c>
      <c r="AE9" s="207">
        <f>+IF($B9="",0,(1-VLOOKUP(MIN($B9,6),Assumption!$M$10:$N$16,2))*AD9)</f>
        <v>55161792</v>
      </c>
      <c r="AF9" s="207">
        <f>+IF($B9&gt;Coverage,0,ROUND((AG8+($F9+$G9-$H9-$Q9)*PML_LF)*(1+VLOOKUP(AF$3,Assumption!$H$35:$K$43,3,0))^0.5-($M9+$R9)*PML_LF-($S9*PML_LF*AG8),0))</f>
        <v>43989495</v>
      </c>
      <c r="AG9" s="207">
        <f>+IF($B9&gt;Coverage,0,ROUND(AF9*(1+VLOOKUP(AF$3,Assumption!$H$35:$K$43,3,0))^0.5,0))</f>
        <v>43989495</v>
      </c>
      <c r="AH9" s="207">
        <f>+IF($B9="",0,(1-VLOOKUP(MIN($B9,6),Assumption!$M$10:$N$16,2))*AG9)</f>
        <v>42229915.2</v>
      </c>
      <c r="AI9" s="207">
        <f>+IF($B9&gt;Coverage,0,ROUND((AJ8+($F9+$G9-$H9-$Q9)*PML_BF)*(1+VLOOKUP(AI$3,Assumption!$H$35:$K$43,3,0))^0.5-($M9+$R9)*PML_BF-($S9*PML_BF*AJ8),0))</f>
        <v>73315825</v>
      </c>
      <c r="AJ9" s="207">
        <f>+IF($B9&gt;Coverage,0,ROUND(AI9*(1+VLOOKUP(AI$3,Assumption!$H$35:$K$43,3,0))^0.5,0))</f>
        <v>73315825</v>
      </c>
      <c r="AK9" s="207">
        <f>+IF($B9="",0,(1-VLOOKUP(MIN($B9,6),Assumption!$M$10:$N$16,2))*AJ9)</f>
        <v>70383192</v>
      </c>
      <c r="AL9" s="207">
        <f>+IF($B9&gt;Coverage,0,ROUND((AM8+($F9+$G9-$H9-$Q9)*PML_EF)*(1+VLOOKUP(AL$3,Assumption!$H$35:$K$43,3,0))^0.5-($M9+$R9)*PML_EF-($S9*PML_EF*AM8),0))</f>
        <v>117305319</v>
      </c>
      <c r="AM9" s="207">
        <f>+IF($B9&gt;Coverage,0,ROUND(AL9*(1+VLOOKUP(AL$3,Assumption!$H$35:$K$43,3,0))^0.5,0))</f>
        <v>117305319</v>
      </c>
      <c r="AN9" s="207">
        <f>+IF($B9="",0,(1-VLOOKUP(MIN($B9,6),Assumption!$M$10:$N$16,2))*AM9)</f>
        <v>112613106.2</v>
      </c>
      <c r="AO9" s="207">
        <f>+IF($B9&gt;Coverage,0,ROUND((AP8+($F9+$G9-$H9-$Q9)*PML_FI)*(1+VLOOKUP(AO$3,Assumption!$H$35:$K$43,3,0))^0.5-($M9+$R9)*PML_FI-($S9*PML_FI*AP8),0))</f>
        <v>58652660</v>
      </c>
      <c r="AP9" s="207">
        <f>+IF($B9&gt;Coverage,0,ROUND(AO9*(1+VLOOKUP(AO$3,Assumption!$H$35:$K$43,3,0))^0.5,0))</f>
        <v>58652660</v>
      </c>
      <c r="AQ9" s="207">
        <f>+IF($B9="",0,(1-VLOOKUP(MIN($B9,6),Assumption!$M$10:$N$16,2))*AP9)</f>
        <v>56306553.6</v>
      </c>
      <c r="AR9" s="207">
        <f>+IF($B9&gt;Coverage,0,ROUND((AS8+($F9+$G9-$H9-$Q9)*PML_LF)*(1+VLOOKUP(AR$3,Assumption!$H$35:$K$43,4,0))^0.5-($M9+$R9)*PML_LF-($S9*PML_LF*AS8),0))</f>
        <v>46732708</v>
      </c>
      <c r="AS9" s="207">
        <f>+IF($B9&gt;Coverage,0,ROUND(AR9*(1+VLOOKUP(AR$3,Assumption!$H$35:$K$43,4,0))^0.5,0))</f>
        <v>47658198</v>
      </c>
      <c r="AT9" s="207">
        <f>+IF($B9="",0,(1-VLOOKUP(MIN($B9,6),Assumption!$M$10:$N$16,2))*AS9)</f>
        <v>45751870.08</v>
      </c>
      <c r="AU9" s="207">
        <f>+IF($B9&gt;Coverage,0,ROUND((AV8+($F9+$G9-$H9-$Q9)*PML_BF)*(1+VLOOKUP(AU$3,Assumption!$H$35:$K$43,4,0))^0.5-($M9+$R9)*PML_BF-($S9*PML_BF*AV8),0))</f>
        <v>81376035</v>
      </c>
      <c r="AV9" s="207">
        <f>+IF($B9&gt;Coverage,0,ROUND(AU9*(1+VLOOKUP(AU$3,Assumption!$H$35:$K$43,4,0))^0.5,0))</f>
        <v>84176025</v>
      </c>
      <c r="AW9" s="207">
        <f>+IF($B9="",0,(1-VLOOKUP(MIN($B9,6),Assumption!$M$10:$N$16,2))*AV9)</f>
        <v>80808984</v>
      </c>
      <c r="AX9" s="207">
        <f>+IF($B9&gt;Coverage,0,ROUND((AY8+($F9+$G9-$H9-$Q9)*PML_EF)*(1+VLOOKUP(AX$3,Assumption!$H$35:$K$43,4,0))^0.5-($M9+$R9)*PML_EF-($S9*PML_EF*AY8),0))</f>
        <v>132079829</v>
      </c>
      <c r="AY9" s="207">
        <f>+IF($B9&gt;Coverage,0,ROUND(AX9*(1+VLOOKUP(AX$3,Assumption!$H$35:$K$43,4,0))^0.5,0))</f>
        <v>137261385</v>
      </c>
      <c r="AZ9" s="207">
        <f>+IF($B9="",0,(1-VLOOKUP(MIN($B9,6),Assumption!$M$10:$N$16,2))*AY9)</f>
        <v>131770929.6</v>
      </c>
      <c r="BA9" s="207">
        <f>+IF($B9&gt;Coverage,0,ROUND((BB8+($F9+$G9-$H9-$Q9)*PML_FI)*(1+VLOOKUP(BA$3,Assumption!$H$35:$K$43,4,0))^0.5-($M9+$R9)*PML_FI-($S9*PML_FI*BB8),0))</f>
        <v>63235988</v>
      </c>
      <c r="BB9" s="207">
        <f>+IF($B9&gt;Coverage,0,ROUND(BA9*(1+VLOOKUP(BA$3,Assumption!$H$35:$K$43,4,0))^0.5,0))</f>
        <v>64797606</v>
      </c>
      <c r="BC9" s="207">
        <f>+IF($B9="",0,(1-VLOOKUP(MIN($B9,6),Assumption!$M$10:$N$16,2))*BB9)</f>
        <v>62205701.76</v>
      </c>
    </row>
    <row r="10" ht="14.25" customHeight="1">
      <c r="A10" s="126">
        <v>3.0</v>
      </c>
      <c r="B10" s="129">
        <f>+IF(A10&gt;Coverage,"",A10)</f>
        <v>3</v>
      </c>
      <c r="C10" s="134">
        <f>+IF(B10=1,Insured_Age,IF(B10="","",C9+1))</f>
        <v>62</v>
      </c>
      <c r="D10" s="134">
        <f>+IF(B10&gt;Coverage,"",IF(B10=1,input!$H$11,D9+1))</f>
        <v>61</v>
      </c>
      <c r="E10" s="134">
        <f>IF(B10=1,premi_dasar,IF(B10&gt;Coverage,"",0))</f>
        <v>0</v>
      </c>
      <c r="F10" s="134">
        <f>IF(B10&gt;Coverage,"",SUM(E10))</f>
        <v>0</v>
      </c>
      <c r="G10" s="134">
        <f>IF(B10&gt;Coverage,"",SUMIFS(input!$E$38:$E$50,input!$C$38:$C$50,$C10))</f>
        <v>0</v>
      </c>
      <c r="H10" s="134">
        <f>IF(B10&gt;Coverage,"",SUMIFS(input!$E$53:$E$87,input!$C$53:$C$87,$C10))</f>
        <v>0</v>
      </c>
      <c r="I10" s="66">
        <f>+IF(B10="","",Sum_Assured*VLOOKUP(MIN(C10,10),Assumption!$M$19:$N$28,2,0))</f>
        <v>330001167</v>
      </c>
      <c r="J10" s="66">
        <f>IF(B10="","",input!$D$33)</f>
        <v>330001167</v>
      </c>
      <c r="K10" s="66">
        <f>IF(B10&gt;Coverage,"",VLOOKUP($C10,COI_Tab[],IF(sex="Male",2,3),0)*I10*(1+EM_Basic)/1000)</f>
        <v>5781620.446</v>
      </c>
      <c r="L10" s="66">
        <f>IF(B10&gt;Coverage,"",VLOOKUP($C10,COI_Tab[],4,0)*J10*(1+EM_Basic)/1000)</f>
        <v>316801.1203</v>
      </c>
      <c r="M10" s="207">
        <f>IF(B10&gt;Coverage,"",ROUND(K10+L10,0))</f>
        <v>6098422</v>
      </c>
      <c r="N10" s="134">
        <f>IF(B10&gt;Coverage,"",VLOOKUP($B10,Assumption!$H$11:$I$15,2)*E10)</f>
        <v>0</v>
      </c>
      <c r="O10" s="134">
        <f>IF(B10&gt;Coverage,"",Assumption!$J$11*$G10)</f>
        <v>0</v>
      </c>
      <c r="P10" s="134">
        <f>IF(B10&gt;Coverage,"",H10*VLOOKUP(MIN(B10,6),Assumption!$M$11:$N$16,2,0))</f>
        <v>0</v>
      </c>
      <c r="Q10" s="134">
        <f>IF(B10&gt;Coverage,"",SUM(N10:P10))</f>
        <v>0</v>
      </c>
      <c r="R10" s="207">
        <f>+IF($B10&gt;Coverage,"",Assumption!$I$18*12)</f>
        <v>300000</v>
      </c>
      <c r="S10" s="208">
        <f>+IF($B10&gt;Coverage,"",Assumption!$I$20)</f>
        <v>0</v>
      </c>
      <c r="T10" s="207">
        <f>+IF($B10&gt;Coverage,0,ROUND((U9+($F10+$G10-$H10-$Q10)*PML_LF)*(1+VLOOKUP(T$3,Assumption!$H$35:$K$43,2,0))^0.5-($M10+$R10)*PML_LF-($S10*PML_LF*U9),0))</f>
        <v>41919371</v>
      </c>
      <c r="U10" s="207">
        <f>+IF($B10&gt;Coverage,0,ROUND(T10*(1+VLOOKUP(T$3,Assumption!$H$35:$K$43,2,0))^0.5,0))</f>
        <v>41709248</v>
      </c>
      <c r="V10" s="207">
        <f>+IF($B10="",0,(1-VLOOKUP(MIN($B10,6),Assumption!$M$10:$N$16,2))*U10)</f>
        <v>40457970.56</v>
      </c>
      <c r="W10" s="207">
        <f>+IF($B10&gt;Coverage,0,ROUND((X9+($F10+$G10-$H10-$Q10)*PML_BF)*(1+VLOOKUP(W$3,Assumption!$H$35:$K$43,2,0))^0.5-($M10+$R10)*PML_BF-($S10*PML_BF*X9),0))</f>
        <v>69865617</v>
      </c>
      <c r="X10" s="207">
        <f>+IF($B10&gt;Coverage,0,ROUND(W10*(1+VLOOKUP(W$3,Assumption!$H$35:$K$43,2,0))^0.5,0))</f>
        <v>69515411</v>
      </c>
      <c r="Y10" s="207">
        <f>+IF($B10="",0,(1-VLOOKUP(MIN($B10,6),Assumption!$M$10:$N$16,2))*X10)</f>
        <v>67429948.67</v>
      </c>
      <c r="Z10" s="207">
        <f>+IF($B10&gt;Coverage,0,ROUND((AA9+($F10+$G10-$H10-$Q10)*PML_EF)*(1+VLOOKUP(Z$3,Assumption!$H$35:$K$43,2,0))^0.5-($M10+$R10)*PML_EF-($S10*PML_EF*AA9),0))</f>
        <v>111784984</v>
      </c>
      <c r="AA10" s="207">
        <f>+IF($B10&gt;Coverage,0,ROUND(Z10*(1+VLOOKUP(Z$3,Assumption!$H$35:$K$43,2,0))^0.5,0))</f>
        <v>111224655</v>
      </c>
      <c r="AB10" s="207">
        <f>+IF($B10="",0,(1-VLOOKUP(MIN($B10,6),Assumption!$M$10:$N$16,2))*AA10)</f>
        <v>107887915.4</v>
      </c>
      <c r="AC10" s="207">
        <f>+IF($B10&gt;Coverage,0,ROUND((AD9+($F10+$G10-$H10-$Q10)*PML_FI)*(1+VLOOKUP(AC$3,Assumption!$H$35:$K$43,2,0))^0.5-($M10+$R10)*PML_FI-($S10*PML_FI*AD9),0))</f>
        <v>55892493</v>
      </c>
      <c r="AD10" s="207">
        <f>+IF($B10&gt;Coverage,0,ROUND(AC10*(1+VLOOKUP(AC$3,Assumption!$H$35:$K$43,2,0))^0.5,0))</f>
        <v>55612328</v>
      </c>
      <c r="AE10" s="207">
        <f>+IF($B10="",0,(1-VLOOKUP(MIN($B10,6),Assumption!$M$10:$N$16,2))*AD10)</f>
        <v>53943958.16</v>
      </c>
      <c r="AF10" s="207">
        <f>+IF($B10&gt;Coverage,0,ROUND((AG9+($F10+$G10-$H10-$Q10)*PML_LF)*(1+VLOOKUP(AF$3,Assumption!$H$35:$K$43,3,0))^0.5-($M10+$R10)*PML_LF-($S10*PML_LF*AG9),0))</f>
        <v>43029732</v>
      </c>
      <c r="AG10" s="207">
        <f>+IF($B10&gt;Coverage,0,ROUND(AF10*(1+VLOOKUP(AF$3,Assumption!$H$35:$K$43,3,0))^0.5,0))</f>
        <v>43029732</v>
      </c>
      <c r="AH10" s="207">
        <f>+IF($B10="",0,(1-VLOOKUP(MIN($B10,6),Assumption!$M$10:$N$16,2))*AG10)</f>
        <v>41738840.04</v>
      </c>
      <c r="AI10" s="207">
        <f>+IF($B10&gt;Coverage,0,ROUND((AJ9+($F10+$G10-$H10-$Q10)*PML_BF)*(1+VLOOKUP(AI$3,Assumption!$H$35:$K$43,3,0))^0.5-($M10+$R10)*PML_BF-($S10*PML_BF*AJ9),0))</f>
        <v>71716220</v>
      </c>
      <c r="AJ10" s="207">
        <f>+IF($B10&gt;Coverage,0,ROUND(AI10*(1+VLOOKUP(AI$3,Assumption!$H$35:$K$43,3,0))^0.5,0))</f>
        <v>71716220</v>
      </c>
      <c r="AK10" s="207">
        <f>+IF($B10="",0,(1-VLOOKUP(MIN($B10,6),Assumption!$M$10:$N$16,2))*AJ10)</f>
        <v>69564733.4</v>
      </c>
      <c r="AL10" s="207">
        <f>+IF($B10&gt;Coverage,0,ROUND((AM9+($F10+$G10-$H10-$Q10)*PML_EF)*(1+VLOOKUP(AL$3,Assumption!$H$35:$K$43,3,0))^0.5-($M10+$R10)*PML_EF-($S10*PML_EF*AM9),0))</f>
        <v>114745950</v>
      </c>
      <c r="AM10" s="207">
        <f>+IF($B10&gt;Coverage,0,ROUND(AL10*(1+VLOOKUP(AL$3,Assumption!$H$35:$K$43,3,0))^0.5,0))</f>
        <v>114745950</v>
      </c>
      <c r="AN10" s="207">
        <f>+IF($B10="",0,(1-VLOOKUP(MIN($B10,6),Assumption!$M$10:$N$16,2))*AM10)</f>
        <v>111303571.5</v>
      </c>
      <c r="AO10" s="207">
        <f>+IF($B10&gt;Coverage,0,ROUND((AP9+($F10+$G10-$H10-$Q10)*PML_FI)*(1+VLOOKUP(AO$3,Assumption!$H$35:$K$43,3,0))^0.5-($M10+$R10)*PML_FI-($S10*PML_FI*AP9),0))</f>
        <v>57372976</v>
      </c>
      <c r="AP10" s="207">
        <f>+IF($B10&gt;Coverage,0,ROUND(AO10*(1+VLOOKUP(AO$3,Assumption!$H$35:$K$43,3,0))^0.5,0))</f>
        <v>57372976</v>
      </c>
      <c r="AQ10" s="207">
        <f>+IF($B10="",0,(1-VLOOKUP(MIN($B10,6),Assumption!$M$10:$N$16,2))*AP10)</f>
        <v>55651786.72</v>
      </c>
      <c r="AR10" s="207">
        <f>+IF($B10&gt;Coverage,0,ROUND((AS9+($F10+$G10-$H10-$Q10)*PML_LF)*(1+VLOOKUP(AR$3,Assumption!$H$35:$K$43,4,0))^0.5-($M10+$R10)*PML_LF-($S10*PML_LF*AS9),0))</f>
        <v>47642253</v>
      </c>
      <c r="AS10" s="207">
        <f>+IF($B10&gt;Coverage,0,ROUND(AR10*(1+VLOOKUP(AR$3,Assumption!$H$35:$K$43,4,0))^0.5,0))</f>
        <v>48585756</v>
      </c>
      <c r="AT10" s="207">
        <f>+IF($B10="",0,(1-VLOOKUP(MIN($B10,6),Assumption!$M$10:$N$16,2))*AS10)</f>
        <v>47128183.32</v>
      </c>
      <c r="AU10" s="207">
        <f>+IF($B10&gt;Coverage,0,ROUND((AV9+($F10+$G10-$H10-$Q10)*PML_BF)*(1+VLOOKUP(AU$3,Assumption!$H$35:$K$43,4,0))^0.5-($M10+$R10)*PML_BF-($S10*PML_BF*AV9),0))</f>
        <v>85472752</v>
      </c>
      <c r="AV10" s="207">
        <f>+IF($B10&gt;Coverage,0,ROUND(AU10*(1+VLOOKUP(AU$3,Assumption!$H$35:$K$43,4,0))^0.5,0))</f>
        <v>88413702</v>
      </c>
      <c r="AW10" s="207">
        <f>+IF($B10="",0,(1-VLOOKUP(MIN($B10,6),Assumption!$M$10:$N$16,2))*AV10)</f>
        <v>85761290.94</v>
      </c>
      <c r="AX10" s="207">
        <f>+IF($B10&gt;Coverage,0,ROUND((AY9+($F10+$G10-$H10-$Q10)*PML_EF)*(1+VLOOKUP(AX$3,Assumption!$H$35:$K$43,4,0))^0.5-($M10+$R10)*PML_EF-($S10*PML_EF*AY9),0))</f>
        <v>140086847</v>
      </c>
      <c r="AY10" s="207">
        <f>+IF($B10&gt;Coverage,0,ROUND(AX10*(1+VLOOKUP(AX$3,Assumption!$H$35:$K$43,4,0))^0.5,0))</f>
        <v>145582522</v>
      </c>
      <c r="AZ10" s="207">
        <f>+IF($B10="",0,(1-VLOOKUP(MIN($B10,6),Assumption!$M$10:$N$16,2))*AY10)</f>
        <v>141215046.3</v>
      </c>
      <c r="BA10" s="207">
        <f>+IF($B10&gt;Coverage,0,ROUND((BB9+($F10+$G10-$H10-$Q10)*PML_FI)*(1+VLOOKUP(BA$3,Assumption!$H$35:$K$43,4,0))^0.5-($M10+$R10)*PML_FI-($S10*PML_FI*BB9),0))</f>
        <v>65118103</v>
      </c>
      <c r="BB10" s="207">
        <f>+IF($B10&gt;Coverage,0,ROUND(BA10*(1+VLOOKUP(BA$3,Assumption!$H$35:$K$43,4,0))^0.5,0))</f>
        <v>66726200</v>
      </c>
      <c r="BC10" s="207">
        <f>+IF($B10="",0,(1-VLOOKUP(MIN($B10,6),Assumption!$M$10:$N$16,2))*BB10)</f>
        <v>64724414</v>
      </c>
    </row>
    <row r="11" ht="14.25" customHeight="1">
      <c r="A11" s="126">
        <v>4.0</v>
      </c>
      <c r="B11" s="129">
        <f>+IF(A11&gt;Coverage,"",A11)</f>
        <v>4</v>
      </c>
      <c r="C11" s="134">
        <f>+IF(B11=1,Insured_Age,IF(B11="","",C10+1))</f>
        <v>63</v>
      </c>
      <c r="D11" s="134">
        <f>+IF(B11&gt;Coverage,"",IF(B11=1,input!$H$11,D10+1))</f>
        <v>62</v>
      </c>
      <c r="E11" s="134">
        <f>IF(B11=1,premi_dasar,IF(B11&gt;Coverage,"",0))</f>
        <v>0</v>
      </c>
      <c r="F11" s="134">
        <f>IF(B11&gt;Coverage,"",SUM(E11))</f>
        <v>0</v>
      </c>
      <c r="G11" s="134">
        <f>IF(B11&gt;Coverage,"",SUMIFS(input!$E$38:$E$50,input!$C$38:$C$50,$C11))</f>
        <v>0</v>
      </c>
      <c r="H11" s="134">
        <f>IF(B11&gt;Coverage,"",SUMIFS(input!$E$53:$E$87,input!$C$53:$C$87,$C11))</f>
        <v>0</v>
      </c>
      <c r="I11" s="66">
        <f>+IF(B11="","",Sum_Assured*VLOOKUP(MIN(C11,10),Assumption!$M$19:$N$28,2,0))</f>
        <v>330001167</v>
      </c>
      <c r="J11" s="66">
        <f>IF(B11="","",input!$D$33)</f>
        <v>330001167</v>
      </c>
      <c r="K11" s="66">
        <f>IF(B11&gt;Coverage,"",VLOOKUP($C11,COI_Tab[],IF(sex="Male",2,3),0)*I11*(1+EM_Basic)/1000)</f>
        <v>5801420.516</v>
      </c>
      <c r="L11" s="66">
        <f>IF(B11&gt;Coverage,"",VLOOKUP($C11,COI_Tab[],4,0)*J11*(1+EM_Basic)/1000)</f>
        <v>316801.1203</v>
      </c>
      <c r="M11" s="207">
        <f>IF(B11&gt;Coverage,"",ROUND(K11+L11,0))</f>
        <v>6118222</v>
      </c>
      <c r="N11" s="134">
        <f>IF(B11&gt;Coverage,"",VLOOKUP($B11,Assumption!$H$11:$I$15,2)*E11)</f>
        <v>0</v>
      </c>
      <c r="O11" s="134">
        <f>IF(B11&gt;Coverage,"",Assumption!$J$11*$G11)</f>
        <v>0</v>
      </c>
      <c r="P11" s="134">
        <f>IF(B11&gt;Coverage,"",H11*VLOOKUP(MIN(B11,6),Assumption!$M$11:$N$16,2,0))</f>
        <v>0</v>
      </c>
      <c r="Q11" s="134">
        <f>IF(B11&gt;Coverage,"",SUM(N11:P11))</f>
        <v>0</v>
      </c>
      <c r="R11" s="207">
        <f>+IF($B11&gt;Coverage,"",Assumption!$I$18*12)</f>
        <v>300000</v>
      </c>
      <c r="S11" s="208">
        <f>+IF($B11&gt;Coverage,"",Assumption!$I$20)</f>
        <v>0</v>
      </c>
      <c r="T11" s="207">
        <f>+IF($B11&gt;Coverage,0,ROUND((U10+($F11+$G11-$H11-$Q11)*PML_LF)*(1+VLOOKUP(T$3,Assumption!$H$35:$K$43,2,0))^0.5-($M11+$R11)*PML_LF-($S11*PML_LF*U10),0))</f>
        <v>40537444</v>
      </c>
      <c r="U11" s="207">
        <f>+IF($B11&gt;Coverage,0,ROUND(T11*(1+VLOOKUP(T$3,Assumption!$H$35:$K$43,2,0))^0.5,0))</f>
        <v>40334248</v>
      </c>
      <c r="V11" s="207">
        <f>+IF($B11="",0,(1-VLOOKUP(MIN($B11,6),Assumption!$M$10:$N$16,2))*U11)</f>
        <v>39527563.04</v>
      </c>
      <c r="W11" s="207">
        <f>+IF($B11&gt;Coverage,0,ROUND((X10+($F11+$G11-$H11-$Q11)*PML_BF)*(1+VLOOKUP(W$3,Assumption!$H$35:$K$43,2,0))^0.5-($M11+$R11)*PML_BF-($S11*PML_BF*X10),0))</f>
        <v>67562405</v>
      </c>
      <c r="X11" s="207">
        <f>+IF($B11&gt;Coverage,0,ROUND(W11*(1+VLOOKUP(W$3,Assumption!$H$35:$K$43,2,0))^0.5,0))</f>
        <v>67223744</v>
      </c>
      <c r="Y11" s="207">
        <f>+IF($B11="",0,(1-VLOOKUP(MIN($B11,6),Assumption!$M$10:$N$16,2))*X11)</f>
        <v>65879269.12</v>
      </c>
      <c r="Z11" s="207">
        <f>+IF($B11&gt;Coverage,0,ROUND((AA10+($F11+$G11-$H11-$Q11)*PML_EF)*(1+VLOOKUP(Z$3,Assumption!$H$35:$K$43,2,0))^0.5-($M11+$R11)*PML_EF-($S11*PML_EF*AA10),0))</f>
        <v>108099846</v>
      </c>
      <c r="AA11" s="207">
        <f>+IF($B11&gt;Coverage,0,ROUND(Z11*(1+VLOOKUP(Z$3,Assumption!$H$35:$K$43,2,0))^0.5,0))</f>
        <v>107557989</v>
      </c>
      <c r="AB11" s="207">
        <f>+IF($B11="",0,(1-VLOOKUP(MIN($B11,6),Assumption!$M$10:$N$16,2))*AA11)</f>
        <v>105406829.2</v>
      </c>
      <c r="AC11" s="207">
        <f>+IF($B11&gt;Coverage,0,ROUND((AD10+($F11+$G11-$H11-$Q11)*PML_FI)*(1+VLOOKUP(AC$3,Assumption!$H$35:$K$43,2,0))^0.5-($M11+$R11)*PML_FI-($S11*PML_FI*AD10),0))</f>
        <v>54049923</v>
      </c>
      <c r="AD11" s="207">
        <f>+IF($B11&gt;Coverage,0,ROUND(AC11*(1+VLOOKUP(AC$3,Assumption!$H$35:$K$43,2,0))^0.5,0))</f>
        <v>53778994</v>
      </c>
      <c r="AE11" s="207">
        <f>+IF($B11="",0,(1-VLOOKUP(MIN($B11,6),Assumption!$M$10:$N$16,2))*AD11)</f>
        <v>52703414.12</v>
      </c>
      <c r="AF11" s="207">
        <f>+IF($B11&gt;Coverage,0,ROUND((AG10+($F11+$G11-$H11-$Q11)*PML_LF)*(1+VLOOKUP(AF$3,Assumption!$H$35:$K$43,3,0))^0.5-($M11+$R11)*PML_LF-($S11*PML_LF*AG10),0))</f>
        <v>42066999</v>
      </c>
      <c r="AG11" s="207">
        <f>+IF($B11&gt;Coverage,0,ROUND(AF11*(1+VLOOKUP(AF$3,Assumption!$H$35:$K$43,3,0))^0.5,0))</f>
        <v>42066999</v>
      </c>
      <c r="AH11" s="207">
        <f>+IF($B11="",0,(1-VLOOKUP(MIN($B11,6),Assumption!$M$10:$N$16,2))*AG11)</f>
        <v>41225659.02</v>
      </c>
      <c r="AI11" s="207">
        <f>+IF($B11&gt;Coverage,0,ROUND((AJ10+($F11+$G11-$H11-$Q11)*PML_BF)*(1+VLOOKUP(AI$3,Assumption!$H$35:$K$43,3,0))^0.5-($M11+$R11)*PML_BF-($S11*PML_BF*AJ10),0))</f>
        <v>70111665</v>
      </c>
      <c r="AJ11" s="207">
        <f>+IF($B11&gt;Coverage,0,ROUND(AI11*(1+VLOOKUP(AI$3,Assumption!$H$35:$K$43,3,0))^0.5,0))</f>
        <v>70111665</v>
      </c>
      <c r="AK11" s="207">
        <f>+IF($B11="",0,(1-VLOOKUP(MIN($B11,6),Assumption!$M$10:$N$16,2))*AJ11)</f>
        <v>68709431.7</v>
      </c>
      <c r="AL11" s="207">
        <f>+IF($B11&gt;Coverage,0,ROUND((AM10+($F11+$G11-$H11-$Q11)*PML_EF)*(1+VLOOKUP(AL$3,Assumption!$H$35:$K$43,3,0))^0.5-($M11+$R11)*PML_EF-($S11*PML_EF*AM10),0))</f>
        <v>112178661</v>
      </c>
      <c r="AM11" s="207">
        <f>+IF($B11&gt;Coverage,0,ROUND(AL11*(1+VLOOKUP(AL$3,Assumption!$H$35:$K$43,3,0))^0.5,0))</f>
        <v>112178661</v>
      </c>
      <c r="AN11" s="207">
        <f>+IF($B11="",0,(1-VLOOKUP(MIN($B11,6),Assumption!$M$10:$N$16,2))*AM11)</f>
        <v>109935087.8</v>
      </c>
      <c r="AO11" s="207">
        <f>+IF($B11&gt;Coverage,0,ROUND((AP10+($F11+$G11-$H11-$Q11)*PML_FI)*(1+VLOOKUP(AO$3,Assumption!$H$35:$K$43,3,0))^0.5-($M11+$R11)*PML_FI-($S11*PML_FI*AP10),0))</f>
        <v>56089332</v>
      </c>
      <c r="AP11" s="207">
        <f>+IF($B11&gt;Coverage,0,ROUND(AO11*(1+VLOOKUP(AO$3,Assumption!$H$35:$K$43,3,0))^0.5,0))</f>
        <v>56089332</v>
      </c>
      <c r="AQ11" s="207">
        <f>+IF($B11="",0,(1-VLOOKUP(MIN($B11,6),Assumption!$M$10:$N$16,2))*AP11)</f>
        <v>54967545.36</v>
      </c>
      <c r="AR11" s="207">
        <f>+IF($B11&gt;Coverage,0,ROUND((AS10+($F11+$G11-$H11-$Q11)*PML_LF)*(1+VLOOKUP(AR$3,Assumption!$H$35:$K$43,4,0))^0.5-($M11+$R11)*PML_LF-($S11*PML_LF*AS10),0))</f>
        <v>48585210</v>
      </c>
      <c r="AS11" s="207">
        <f>+IF($B11&gt;Coverage,0,ROUND(AR11*(1+VLOOKUP(AR$3,Assumption!$H$35:$K$43,4,0))^0.5,0))</f>
        <v>49547387</v>
      </c>
      <c r="AT11" s="207">
        <f>+IF($B11="",0,(1-VLOOKUP(MIN($B11,6),Assumption!$M$10:$N$16,2))*AS11)</f>
        <v>48556439.26</v>
      </c>
      <c r="AU11" s="207">
        <f>+IF($B11&gt;Coverage,0,ROUND((AV10+($F11+$G11-$H11-$Q11)*PML_BF)*(1+VLOOKUP(AU$3,Assumption!$H$35:$K$43,4,0))^0.5-($M11+$R11)*PML_BF-($S11*PML_BF*AV10),0))</f>
        <v>89851289</v>
      </c>
      <c r="AV11" s="207">
        <f>+IF($B11&gt;Coverage,0,ROUND(AU11*(1+VLOOKUP(AU$3,Assumption!$H$35:$K$43,4,0))^0.5,0))</f>
        <v>92942896</v>
      </c>
      <c r="AW11" s="207">
        <f>+IF($B11="",0,(1-VLOOKUP(MIN($B11,6),Assumption!$M$10:$N$16,2))*AV11)</f>
        <v>91084038.08</v>
      </c>
      <c r="AX11" s="207">
        <f>+IF($B11&gt;Coverage,0,ROUND((AY10+($F11+$G11-$H11-$Q11)*PML_EF)*(1+VLOOKUP(AX$3,Assumption!$H$35:$K$43,4,0))^0.5-($M11+$R11)*PML_EF-($S11*PML_EF*AY10),0))</f>
        <v>148726506</v>
      </c>
      <c r="AY11" s="207">
        <f>+IF($B11&gt;Coverage,0,ROUND(AX11*(1+VLOOKUP(AX$3,Assumption!$H$35:$K$43,4,0))^0.5,0))</f>
        <v>154561119</v>
      </c>
      <c r="AZ11" s="207">
        <f>+IF($B11="",0,(1-VLOOKUP(MIN($B11,6),Assumption!$M$10:$N$16,2))*AY11)</f>
        <v>151469896.6</v>
      </c>
      <c r="BA11" s="207">
        <f>+IF($B11&gt;Coverage,0,ROUND((BB10+($F11+$G11-$H11-$Q11)*PML_FI)*(1+VLOOKUP(BA$3,Assumption!$H$35:$K$43,4,0))^0.5-($M11+$R11)*PML_FI-($S11*PML_FI*BB10),0))</f>
        <v>67090364</v>
      </c>
      <c r="BB11" s="207">
        <f>+IF($B11&gt;Coverage,0,ROUND(BA11*(1+VLOOKUP(BA$3,Assumption!$H$35:$K$43,4,0))^0.5,0))</f>
        <v>68747166</v>
      </c>
      <c r="BC11" s="207">
        <f>+IF($B11="",0,(1-VLOOKUP(MIN($B11,6),Assumption!$M$10:$N$16,2))*BB11)</f>
        <v>67372222.68</v>
      </c>
    </row>
    <row r="12" ht="14.25" customHeight="1">
      <c r="A12" s="126">
        <v>5.0</v>
      </c>
      <c r="B12" s="129">
        <f>+IF(A12&gt;Coverage,"",A12)</f>
        <v>5</v>
      </c>
      <c r="C12" s="134">
        <f>+IF(B12=1,Insured_Age,IF(B12="","",C11+1))</f>
        <v>64</v>
      </c>
      <c r="D12" s="134">
        <f>+IF(B12&gt;Coverage,"",IF(B12=1,input!$H$11,D11+1))</f>
        <v>63</v>
      </c>
      <c r="E12" s="134">
        <f>IF(B12=1,premi_dasar,IF(B12&gt;Coverage,"",0))</f>
        <v>0</v>
      </c>
      <c r="F12" s="134">
        <f>IF(B12&gt;Coverage,"",SUM(E12))</f>
        <v>0</v>
      </c>
      <c r="G12" s="134">
        <f>IF(B12&gt;Coverage,"",SUMIFS(input!$E$38:$E$50,input!$C$38:$C$50,$C12))</f>
        <v>0</v>
      </c>
      <c r="H12" s="134">
        <f>IF(B12&gt;Coverage,"",SUMIFS(input!$E$53:$E$87,input!$C$53:$C$87,$C12))</f>
        <v>0</v>
      </c>
      <c r="I12" s="66">
        <f>+IF(B12="","",Sum_Assured*VLOOKUP(MIN(C12,10),Assumption!$M$19:$N$28,2,0))</f>
        <v>330001167</v>
      </c>
      <c r="J12" s="66">
        <f>IF(B12="","",input!$D$33)</f>
        <v>330001167</v>
      </c>
      <c r="K12" s="66">
        <f>IF(B12&gt;Coverage,"",VLOOKUP($C12,COI_Tab[],IF(sex="Male",2,3),0)*I12*(1+EM_Basic)/1000)</f>
        <v>5821220.586</v>
      </c>
      <c r="L12" s="66">
        <f>IF(B12&gt;Coverage,"",VLOOKUP($C12,COI_Tab[],4,0)*J12*(1+EM_Basic)/1000)</f>
        <v>316801.1203</v>
      </c>
      <c r="M12" s="207">
        <f>IF(B12&gt;Coverage,"",ROUND(K12+L12,0))</f>
        <v>6138022</v>
      </c>
      <c r="N12" s="134">
        <f>IF(B12&gt;Coverage,"",VLOOKUP($B12,Assumption!$H$11:$I$15,2)*E12)</f>
        <v>0</v>
      </c>
      <c r="O12" s="134">
        <f>IF(B12&gt;Coverage,"",Assumption!$J$11*$G12)</f>
        <v>0</v>
      </c>
      <c r="P12" s="134">
        <f>IF(B12&gt;Coverage,"",H12*VLOOKUP(MIN(B12,6),Assumption!$M$11:$N$16,2,0))</f>
        <v>0</v>
      </c>
      <c r="Q12" s="134">
        <f>IF(B12&gt;Coverage,"",SUM(N12:P12))</f>
        <v>0</v>
      </c>
      <c r="R12" s="207">
        <f>+IF($B12&gt;Coverage,"",Assumption!$I$18*12)</f>
        <v>300000</v>
      </c>
      <c r="S12" s="208">
        <f>+IF($B12&gt;Coverage,"",Assumption!$I$20)</f>
        <v>0</v>
      </c>
      <c r="T12" s="207">
        <f>+IF($B12&gt;Coverage,0,ROUND((U11+($F12+$G12-$H12-$Q12)*PML_LF)*(1+VLOOKUP(T$3,Assumption!$H$35:$K$43,2,0))^0.5-($M12+$R12)*PML_LF-($S12*PML_LF*U11),0))</f>
        <v>39166367</v>
      </c>
      <c r="U12" s="207">
        <f>+IF($B12&gt;Coverage,0,ROUND(T12*(1+VLOOKUP(T$3,Assumption!$H$35:$K$43,2,0))^0.5,0))</f>
        <v>38970043</v>
      </c>
      <c r="V12" s="207">
        <f>+IF($B12="",0,(1-VLOOKUP(MIN($B12,6),Assumption!$M$10:$N$16,2))*U12)</f>
        <v>38580342.57</v>
      </c>
      <c r="W12" s="207">
        <f>+IF($B12&gt;Coverage,0,ROUND((X11+($F12+$G12-$H12-$Q12)*PML_BF)*(1+VLOOKUP(W$3,Assumption!$H$35:$K$43,2,0))^0.5-($M12+$R12)*PML_BF-($S12*PML_BF*X11),0))</f>
        <v>65277275</v>
      </c>
      <c r="X12" s="207">
        <f>+IF($B12&gt;Coverage,0,ROUND(W12*(1+VLOOKUP(W$3,Assumption!$H$35:$K$43,2,0))^0.5,0))</f>
        <v>64950069</v>
      </c>
      <c r="Y12" s="207">
        <f>+IF($B12="",0,(1-VLOOKUP(MIN($B12,6),Assumption!$M$10:$N$16,2))*X12)</f>
        <v>64300568.31</v>
      </c>
      <c r="Z12" s="207">
        <f>+IF($B12&gt;Coverage,0,ROUND((AA11+($F12+$G12-$H12-$Q12)*PML_EF)*(1+VLOOKUP(Z$3,Assumption!$H$35:$K$43,2,0))^0.5-($M12+$R12)*PML_EF-($S12*PML_EF*AA11),0))</f>
        <v>104443639</v>
      </c>
      <c r="AA12" s="207">
        <f>+IF($B12&gt;Coverage,0,ROUND(Z12*(1+VLOOKUP(Z$3,Assumption!$H$35:$K$43,2,0))^0.5,0))</f>
        <v>103920109</v>
      </c>
      <c r="AB12" s="207">
        <f>+IF($B12="",0,(1-VLOOKUP(MIN($B12,6),Assumption!$M$10:$N$16,2))*AA12)</f>
        <v>102880907.9</v>
      </c>
      <c r="AC12" s="207">
        <f>+IF($B12&gt;Coverage,0,ROUND((AD11+($F12+$G12-$H12-$Q12)*PML_FI)*(1+VLOOKUP(AC$3,Assumption!$H$35:$K$43,2,0))^0.5-($M12+$R12)*PML_FI-($S12*PML_FI*AD11),0))</f>
        <v>52221819</v>
      </c>
      <c r="AD12" s="207">
        <f>+IF($B12&gt;Coverage,0,ROUND(AC12*(1+VLOOKUP(AC$3,Assumption!$H$35:$K$43,2,0))^0.5,0))</f>
        <v>51960054</v>
      </c>
      <c r="AE12" s="207">
        <f>+IF($B12="",0,(1-VLOOKUP(MIN($B12,6),Assumption!$M$10:$N$16,2))*AD12)</f>
        <v>51440453.46</v>
      </c>
      <c r="AF12" s="207">
        <f>+IF($B12&gt;Coverage,0,ROUND((AG11+($F12+$G12-$H12-$Q12)*PML_LF)*(1+VLOOKUP(AF$3,Assumption!$H$35:$K$43,3,0))^0.5-($M12+$R12)*PML_LF-($S12*PML_LF*AG11),0))</f>
        <v>41101296</v>
      </c>
      <c r="AG12" s="207">
        <f>+IF($B12&gt;Coverage,0,ROUND(AF12*(1+VLOOKUP(AF$3,Assumption!$H$35:$K$43,3,0))^0.5,0))</f>
        <v>41101296</v>
      </c>
      <c r="AH12" s="207">
        <f>+IF($B12="",0,(1-VLOOKUP(MIN($B12,6),Assumption!$M$10:$N$16,2))*AG12)</f>
        <v>40690283.04</v>
      </c>
      <c r="AI12" s="207">
        <f>+IF($B12&gt;Coverage,0,ROUND((AJ11+($F12+$G12-$H12-$Q12)*PML_BF)*(1+VLOOKUP(AI$3,Assumption!$H$35:$K$43,3,0))^0.5-($M12+$R12)*PML_BF-($S12*PML_BF*AJ11),0))</f>
        <v>68502160</v>
      </c>
      <c r="AJ12" s="207">
        <f>+IF($B12&gt;Coverage,0,ROUND(AI12*(1+VLOOKUP(AI$3,Assumption!$H$35:$K$43,3,0))^0.5,0))</f>
        <v>68502160</v>
      </c>
      <c r="AK12" s="207">
        <f>+IF($B12="",0,(1-VLOOKUP(MIN($B12,6),Assumption!$M$10:$N$16,2))*AJ12)</f>
        <v>67817138.4</v>
      </c>
      <c r="AL12" s="207">
        <f>+IF($B12&gt;Coverage,0,ROUND((AM11+($F12+$G12-$H12-$Q12)*PML_EF)*(1+VLOOKUP(AL$3,Assumption!$H$35:$K$43,3,0))^0.5-($M12+$R12)*PML_EF-($S12*PML_EF*AM11),0))</f>
        <v>109603452</v>
      </c>
      <c r="AM12" s="207">
        <f>+IF($B12&gt;Coverage,0,ROUND(AL12*(1+VLOOKUP(AL$3,Assumption!$H$35:$K$43,3,0))^0.5,0))</f>
        <v>109603452</v>
      </c>
      <c r="AN12" s="207">
        <f>+IF($B12="",0,(1-VLOOKUP(MIN($B12,6),Assumption!$M$10:$N$16,2))*AM12)</f>
        <v>108507417.5</v>
      </c>
      <c r="AO12" s="207">
        <f>+IF($B12&gt;Coverage,0,ROUND((AP11+($F12+$G12-$H12-$Q12)*PML_FI)*(1+VLOOKUP(AO$3,Assumption!$H$35:$K$43,3,0))^0.5-($M12+$R12)*PML_FI-($S12*PML_FI*AP11),0))</f>
        <v>54801728</v>
      </c>
      <c r="AP12" s="207">
        <f>+IF($B12&gt;Coverage,0,ROUND(AO12*(1+VLOOKUP(AO$3,Assumption!$H$35:$K$43,3,0))^0.5,0))</f>
        <v>54801728</v>
      </c>
      <c r="AQ12" s="207">
        <f>+IF($B12="",0,(1-VLOOKUP(MIN($B12,6),Assumption!$M$10:$N$16,2))*AP12)</f>
        <v>54253710.72</v>
      </c>
      <c r="AR12" s="207">
        <f>+IF($B12&gt;Coverage,0,ROUND((AS11+($F12+$G12-$H12-$Q12)*PML_LF)*(1+VLOOKUP(AR$3,Assumption!$H$35:$K$43,4,0))^0.5-($M12+$R12)*PML_LF-($S12*PML_LF*AS11),0))</f>
        <v>49562915</v>
      </c>
      <c r="AS12" s="207">
        <f>+IF($B12&gt;Coverage,0,ROUND(AR12*(1+VLOOKUP(AR$3,Assumption!$H$35:$K$43,4,0))^0.5,0))</f>
        <v>50544454</v>
      </c>
      <c r="AT12" s="207">
        <f>+IF($B12="",0,(1-VLOOKUP(MIN($B12,6),Assumption!$M$10:$N$16,2))*AS12)</f>
        <v>50039009.46</v>
      </c>
      <c r="AU12" s="207">
        <f>+IF($B12&gt;Coverage,0,ROUND((AV11+($F12+$G12-$H12-$Q12)*PML_BF)*(1+VLOOKUP(AU$3,Assumption!$H$35:$K$43,4,0))^0.5-($M12+$R12)*PML_BF-($S12*PML_BF*AV11),0))</f>
        <v>94531374</v>
      </c>
      <c r="AV12" s="207">
        <f>+IF($B12&gt;Coverage,0,ROUND(AU12*(1+VLOOKUP(AU$3,Assumption!$H$35:$K$43,4,0))^0.5,0))</f>
        <v>97784014</v>
      </c>
      <c r="AW12" s="207">
        <f>+IF($B12="",0,(1-VLOOKUP(MIN($B12,6),Assumption!$M$10:$N$16,2))*AV12)</f>
        <v>96806173.86</v>
      </c>
      <c r="AX12" s="207">
        <f>+IF($B12&gt;Coverage,0,ROUND((AY11+($F12+$G12-$H12-$Q12)*PML_EF)*(1+VLOOKUP(AX$3,Assumption!$H$35:$K$43,4,0))^0.5-($M12+$R12)*PML_EF-($S12*PML_EF*AY11),0))</f>
        <v>158049418</v>
      </c>
      <c r="AY12" s="207">
        <f>+IF($B12&gt;Coverage,0,ROUND(AX12*(1+VLOOKUP(AX$3,Assumption!$H$35:$K$43,4,0))^0.5,0))</f>
        <v>164249773</v>
      </c>
      <c r="AZ12" s="207">
        <f>+IF($B12="",0,(1-VLOOKUP(MIN($B12,6),Assumption!$M$10:$N$16,2))*AY12)</f>
        <v>162607275.3</v>
      </c>
      <c r="BA12" s="207">
        <f>+IF($B12&gt;Coverage,0,ROUND((BB11+($F12+$G12-$H12-$Q12)*PML_FI)*(1+VLOOKUP(BA$3,Assumption!$H$35:$K$43,4,0))^0.5-($M12+$R12)*PML_FI-($S12*PML_FI*BB11),0))</f>
        <v>69157278</v>
      </c>
      <c r="BB12" s="207">
        <f>+IF($B12&gt;Coverage,0,ROUND(BA12*(1+VLOOKUP(BA$3,Assumption!$H$35:$K$43,4,0))^0.5,0))</f>
        <v>70865122</v>
      </c>
      <c r="BC12" s="207">
        <f>+IF($B12="",0,(1-VLOOKUP(MIN($B12,6),Assumption!$M$10:$N$16,2))*BB12)</f>
        <v>70156470.78</v>
      </c>
    </row>
    <row r="13" ht="14.25" customHeight="1">
      <c r="A13" s="126">
        <v>6.0</v>
      </c>
      <c r="B13" s="129">
        <f>+IF(A13&gt;Coverage,"",A13)</f>
        <v>6</v>
      </c>
      <c r="C13" s="134">
        <f>+IF(B13=1,Insured_Age,IF(B13="","",C12+1))</f>
        <v>65</v>
      </c>
      <c r="D13" s="134">
        <f>+IF(B13&gt;Coverage,"",IF(B13=1,input!$H$11,D12+1))</f>
        <v>64</v>
      </c>
      <c r="E13" s="134">
        <f>IF(B13=1,premi_dasar,IF(B13&gt;Coverage,"",0))</f>
        <v>0</v>
      </c>
      <c r="F13" s="134">
        <f>IF(B13&gt;Coverage,"",SUM(E13))</f>
        <v>0</v>
      </c>
      <c r="G13" s="134">
        <f>IF(B13&gt;Coverage,"",SUMIFS(input!$E$38:$E$50,input!$C$38:$C$50,$C13))</f>
        <v>0</v>
      </c>
      <c r="H13" s="134">
        <f>IF(B13&gt;Coverage,"",SUMIFS(input!$E$53:$E$87,input!$C$53:$C$87,$C13))</f>
        <v>0</v>
      </c>
      <c r="I13" s="66">
        <f>+IF(B13="","",Sum_Assured*VLOOKUP(MIN(C13,10),Assumption!$M$19:$N$28,2,0))</f>
        <v>330001167</v>
      </c>
      <c r="J13" s="66">
        <f>IF(B13="","",input!$D$33)</f>
        <v>330001167</v>
      </c>
      <c r="K13" s="66">
        <f>IF(B13&gt;Coverage,"",VLOOKUP($C13,COI_Tab[],IF(sex="Male",2,3),0)*I13*(1+EM_Basic)/1000)</f>
        <v>5880620.796</v>
      </c>
      <c r="L13" s="66">
        <f>IF(B13&gt;Coverage,"",VLOOKUP($C13,COI_Tab[],4,0)*J13*(1+EM_Basic)/1000)</f>
        <v>0</v>
      </c>
      <c r="M13" s="207">
        <f>IF(B13&gt;Coverage,"",ROUND(K13+L13,0))</f>
        <v>5880621</v>
      </c>
      <c r="N13" s="134">
        <f>IF(B13&gt;Coverage,"",VLOOKUP($B13,Assumption!$H$11:$I$15,2)*E13)</f>
        <v>0</v>
      </c>
      <c r="O13" s="134">
        <f>IF(B13&gt;Coverage,"",Assumption!$J$11*$G13)</f>
        <v>0</v>
      </c>
      <c r="P13" s="134">
        <f>IF(B13&gt;Coverage,"",H13*VLOOKUP(MIN(B13,6),Assumption!$M$11:$N$16,2,0))</f>
        <v>0</v>
      </c>
      <c r="Q13" s="134">
        <f>IF(B13&gt;Coverage,"",SUM(N13:P13))</f>
        <v>0</v>
      </c>
      <c r="R13" s="207">
        <f>+IF($B13&gt;Coverage,"",Assumption!$I$18*12)</f>
        <v>300000</v>
      </c>
      <c r="S13" s="208">
        <f>+IF($B13&gt;Coverage,"",Assumption!$I$20)</f>
        <v>0</v>
      </c>
      <c r="T13" s="207">
        <f>+IF($B13&gt;Coverage,0,ROUND((U12+($F13+$G13-$H13-$Q13)*PML_LF)*(1+VLOOKUP(T$3,Assumption!$H$35:$K$43,2,0))^0.5-($M13+$R13)*PML_LF-($S13*PML_LF*U12),0))</f>
        <v>37847610</v>
      </c>
      <c r="U13" s="207">
        <f>+IF($B13&gt;Coverage,0,ROUND(T13*(1+VLOOKUP(T$3,Assumption!$H$35:$K$43,2,0))^0.5,0))</f>
        <v>37657896</v>
      </c>
      <c r="V13" s="207">
        <f>+IF($B13="",0,(1-VLOOKUP(MIN($B13,6),Assumption!$M$10:$N$16,2))*U13)</f>
        <v>37657896</v>
      </c>
      <c r="W13" s="207">
        <f>+IF($B13&gt;Coverage,0,ROUND((X12+($F13+$G13-$H13-$Q13)*PML_BF)*(1+VLOOKUP(W$3,Assumption!$H$35:$K$43,2,0))^0.5-($M13+$R13)*PML_BF-($S13*PML_BF*X12),0))</f>
        <v>63079347</v>
      </c>
      <c r="X13" s="207">
        <f>+IF($B13&gt;Coverage,0,ROUND(W13*(1+VLOOKUP(W$3,Assumption!$H$35:$K$43,2,0))^0.5,0))</f>
        <v>62763158</v>
      </c>
      <c r="Y13" s="207">
        <f>+IF($B13="",0,(1-VLOOKUP(MIN($B13,6),Assumption!$M$10:$N$16,2))*X13)</f>
        <v>62763158</v>
      </c>
      <c r="Z13" s="207">
        <f>+IF($B13&gt;Coverage,0,ROUND((AA12+($F13+$G13-$H13-$Q13)*PML_EF)*(1+VLOOKUP(Z$3,Assumption!$H$35:$K$43,2,0))^0.5-($M13+$R13)*PML_EF-($S13*PML_EF*AA12),0))</f>
        <v>100926955</v>
      </c>
      <c r="AA13" s="207">
        <f>+IF($B13&gt;Coverage,0,ROUND(Z13*(1+VLOOKUP(Z$3,Assumption!$H$35:$K$43,2,0))^0.5,0))</f>
        <v>100421052</v>
      </c>
      <c r="AB13" s="207">
        <f>+IF($B13="",0,(1-VLOOKUP(MIN($B13,6),Assumption!$M$10:$N$16,2))*AA13)</f>
        <v>100421052</v>
      </c>
      <c r="AC13" s="207">
        <f>+IF($B13&gt;Coverage,0,ROUND((AD12+($F13+$G13-$H13-$Q13)*PML_FI)*(1+VLOOKUP(AC$3,Assumption!$H$35:$K$43,2,0))^0.5-($M13+$R13)*PML_FI-($S13*PML_FI*AD12),0))</f>
        <v>50463477</v>
      </c>
      <c r="AD13" s="207">
        <f>+IF($B13&gt;Coverage,0,ROUND(AC13*(1+VLOOKUP(AC$3,Assumption!$H$35:$K$43,2,0))^0.5,0))</f>
        <v>50210526</v>
      </c>
      <c r="AE13" s="207">
        <f>+IF($B13="",0,(1-VLOOKUP(MIN($B13,6),Assumption!$M$10:$N$16,2))*AD13)</f>
        <v>50210526</v>
      </c>
      <c r="AF13" s="207">
        <f>+IF($B13&gt;Coverage,0,ROUND((AG12+($F13+$G13-$H13-$Q13)*PML_LF)*(1+VLOOKUP(AF$3,Assumption!$H$35:$K$43,3,0))^0.5-($M13+$R13)*PML_LF-($S13*PML_LF*AG12),0))</f>
        <v>40174203</v>
      </c>
      <c r="AG13" s="207">
        <f>+IF($B13&gt;Coverage,0,ROUND(AF13*(1+VLOOKUP(AF$3,Assumption!$H$35:$K$43,3,0))^0.5,0))</f>
        <v>40174203</v>
      </c>
      <c r="AH13" s="207">
        <f>+IF($B13="",0,(1-VLOOKUP(MIN($B13,6),Assumption!$M$10:$N$16,2))*AG13)</f>
        <v>40174203</v>
      </c>
      <c r="AI13" s="207">
        <f>+IF($B13&gt;Coverage,0,ROUND((AJ12+($F13+$G13-$H13-$Q13)*PML_BF)*(1+VLOOKUP(AI$3,Assumption!$H$35:$K$43,3,0))^0.5-($M13+$R13)*PML_BF-($S13*PML_BF*AJ12),0))</f>
        <v>66957005</v>
      </c>
      <c r="AJ13" s="207">
        <f>+IF($B13&gt;Coverage,0,ROUND(AI13*(1+VLOOKUP(AI$3,Assumption!$H$35:$K$43,3,0))^0.5,0))</f>
        <v>66957005</v>
      </c>
      <c r="AK13" s="207">
        <f>+IF($B13="",0,(1-VLOOKUP(MIN($B13,6),Assumption!$M$10:$N$16,2))*AJ13)</f>
        <v>66957005</v>
      </c>
      <c r="AL13" s="207">
        <f>+IF($B13&gt;Coverage,0,ROUND((AM12+($F13+$G13-$H13-$Q13)*PML_EF)*(1+VLOOKUP(AL$3,Assumption!$H$35:$K$43,3,0))^0.5-($M13+$R13)*PML_EF-($S13*PML_EF*AM12),0))</f>
        <v>107131204</v>
      </c>
      <c r="AM13" s="207">
        <f>+IF($B13&gt;Coverage,0,ROUND(AL13*(1+VLOOKUP(AL$3,Assumption!$H$35:$K$43,3,0))^0.5,0))</f>
        <v>107131204</v>
      </c>
      <c r="AN13" s="207">
        <f>+IF($B13="",0,(1-VLOOKUP(MIN($B13,6),Assumption!$M$10:$N$16,2))*AM13)</f>
        <v>107131204</v>
      </c>
      <c r="AO13" s="207">
        <f>+IF($B13&gt;Coverage,0,ROUND((AP12+($F13+$G13-$H13-$Q13)*PML_FI)*(1+VLOOKUP(AO$3,Assumption!$H$35:$K$43,3,0))^0.5-($M13+$R13)*PML_FI-($S13*PML_FI*AP12),0))</f>
        <v>53565604</v>
      </c>
      <c r="AP13" s="207">
        <f>+IF($B13&gt;Coverage,0,ROUND(AO13*(1+VLOOKUP(AO$3,Assumption!$H$35:$K$43,3,0))^0.5,0))</f>
        <v>53565604</v>
      </c>
      <c r="AQ13" s="207">
        <f>+IF($B13="",0,(1-VLOOKUP(MIN($B13,6),Assumption!$M$10:$N$16,2))*AP13)</f>
        <v>53565604</v>
      </c>
      <c r="AR13" s="207">
        <f>+IF($B13&gt;Coverage,0,ROUND((AS12+($F13+$G13-$H13-$Q13)*PML_LF)*(1+VLOOKUP(AR$3,Assumption!$H$35:$K$43,4,0))^0.5-($M13+$R13)*PML_LF-($S13*PML_LF*AS12),0))</f>
        <v>50618338</v>
      </c>
      <c r="AS13" s="207">
        <f>+IF($B13&gt;Coverage,0,ROUND(AR13*(1+VLOOKUP(AR$3,Assumption!$H$35:$K$43,4,0))^0.5,0))</f>
        <v>51620779</v>
      </c>
      <c r="AT13" s="207">
        <f>+IF($B13="",0,(1-VLOOKUP(MIN($B13,6),Assumption!$M$10:$N$16,2))*AS13)</f>
        <v>51620779</v>
      </c>
      <c r="AU13" s="207">
        <f>+IF($B13&gt;Coverage,0,ROUND((AV12+($F13+$G13-$H13-$Q13)*PML_BF)*(1+VLOOKUP(AU$3,Assumption!$H$35:$K$43,4,0))^0.5-($M13+$R13)*PML_BF-($S13*PML_BF*AV12),0))</f>
        <v>99603415</v>
      </c>
      <c r="AV13" s="207">
        <f>+IF($B13&gt;Coverage,0,ROUND(AU13*(1+VLOOKUP(AU$3,Assumption!$H$35:$K$43,4,0))^0.5,0))</f>
        <v>103030574</v>
      </c>
      <c r="AW13" s="207">
        <f>+IF($B13="",0,(1-VLOOKUP(MIN($B13,6),Assumption!$M$10:$N$16,2))*AV13)</f>
        <v>103030574</v>
      </c>
      <c r="AX13" s="207">
        <f>+IF($B13&gt;Coverage,0,ROUND((AY12+($F13+$G13-$H13-$Q13)*PML_EF)*(1+VLOOKUP(AX$3,Assumption!$H$35:$K$43,4,0))^0.5-($M13+$R13)*PML_EF-($S13*PML_EF*AY12),0))</f>
        <v>168221123</v>
      </c>
      <c r="AY13" s="207">
        <f>+IF($B13&gt;Coverage,0,ROUND(AX13*(1+VLOOKUP(AX$3,Assumption!$H$35:$K$43,4,0))^0.5,0))</f>
        <v>174820519</v>
      </c>
      <c r="AZ13" s="207">
        <f>+IF($B13="",0,(1-VLOOKUP(MIN($B13,6),Assumption!$M$10:$N$16,2))*AY13)</f>
        <v>174820519</v>
      </c>
      <c r="BA13" s="207">
        <f>+IF($B13&gt;Coverage,0,ROUND((BB12+($F13+$G13-$H13-$Q13)*PML_FI)*(1+VLOOKUP(BA$3,Assumption!$H$35:$K$43,4,0))^0.5-($M13+$R13)*PML_FI-($S13*PML_FI*BB12),0))</f>
        <v>71379017</v>
      </c>
      <c r="BB13" s="207">
        <f>+IF($B13&gt;Coverage,0,ROUND(BA13*(1+VLOOKUP(BA$3,Assumption!$H$35:$K$43,4,0))^0.5,0))</f>
        <v>73141727</v>
      </c>
      <c r="BC13" s="207">
        <f>+IF($B13="",0,(1-VLOOKUP(MIN($B13,6),Assumption!$M$10:$N$16,2))*BB13)</f>
        <v>73141727</v>
      </c>
    </row>
    <row r="14" ht="14.25" customHeight="1">
      <c r="A14" s="126">
        <v>7.0</v>
      </c>
      <c r="B14" s="129">
        <f>+IF(A14&gt;Coverage,"",A14)</f>
        <v>7</v>
      </c>
      <c r="C14" s="134">
        <f>+IF(B14=1,Insured_Age,IF(B14="","",C13+1))</f>
        <v>66</v>
      </c>
      <c r="D14" s="134">
        <f>+IF(B14&gt;Coverage,"",IF(B14=1,input!$H$11,D13+1))</f>
        <v>65</v>
      </c>
      <c r="E14" s="134">
        <f>IF(B14=1,premi_dasar,IF(B14&gt;Coverage,"",0))</f>
        <v>0</v>
      </c>
      <c r="F14" s="134">
        <f>IF(B14&gt;Coverage,"",SUM(E14))</f>
        <v>0</v>
      </c>
      <c r="G14" s="134">
        <f>IF(B14&gt;Coverage,"",SUMIFS(input!$E$38:$E$50,input!$C$38:$C$50,$C14))</f>
        <v>0</v>
      </c>
      <c r="H14" s="134">
        <f>IF(B14&gt;Coverage,"",SUMIFS(input!$E$53:$E$87,input!$C$53:$C$87,$C14))</f>
        <v>0</v>
      </c>
      <c r="I14" s="66">
        <f>+IF(B14="","",Sum_Assured*VLOOKUP(MIN(C14,10),Assumption!$M$19:$N$28,2,0))</f>
        <v>330001167</v>
      </c>
      <c r="J14" s="66">
        <f>IF(B14="","",input!$D$33)</f>
        <v>330001167</v>
      </c>
      <c r="K14" s="66">
        <f>IF(B14&gt;Coverage,"",VLOOKUP($C14,COI_Tab[],IF(sex="Male",2,3),0)*I14*(1+EM_Basic)/1000)</f>
        <v>6153861.762</v>
      </c>
      <c r="L14" s="66">
        <f>IF(B14&gt;Coverage,"",VLOOKUP($C14,COI_Tab[],4,0)*J14*(1+EM_Basic)/1000)</f>
        <v>0</v>
      </c>
      <c r="M14" s="207">
        <f>IF(B14&gt;Coverage,"",ROUND(K14+L14,0))</f>
        <v>6153862</v>
      </c>
      <c r="N14" s="134">
        <f>IF(B14&gt;Coverage,"",VLOOKUP($B14,Assumption!$H$11:$I$15,2)*E14)</f>
        <v>0</v>
      </c>
      <c r="O14" s="134">
        <f>IF(B14&gt;Coverage,"",Assumption!$J$11*$G14)</f>
        <v>0</v>
      </c>
      <c r="P14" s="134">
        <f>IF(B14&gt;Coverage,"",H14*VLOOKUP(MIN(B14,6),Assumption!$M$11:$N$16,2,0))</f>
        <v>0</v>
      </c>
      <c r="Q14" s="134">
        <f>IF(B14&gt;Coverage,"",SUM(N14:P14))</f>
        <v>0</v>
      </c>
      <c r="R14" s="207">
        <f>+IF($B14&gt;Coverage,"",Assumption!$I$18*12)</f>
        <v>300000</v>
      </c>
      <c r="S14" s="208">
        <f>+IF($B14&gt;Coverage,"",Assumption!$I$20)</f>
        <v>0</v>
      </c>
      <c r="T14" s="207">
        <f>+IF($B14&gt;Coverage,0,ROUND((U13+($F14+$G14-$H14-$Q14)*PML_LF)*(1+VLOOKUP(T$3,Assumption!$H$35:$K$43,2,0))^0.5-($M14+$R14)*PML_LF-($S14*PML_LF*U13),0))</f>
        <v>36501054</v>
      </c>
      <c r="U14" s="207">
        <f>+IF($B14&gt;Coverage,0,ROUND(T14*(1+VLOOKUP(T$3,Assumption!$H$35:$K$43,2,0))^0.5,0))</f>
        <v>36318090</v>
      </c>
      <c r="V14" s="207">
        <f>+IF($B14="",0,(1-VLOOKUP(MIN($B14,6),Assumption!$M$10:$N$16,2))*U14)</f>
        <v>36318090</v>
      </c>
      <c r="W14" s="207">
        <f>+IF($B14&gt;Coverage,0,ROUND((X13+($F14+$G14-$H14-$Q14)*PML_BF)*(1+VLOOKUP(W$3,Assumption!$H$35:$K$43,2,0))^0.5-($M14+$R14)*PML_BF-($S14*PML_BF*X13),0))</f>
        <v>60835088</v>
      </c>
      <c r="X14" s="207">
        <f>+IF($B14&gt;Coverage,0,ROUND(W14*(1+VLOOKUP(W$3,Assumption!$H$35:$K$43,2,0))^0.5,0))</f>
        <v>60530148</v>
      </c>
      <c r="Y14" s="207">
        <f>+IF($B14="",0,(1-VLOOKUP(MIN($B14,6),Assumption!$M$10:$N$16,2))*X14)</f>
        <v>60530148</v>
      </c>
      <c r="Z14" s="207">
        <f>+IF($B14&gt;Coverage,0,ROUND((AA13+($F14+$G14-$H14-$Q14)*PML_EF)*(1+VLOOKUP(Z$3,Assumption!$H$35:$K$43,2,0))^0.5-($M14+$R14)*PML_EF-($S14*PML_EF*AA13),0))</f>
        <v>97336140</v>
      </c>
      <c r="AA14" s="207">
        <f>+IF($B14&gt;Coverage,0,ROUND(Z14*(1+VLOOKUP(Z$3,Assumption!$H$35:$K$43,2,0))^0.5,0))</f>
        <v>96848236</v>
      </c>
      <c r="AB14" s="207">
        <f>+IF($B14="",0,(1-VLOOKUP(MIN($B14,6),Assumption!$M$10:$N$16,2))*AA14)</f>
        <v>96848236</v>
      </c>
      <c r="AC14" s="207">
        <f>+IF($B14&gt;Coverage,0,ROUND((AD13+($F14+$G14-$H14-$Q14)*PML_FI)*(1+VLOOKUP(AC$3,Assumption!$H$35:$K$43,2,0))^0.5-($M14+$R14)*PML_FI-($S14*PML_FI*AD13),0))</f>
        <v>48668070</v>
      </c>
      <c r="AD14" s="207">
        <f>+IF($B14&gt;Coverage,0,ROUND(AC14*(1+VLOOKUP(AC$3,Assumption!$H$35:$K$43,2,0))^0.5,0))</f>
        <v>48424118</v>
      </c>
      <c r="AE14" s="207">
        <f>+IF($B14="",0,(1-VLOOKUP(MIN($B14,6),Assumption!$M$10:$N$16,2))*AD14)</f>
        <v>48424118</v>
      </c>
      <c r="AF14" s="207">
        <f>+IF($B14&gt;Coverage,0,ROUND((AG13+($F14+$G14-$H14-$Q14)*PML_LF)*(1+VLOOKUP(AF$3,Assumption!$H$35:$K$43,3,0))^0.5-($M14+$R14)*PML_LF-($S14*PML_LF*AG13),0))</f>
        <v>39206124</v>
      </c>
      <c r="AG14" s="207">
        <f>+IF($B14&gt;Coverage,0,ROUND(AF14*(1+VLOOKUP(AF$3,Assumption!$H$35:$K$43,3,0))^0.5,0))</f>
        <v>39206124</v>
      </c>
      <c r="AH14" s="207">
        <f>+IF($B14="",0,(1-VLOOKUP(MIN($B14,6),Assumption!$M$10:$N$16,2))*AG14)</f>
        <v>39206124</v>
      </c>
      <c r="AI14" s="207">
        <f>+IF($B14&gt;Coverage,0,ROUND((AJ13+($F14+$G14-$H14-$Q14)*PML_BF)*(1+VLOOKUP(AI$3,Assumption!$H$35:$K$43,3,0))^0.5-($M14+$R14)*PML_BF-($S14*PML_BF*AJ13),0))</f>
        <v>65343540</v>
      </c>
      <c r="AJ14" s="207">
        <f>+IF($B14&gt;Coverage,0,ROUND(AI14*(1+VLOOKUP(AI$3,Assumption!$H$35:$K$43,3,0))^0.5,0))</f>
        <v>65343540</v>
      </c>
      <c r="AK14" s="207">
        <f>+IF($B14="",0,(1-VLOOKUP(MIN($B14,6),Assumption!$M$10:$N$16,2))*AJ14)</f>
        <v>65343540</v>
      </c>
      <c r="AL14" s="207">
        <f>+IF($B14&gt;Coverage,0,ROUND((AM13+($F14+$G14-$H14-$Q14)*PML_EF)*(1+VLOOKUP(AL$3,Assumption!$H$35:$K$43,3,0))^0.5-($M14+$R14)*PML_EF-($S14*PML_EF*AM13),0))</f>
        <v>104549659</v>
      </c>
      <c r="AM14" s="207">
        <f>+IF($B14&gt;Coverage,0,ROUND(AL14*(1+VLOOKUP(AL$3,Assumption!$H$35:$K$43,3,0))^0.5,0))</f>
        <v>104549659</v>
      </c>
      <c r="AN14" s="207">
        <f>+IF($B14="",0,(1-VLOOKUP(MIN($B14,6),Assumption!$M$10:$N$16,2))*AM14)</f>
        <v>104549659</v>
      </c>
      <c r="AO14" s="207">
        <f>+IF($B14&gt;Coverage,0,ROUND((AP13+($F14+$G14-$H14-$Q14)*PML_FI)*(1+VLOOKUP(AO$3,Assumption!$H$35:$K$43,3,0))^0.5-($M14+$R14)*PML_FI-($S14*PML_FI*AP13),0))</f>
        <v>52274832</v>
      </c>
      <c r="AP14" s="207">
        <f>+IF($B14&gt;Coverage,0,ROUND(AO14*(1+VLOOKUP(AO$3,Assumption!$H$35:$K$43,3,0))^0.5,0))</f>
        <v>52274832</v>
      </c>
      <c r="AQ14" s="207">
        <f>+IF($B14="",0,(1-VLOOKUP(MIN($B14,6),Assumption!$M$10:$N$16,2))*AP14)</f>
        <v>52274832</v>
      </c>
      <c r="AR14" s="207">
        <f>+IF($B14&gt;Coverage,0,ROUND((AS13+($F14+$G14-$H14-$Q14)*PML_LF)*(1+VLOOKUP(AR$3,Assumption!$H$35:$K$43,4,0))^0.5-($M14+$R14)*PML_LF-($S14*PML_LF*AS13),0))</f>
        <v>51674993</v>
      </c>
      <c r="AS14" s="207">
        <f>+IF($B14&gt;Coverage,0,ROUND(AR14*(1+VLOOKUP(AR$3,Assumption!$H$35:$K$43,4,0))^0.5,0))</f>
        <v>52698360</v>
      </c>
      <c r="AT14" s="207">
        <f>+IF($B14="",0,(1-VLOOKUP(MIN($B14,6),Assumption!$M$10:$N$16,2))*AS14)</f>
        <v>52698360</v>
      </c>
      <c r="AU14" s="207">
        <f>+IF($B14&gt;Coverage,0,ROUND((AV13+($F14+$G14-$H14-$Q14)*PML_BF)*(1+VLOOKUP(AU$3,Assumption!$H$35:$K$43,4,0))^0.5-($M14+$R14)*PML_BF-($S14*PML_BF*AV13),0))</f>
        <v>104962189</v>
      </c>
      <c r="AV14" s="207">
        <f>+IF($B14&gt;Coverage,0,ROUND(AU14*(1+VLOOKUP(AU$3,Assumption!$H$35:$K$43,4,0))^0.5,0))</f>
        <v>108573733</v>
      </c>
      <c r="AW14" s="207">
        <f>+IF($B14="",0,(1-VLOOKUP(MIN($B14,6),Assumption!$M$10:$N$16,2))*AV14)</f>
        <v>108573733</v>
      </c>
      <c r="AX14" s="207">
        <f>+IF($B14&gt;Coverage,0,ROUND((AY13+($F14+$G14-$H14-$Q14)*PML_EF)*(1+VLOOKUP(AX$3,Assumption!$H$35:$K$43,4,0))^0.5-($M14+$R14)*PML_EF-($S14*PML_EF*AY13),0))</f>
        <v>179097268</v>
      </c>
      <c r="AY14" s="207">
        <f>+IF($B14&gt;Coverage,0,ROUND(AX14*(1+VLOOKUP(AX$3,Assumption!$H$35:$K$43,4,0))^0.5,0))</f>
        <v>186123341</v>
      </c>
      <c r="AZ14" s="207">
        <f>+IF($B14="",0,(1-VLOOKUP(MIN($B14,6),Assumption!$M$10:$N$16,2))*AY14)</f>
        <v>186123341</v>
      </c>
      <c r="BA14" s="207">
        <f>+IF($B14&gt;Coverage,0,ROUND((BB13+($F14+$G14-$H14-$Q14)*PML_FI)*(1+VLOOKUP(BA$3,Assumption!$H$35:$K$43,4,0))^0.5-($M14+$R14)*PML_FI-($S14*PML_FI*BB13),0))</f>
        <v>73657195</v>
      </c>
      <c r="BB14" s="207">
        <f>+IF($B14&gt;Coverage,0,ROUND(BA14*(1+VLOOKUP(BA$3,Assumption!$H$35:$K$43,4,0))^0.5,0))</f>
        <v>75476165</v>
      </c>
      <c r="BC14" s="207">
        <f>+IF($B14="",0,(1-VLOOKUP(MIN($B14,6),Assumption!$M$10:$N$16,2))*BB14)</f>
        <v>75476165</v>
      </c>
    </row>
    <row r="15" ht="14.25" customHeight="1">
      <c r="A15" s="126">
        <v>8.0</v>
      </c>
      <c r="B15" s="129">
        <f>+IF(A15&gt;Coverage,"",A15)</f>
        <v>8</v>
      </c>
      <c r="C15" s="134">
        <f>+IF(B15=1,Insured_Age,IF(B15="","",C14+1))</f>
        <v>67</v>
      </c>
      <c r="D15" s="134">
        <f>+IF(B15&gt;Coverage,"",IF(B15=1,input!$H$11,D14+1))</f>
        <v>66</v>
      </c>
      <c r="E15" s="134">
        <f>IF(B15=1,premi_dasar,IF(B15&gt;Coverage,"",0))</f>
        <v>0</v>
      </c>
      <c r="F15" s="134">
        <f>IF(B15&gt;Coverage,"",SUM(E15))</f>
        <v>0</v>
      </c>
      <c r="G15" s="134">
        <f>IF(B15&gt;Coverage,"",SUMIFS(input!$E$38:$E$50,input!$C$38:$C$50,$C15))</f>
        <v>0</v>
      </c>
      <c r="H15" s="134">
        <f>IF(B15&gt;Coverage,"",SUMIFS(input!$E$53:$E$87,input!$C$53:$C$87,$C15))</f>
        <v>0</v>
      </c>
      <c r="I15" s="66">
        <f>+IF(B15="","",Sum_Assured*VLOOKUP(MIN(C15,10),Assumption!$M$19:$N$28,2,0))</f>
        <v>330001167</v>
      </c>
      <c r="J15" s="66">
        <f>IF(B15="","",input!$D$33)</f>
        <v>330001167</v>
      </c>
      <c r="K15" s="66">
        <f>IF(B15&gt;Coverage,"",VLOOKUP($C15,COI_Tab[],IF(sex="Male",2,3),0)*I15*(1+EM_Basic)/1000)</f>
        <v>6466702.869</v>
      </c>
      <c r="L15" s="66">
        <f>IF(B15&gt;Coverage,"",VLOOKUP($C15,COI_Tab[],4,0)*J15*(1+EM_Basic)/1000)</f>
        <v>0</v>
      </c>
      <c r="M15" s="207">
        <f>IF(B15&gt;Coverage,"",ROUND(K15+L15,0))</f>
        <v>6466703</v>
      </c>
      <c r="N15" s="134">
        <f>IF(B15&gt;Coverage,"",VLOOKUP($B15,Assumption!$H$11:$I$15,2)*E15)</f>
        <v>0</v>
      </c>
      <c r="O15" s="134">
        <f>IF(B15&gt;Coverage,"",Assumption!$J$11*$G15)</f>
        <v>0</v>
      </c>
      <c r="P15" s="134">
        <f>IF(B15&gt;Coverage,"",H15*VLOOKUP(MIN(B15,6),Assumption!$M$11:$N$16,2,0))</f>
        <v>0</v>
      </c>
      <c r="Q15" s="134">
        <f>IF(B15&gt;Coverage,"",SUM(N15:P15))</f>
        <v>0</v>
      </c>
      <c r="R15" s="207">
        <f>+IF($B15&gt;Coverage,"",Assumption!$I$18*12)</f>
        <v>300000</v>
      </c>
      <c r="S15" s="208">
        <f>+IF($B15&gt;Coverage,"",Assumption!$I$20)</f>
        <v>0</v>
      </c>
      <c r="T15" s="207">
        <f>+IF($B15&gt;Coverage,0,ROUND((U14+($F15+$G15-$H15-$Q15)*PML_LF)*(1+VLOOKUP(T$3,Assumption!$H$35:$K$43,2,0))^0.5-($M15+$R15)*PML_LF-($S15*PML_LF*U14),0))</f>
        <v>35121038</v>
      </c>
      <c r="U15" s="207">
        <f>+IF($B15&gt;Coverage,0,ROUND(T15*(1+VLOOKUP(T$3,Assumption!$H$35:$K$43,2,0))^0.5,0))</f>
        <v>34944992</v>
      </c>
      <c r="V15" s="207">
        <f>+IF($B15="",0,(1-VLOOKUP(MIN($B15,6),Assumption!$M$10:$N$16,2))*U15)</f>
        <v>34944992</v>
      </c>
      <c r="W15" s="207">
        <f>+IF($B15&gt;Coverage,0,ROUND((X14+($F15+$G15-$H15-$Q15)*PML_BF)*(1+VLOOKUP(W$3,Assumption!$H$35:$K$43,2,0))^0.5-($M15+$R15)*PML_BF-($S15*PML_BF*X14),0))</f>
        <v>58535061</v>
      </c>
      <c r="X15" s="207">
        <f>+IF($B15&gt;Coverage,0,ROUND(W15*(1+VLOOKUP(W$3,Assumption!$H$35:$K$43,2,0))^0.5,0))</f>
        <v>58241650</v>
      </c>
      <c r="Y15" s="207">
        <f>+IF($B15="",0,(1-VLOOKUP(MIN($B15,6),Assumption!$M$10:$N$16,2))*X15)</f>
        <v>58241650</v>
      </c>
      <c r="Z15" s="207">
        <f>+IF($B15&gt;Coverage,0,ROUND((AA14+($F15+$G15-$H15-$Q15)*PML_EF)*(1+VLOOKUP(Z$3,Assumption!$H$35:$K$43,2,0))^0.5-($M15+$R15)*PML_EF-($S15*PML_EF*AA14),0))</f>
        <v>93656097</v>
      </c>
      <c r="AA15" s="207">
        <f>+IF($B15&gt;Coverage,0,ROUND(Z15*(1+VLOOKUP(Z$3,Assumption!$H$35:$K$43,2,0))^0.5,0))</f>
        <v>93186640</v>
      </c>
      <c r="AB15" s="207">
        <f>+IF($B15="",0,(1-VLOOKUP(MIN($B15,6),Assumption!$M$10:$N$16,2))*AA15)</f>
        <v>93186640</v>
      </c>
      <c r="AC15" s="207">
        <f>+IF($B15&gt;Coverage,0,ROUND((AD14+($F15+$G15-$H15-$Q15)*PML_FI)*(1+VLOOKUP(AC$3,Assumption!$H$35:$K$43,2,0))^0.5-($M15+$R15)*PML_FI-($S15*PML_FI*AD14),0))</f>
        <v>46828048</v>
      </c>
      <c r="AD15" s="207">
        <f>+IF($B15&gt;Coverage,0,ROUND(AC15*(1+VLOOKUP(AC$3,Assumption!$H$35:$K$43,2,0))^0.5,0))</f>
        <v>46593319</v>
      </c>
      <c r="AE15" s="207">
        <f>+IF($B15="",0,(1-VLOOKUP(MIN($B15,6),Assumption!$M$10:$N$16,2))*AD15)</f>
        <v>46593319</v>
      </c>
      <c r="AF15" s="207">
        <f>+IF($B15&gt;Coverage,0,ROUND((AG14+($F15+$G15-$H15-$Q15)*PML_LF)*(1+VLOOKUP(AF$3,Assumption!$H$35:$K$43,3,0))^0.5-($M15+$R15)*PML_LF-($S15*PML_LF*AG14),0))</f>
        <v>38191119</v>
      </c>
      <c r="AG15" s="207">
        <f>+IF($B15&gt;Coverage,0,ROUND(AF15*(1+VLOOKUP(AF$3,Assumption!$H$35:$K$43,3,0))^0.5,0))</f>
        <v>38191119</v>
      </c>
      <c r="AH15" s="207">
        <f>+IF($B15="",0,(1-VLOOKUP(MIN($B15,6),Assumption!$M$10:$N$16,2))*AG15)</f>
        <v>38191119</v>
      </c>
      <c r="AI15" s="207">
        <f>+IF($B15&gt;Coverage,0,ROUND((AJ14+($F15+$G15-$H15-$Q15)*PML_BF)*(1+VLOOKUP(AI$3,Assumption!$H$35:$K$43,3,0))^0.5-($M15+$R15)*PML_BF-($S15*PML_BF*AJ14),0))</f>
        <v>63651864</v>
      </c>
      <c r="AJ15" s="207">
        <f>+IF($B15&gt;Coverage,0,ROUND(AI15*(1+VLOOKUP(AI$3,Assumption!$H$35:$K$43,3,0))^0.5,0))</f>
        <v>63651864</v>
      </c>
      <c r="AK15" s="207">
        <f>+IF($B15="",0,(1-VLOOKUP(MIN($B15,6),Assumption!$M$10:$N$16,2))*AJ15)</f>
        <v>63651864</v>
      </c>
      <c r="AL15" s="207">
        <f>+IF($B15&gt;Coverage,0,ROUND((AM14+($F15+$G15-$H15-$Q15)*PML_EF)*(1+VLOOKUP(AL$3,Assumption!$H$35:$K$43,3,0))^0.5-($M15+$R15)*PML_EF-($S15*PML_EF*AM14),0))</f>
        <v>101842978</v>
      </c>
      <c r="AM15" s="207">
        <f>+IF($B15&gt;Coverage,0,ROUND(AL15*(1+VLOOKUP(AL$3,Assumption!$H$35:$K$43,3,0))^0.5,0))</f>
        <v>101842978</v>
      </c>
      <c r="AN15" s="207">
        <f>+IF($B15="",0,(1-VLOOKUP(MIN($B15,6),Assumption!$M$10:$N$16,2))*AM15)</f>
        <v>101842978</v>
      </c>
      <c r="AO15" s="207">
        <f>+IF($B15&gt;Coverage,0,ROUND((AP14+($F15+$G15-$H15-$Q15)*PML_FI)*(1+VLOOKUP(AO$3,Assumption!$H$35:$K$43,3,0))^0.5-($M15+$R15)*PML_FI-($S15*PML_FI*AP14),0))</f>
        <v>50921491</v>
      </c>
      <c r="AP15" s="207">
        <f>+IF($B15&gt;Coverage,0,ROUND(AO15*(1+VLOOKUP(AO$3,Assumption!$H$35:$K$43,3,0))^0.5,0))</f>
        <v>50921491</v>
      </c>
      <c r="AQ15" s="207">
        <f>+IF($B15="",0,(1-VLOOKUP(MIN($B15,6),Assumption!$M$10:$N$16,2))*AP15)</f>
        <v>50921491</v>
      </c>
      <c r="AR15" s="207">
        <f>+IF($B15&gt;Coverage,0,ROUND((AS14+($F15+$G15-$H15-$Q15)*PML_LF)*(1+VLOOKUP(AR$3,Assumption!$H$35:$K$43,4,0))^0.5-($M15+$R15)*PML_LF-($S15*PML_LF*AS14),0))</f>
        <v>52726988</v>
      </c>
      <c r="AS15" s="207">
        <f>+IF($B15&gt;Coverage,0,ROUND(AR15*(1+VLOOKUP(AR$3,Assumption!$H$35:$K$43,4,0))^0.5,0))</f>
        <v>53771188</v>
      </c>
      <c r="AT15" s="207">
        <f>+IF($B15="",0,(1-VLOOKUP(MIN($B15,6),Assumption!$M$10:$N$16,2))*AS15)</f>
        <v>53771188</v>
      </c>
      <c r="AU15" s="207">
        <f>+IF($B15&gt;Coverage,0,ROUND((AV14+($F15+$G15-$H15-$Q15)*PML_BF)*(1+VLOOKUP(AU$3,Assumption!$H$35:$K$43,4,0))^0.5-($M15+$R15)*PML_BF-($S15*PML_BF*AV14),0))</f>
        <v>110617867</v>
      </c>
      <c r="AV15" s="207">
        <f>+IF($B15&gt;Coverage,0,ROUND(AU15*(1+VLOOKUP(AU$3,Assumption!$H$35:$K$43,4,0))^0.5,0))</f>
        <v>114424011</v>
      </c>
      <c r="AW15" s="207">
        <f>+IF($B15="",0,(1-VLOOKUP(MIN($B15,6),Assumption!$M$10:$N$16,2))*AV15)</f>
        <v>114424011</v>
      </c>
      <c r="AX15" s="207">
        <f>+IF($B15&gt;Coverage,0,ROUND((AY14+($F15+$G15-$H15-$Q15)*PML_EF)*(1+VLOOKUP(AX$3,Assumption!$H$35:$K$43,4,0))^0.5-($M15+$R15)*PML_EF-($S15*PML_EF*AY14),0))</f>
        <v>190718369</v>
      </c>
      <c r="AY15" s="207">
        <f>+IF($B15&gt;Coverage,0,ROUND(AX15*(1+VLOOKUP(AX$3,Assumption!$H$35:$K$43,4,0))^0.5,0))</f>
        <v>198200343</v>
      </c>
      <c r="AZ15" s="207">
        <f>+IF($B15="",0,(1-VLOOKUP(MIN($B15,6),Assumption!$M$10:$N$16,2))*AY15)</f>
        <v>198200343</v>
      </c>
      <c r="BA15" s="207">
        <f>+IF($B15&gt;Coverage,0,ROUND((BB14+($F15+$G15-$H15-$Q15)*PML_FI)*(1+VLOOKUP(BA$3,Assumption!$H$35:$K$43,4,0))^0.5-($M15+$R15)*PML_FI-($S15*PML_FI*BB14),0))</f>
        <v>75986714</v>
      </c>
      <c r="BB15" s="207">
        <f>+IF($B15&gt;Coverage,0,ROUND(BA15*(1+VLOOKUP(BA$3,Assumption!$H$35:$K$43,4,0))^0.5,0))</f>
        <v>77863212</v>
      </c>
      <c r="BC15" s="207">
        <f>+IF($B15="",0,(1-VLOOKUP(MIN($B15,6),Assumption!$M$10:$N$16,2))*BB15)</f>
        <v>77863212</v>
      </c>
    </row>
    <row r="16" ht="14.25" customHeight="1">
      <c r="A16" s="126">
        <v>9.0</v>
      </c>
      <c r="B16" s="129">
        <f>+IF(A16&gt;Coverage,"",A16)</f>
        <v>9</v>
      </c>
      <c r="C16" s="134">
        <f>+IF(B16=1,Insured_Age,IF(B16="","",C15+1))</f>
        <v>68</v>
      </c>
      <c r="D16" s="134">
        <f>+IF(B16&gt;Coverage,"",IF(B16=1,input!$H$11,D15+1))</f>
        <v>67</v>
      </c>
      <c r="E16" s="134">
        <f>IF(B16=1,premi_dasar,IF(B16&gt;Coverage,"",0))</f>
        <v>0</v>
      </c>
      <c r="F16" s="134">
        <f>IF(B16&gt;Coverage,"",SUM(E16))</f>
        <v>0</v>
      </c>
      <c r="G16" s="134">
        <f>IF(B16&gt;Coverage,"",SUMIFS(input!$E$38:$E$50,input!$C$38:$C$50,$C16))</f>
        <v>0</v>
      </c>
      <c r="H16" s="134">
        <f>IF(B16&gt;Coverage,"",SUMIFS(input!$E$53:$E$87,input!$C$53:$C$87,$C16))</f>
        <v>0</v>
      </c>
      <c r="I16" s="66">
        <f>+IF(B16="","",Sum_Assured*VLOOKUP(MIN(C16,10),Assumption!$M$19:$N$28,2,0))</f>
        <v>330001167</v>
      </c>
      <c r="J16" s="66">
        <f>IF(B16="","",input!$D$33)</f>
        <v>330001167</v>
      </c>
      <c r="K16" s="66">
        <f>IF(B16&gt;Coverage,"",VLOOKUP($C16,COI_Tab[],IF(sex="Male",2,3),0)*I16*(1+EM_Basic)/1000)</f>
        <v>6819144.115</v>
      </c>
      <c r="L16" s="66">
        <f>IF(B16&gt;Coverage,"",VLOOKUP($C16,COI_Tab[],4,0)*J16*(1+EM_Basic)/1000)</f>
        <v>0</v>
      </c>
      <c r="M16" s="207">
        <f>IF(B16&gt;Coverage,"",ROUND(K16+L16,0))</f>
        <v>6819144</v>
      </c>
      <c r="N16" s="134">
        <f>IF(B16&gt;Coverage,"",VLOOKUP($B16,Assumption!$H$11:$I$15,2)*E16)</f>
        <v>0</v>
      </c>
      <c r="O16" s="134">
        <f>IF(B16&gt;Coverage,"",Assumption!$J$11*$G16)</f>
        <v>0</v>
      </c>
      <c r="P16" s="134">
        <f>IF(B16&gt;Coverage,"",H16*VLOOKUP(MIN(B16,6),Assumption!$M$11:$N$16,2,0))</f>
        <v>0</v>
      </c>
      <c r="Q16" s="134">
        <f>IF(B16&gt;Coverage,"",SUM(N16:P16))</f>
        <v>0</v>
      </c>
      <c r="R16" s="207">
        <f>+IF($B16&gt;Coverage,"",Assumption!$I$18*12)</f>
        <v>300000</v>
      </c>
      <c r="S16" s="208">
        <f>+IF($B16&gt;Coverage,"",Assumption!$I$20)</f>
        <v>0</v>
      </c>
      <c r="T16" s="207">
        <f>+IF($B16&gt;Coverage,0,ROUND((U15+($F16+$G16-$H16-$Q16)*PML_LF)*(1+VLOOKUP(T$3,Assumption!$H$35:$K$43,2,0))^0.5-($M16+$R16)*PML_LF-($S16*PML_LF*U15),0))</f>
        <v>33701956</v>
      </c>
      <c r="U16" s="207">
        <f>+IF($B16&gt;Coverage,0,ROUND(T16*(1+VLOOKUP(T$3,Assumption!$H$35:$K$43,2,0))^0.5,0))</f>
        <v>33533023</v>
      </c>
      <c r="V16" s="207">
        <f>+IF($B16="",0,(1-VLOOKUP(MIN($B16,6),Assumption!$M$10:$N$16,2))*U16)</f>
        <v>33533023</v>
      </c>
      <c r="W16" s="207">
        <f>+IF($B16&gt;Coverage,0,ROUND((X15+($F16+$G16-$H16-$Q16)*PML_BF)*(1+VLOOKUP(W$3,Assumption!$H$35:$K$43,2,0))^0.5-($M16+$R16)*PML_BF-($S16*PML_BF*X15),0))</f>
        <v>56169924</v>
      </c>
      <c r="X16" s="207">
        <f>+IF($B16&gt;Coverage,0,ROUND(W16*(1+VLOOKUP(W$3,Assumption!$H$35:$K$43,2,0))^0.5,0))</f>
        <v>55888369</v>
      </c>
      <c r="Y16" s="207">
        <f>+IF($B16="",0,(1-VLOOKUP(MIN($B16,6),Assumption!$M$10:$N$16,2))*X16)</f>
        <v>55888369</v>
      </c>
      <c r="Z16" s="207">
        <f>+IF($B16&gt;Coverage,0,ROUND((AA15+($F16+$G16-$H16-$Q16)*PML_EF)*(1+VLOOKUP(Z$3,Assumption!$H$35:$K$43,2,0))^0.5-($M16+$R16)*PML_EF-($S16*PML_EF*AA15),0))</f>
        <v>89871879</v>
      </c>
      <c r="AA16" s="207">
        <f>+IF($B16&gt;Coverage,0,ROUND(Z16*(1+VLOOKUP(Z$3,Assumption!$H$35:$K$43,2,0))^0.5,0))</f>
        <v>89421391</v>
      </c>
      <c r="AB16" s="207">
        <f>+IF($B16="",0,(1-VLOOKUP(MIN($B16,6),Assumption!$M$10:$N$16,2))*AA16)</f>
        <v>89421391</v>
      </c>
      <c r="AC16" s="207">
        <f>+IF($B16&gt;Coverage,0,ROUND((AD15+($F16+$G16-$H16-$Q16)*PML_FI)*(1+VLOOKUP(AC$3,Assumption!$H$35:$K$43,2,0))^0.5-($M16+$R16)*PML_FI-($S16*PML_FI*AD15),0))</f>
        <v>44935938</v>
      </c>
      <c r="AD16" s="207">
        <f>+IF($B16&gt;Coverage,0,ROUND(AC16*(1+VLOOKUP(AC$3,Assumption!$H$35:$K$43,2,0))^0.5,0))</f>
        <v>44710694</v>
      </c>
      <c r="AE16" s="207">
        <f>+IF($B16="",0,(1-VLOOKUP(MIN($B16,6),Assumption!$M$10:$N$16,2))*AD16)</f>
        <v>44710694</v>
      </c>
      <c r="AF16" s="207">
        <f>+IF($B16&gt;Coverage,0,ROUND((AG15+($F16+$G16-$H16-$Q16)*PML_LF)*(1+VLOOKUP(AF$3,Assumption!$H$35:$K$43,3,0))^0.5-($M16+$R16)*PML_LF-($S16*PML_LF*AG15),0))</f>
        <v>37123247</v>
      </c>
      <c r="AG16" s="207">
        <f>+IF($B16&gt;Coverage,0,ROUND(AF16*(1+VLOOKUP(AF$3,Assumption!$H$35:$K$43,3,0))^0.5,0))</f>
        <v>37123247</v>
      </c>
      <c r="AH16" s="207">
        <f>+IF($B16="",0,(1-VLOOKUP(MIN($B16,6),Assumption!$M$10:$N$16,2))*AG16)</f>
        <v>37123247</v>
      </c>
      <c r="AI16" s="207">
        <f>+IF($B16&gt;Coverage,0,ROUND((AJ15+($F16+$G16-$H16-$Q16)*PML_BF)*(1+VLOOKUP(AI$3,Assumption!$H$35:$K$43,3,0))^0.5-($M16+$R16)*PML_BF-($S16*PML_BF*AJ15),0))</f>
        <v>61872078</v>
      </c>
      <c r="AJ16" s="207">
        <f>+IF($B16&gt;Coverage,0,ROUND(AI16*(1+VLOOKUP(AI$3,Assumption!$H$35:$K$43,3,0))^0.5,0))</f>
        <v>61872078</v>
      </c>
      <c r="AK16" s="207">
        <f>+IF($B16="",0,(1-VLOOKUP(MIN($B16,6),Assumption!$M$10:$N$16,2))*AJ16)</f>
        <v>61872078</v>
      </c>
      <c r="AL16" s="207">
        <f>+IF($B16&gt;Coverage,0,ROUND((AM15+($F16+$G16-$H16-$Q16)*PML_EF)*(1+VLOOKUP(AL$3,Assumption!$H$35:$K$43,3,0))^0.5-($M16+$R16)*PML_EF-($S16*PML_EF*AM15),0))</f>
        <v>98995320</v>
      </c>
      <c r="AM16" s="207">
        <f>+IF($B16&gt;Coverage,0,ROUND(AL16*(1+VLOOKUP(AL$3,Assumption!$H$35:$K$43,3,0))^0.5,0))</f>
        <v>98995320</v>
      </c>
      <c r="AN16" s="207">
        <f>+IF($B16="",0,(1-VLOOKUP(MIN($B16,6),Assumption!$M$10:$N$16,2))*AM16)</f>
        <v>98995320</v>
      </c>
      <c r="AO16" s="207">
        <f>+IF($B16&gt;Coverage,0,ROUND((AP15+($F16+$G16-$H16-$Q16)*PML_FI)*(1+VLOOKUP(AO$3,Assumption!$H$35:$K$43,3,0))^0.5-($M16+$R16)*PML_FI-($S16*PML_FI*AP15),0))</f>
        <v>49497662</v>
      </c>
      <c r="AP16" s="207">
        <f>+IF($B16&gt;Coverage,0,ROUND(AO16*(1+VLOOKUP(AO$3,Assumption!$H$35:$K$43,3,0))^0.5,0))</f>
        <v>49497662</v>
      </c>
      <c r="AQ16" s="207">
        <f>+IF($B16="",0,(1-VLOOKUP(MIN($B16,6),Assumption!$M$10:$N$16,2))*AP16)</f>
        <v>49497662</v>
      </c>
      <c r="AR16" s="207">
        <f>+IF($B16&gt;Coverage,0,ROUND((AS15+($F16+$G16-$H16-$Q16)*PML_LF)*(1+VLOOKUP(AR$3,Assumption!$H$35:$K$43,4,0))^0.5-($M16+$R16)*PML_LF-($S16*PML_LF*AS15),0))</f>
        <v>53768196</v>
      </c>
      <c r="AS16" s="207">
        <f>+IF($B16&gt;Coverage,0,ROUND(AR16*(1+VLOOKUP(AR$3,Assumption!$H$35:$K$43,4,0))^0.5,0))</f>
        <v>54833016</v>
      </c>
      <c r="AT16" s="207">
        <f>+IF($B16="",0,(1-VLOOKUP(MIN($B16,6),Assumption!$M$10:$N$16,2))*AS16)</f>
        <v>54833016</v>
      </c>
      <c r="AU16" s="207">
        <f>+IF($B16&gt;Coverage,0,ROUND((AV15+($F16+$G16-$H16-$Q16)*PML_BF)*(1+VLOOKUP(AU$3,Assumption!$H$35:$K$43,4,0))^0.5-($M16+$R16)*PML_BF-($S16*PML_BF*AV15),0))</f>
        <v>116581331</v>
      </c>
      <c r="AV16" s="207">
        <f>+IF($B16&gt;Coverage,0,ROUND(AU16*(1+VLOOKUP(AU$3,Assumption!$H$35:$K$43,4,0))^0.5,0))</f>
        <v>120592666</v>
      </c>
      <c r="AW16" s="207">
        <f>+IF($B16="",0,(1-VLOOKUP(MIN($B16,6),Assumption!$M$10:$N$16,2))*AV16)</f>
        <v>120592666</v>
      </c>
      <c r="AX16" s="207">
        <f>+IF($B16&gt;Coverage,0,ROUND((AY15+($F16+$G16-$H16-$Q16)*PML_EF)*(1+VLOOKUP(AX$3,Assumption!$H$35:$K$43,4,0))^0.5-($M16+$R16)*PML_EF-($S16*PML_EF*AY15),0))</f>
        <v>203128181</v>
      </c>
      <c r="AY16" s="207">
        <f>+IF($B16&gt;Coverage,0,ROUND(AX16*(1+VLOOKUP(AX$3,Assumption!$H$35:$K$43,4,0))^0.5,0))</f>
        <v>211096998</v>
      </c>
      <c r="AZ16" s="207">
        <f>+IF($B16="",0,(1-VLOOKUP(MIN($B16,6),Assumption!$M$10:$N$16,2))*AY16)</f>
        <v>211096998</v>
      </c>
      <c r="BA16" s="207">
        <f>+IF($B16&gt;Coverage,0,ROUND((BB15+($F16+$G16-$H16-$Q16)*PML_FI)*(1+VLOOKUP(BA$3,Assumption!$H$35:$K$43,4,0))^0.5-($M16+$R16)*PML_FI-($S16*PML_FI*BB15),0))</f>
        <v>78362221</v>
      </c>
      <c r="BB16" s="207">
        <f>+IF($B16&gt;Coverage,0,ROUND(BA16*(1+VLOOKUP(BA$3,Assumption!$H$35:$K$43,4,0))^0.5,0))</f>
        <v>80297382</v>
      </c>
      <c r="BC16" s="207">
        <f>+IF($B16="",0,(1-VLOOKUP(MIN($B16,6),Assumption!$M$10:$N$16,2))*BB16)</f>
        <v>80297382</v>
      </c>
    </row>
    <row r="17" ht="14.25" customHeight="1">
      <c r="A17" s="126">
        <v>10.0</v>
      </c>
      <c r="B17" s="129">
        <f>+IF(A17&gt;Coverage,"",A17)</f>
        <v>10</v>
      </c>
      <c r="C17" s="134">
        <f>+IF(B17=1,Insured_Age,IF(B17="","",C16+1))</f>
        <v>69</v>
      </c>
      <c r="D17" s="134">
        <f>+IF(B17&gt;Coverage,"",IF(B17=1,input!$H$11,D16+1))</f>
        <v>68</v>
      </c>
      <c r="E17" s="134">
        <f>IF(B17=1,premi_dasar,IF(B17&gt;Coverage,"",0))</f>
        <v>0</v>
      </c>
      <c r="F17" s="134">
        <f>IF(B17&gt;Coverage,"",SUM(E17))</f>
        <v>0</v>
      </c>
      <c r="G17" s="134">
        <f>IF(B17&gt;Coverage,"",SUMIFS(input!$E$38:$E$50,input!$C$38:$C$50,$C17))</f>
        <v>0</v>
      </c>
      <c r="H17" s="134">
        <f>IF(B17&gt;Coverage,"",SUMIFS(input!$E$53:$E$87,input!$C$53:$C$87,$C17))</f>
        <v>0</v>
      </c>
      <c r="I17" s="66">
        <f>+IF(B17="","",Sum_Assured*VLOOKUP(MIN(C17,10),Assumption!$M$19:$N$28,2,0))</f>
        <v>330001167</v>
      </c>
      <c r="J17" s="66">
        <f>IF(B17="","",input!$D$33)</f>
        <v>330001167</v>
      </c>
      <c r="K17" s="66">
        <f>IF(B17&gt;Coverage,"",VLOOKUP($C17,COI_Tab[],IF(sex="Male",2,3),0)*I17*(1+EM_Basic)/1000)</f>
        <v>7211185.501</v>
      </c>
      <c r="L17" s="66">
        <f>IF(B17&gt;Coverage,"",VLOOKUP($C17,COI_Tab[],4,0)*J17*(1+EM_Basic)/1000)</f>
        <v>0</v>
      </c>
      <c r="M17" s="207">
        <f>IF(B17&gt;Coverage,"",ROUND(K17+L17,0))</f>
        <v>7211186</v>
      </c>
      <c r="N17" s="134">
        <f>IF(B17&gt;Coverage,"",VLOOKUP($B17,Assumption!$H$11:$I$15,2)*E17)</f>
        <v>0</v>
      </c>
      <c r="O17" s="134">
        <f>IF(B17&gt;Coverage,"",Assumption!$J$11*$G17)</f>
        <v>0</v>
      </c>
      <c r="P17" s="134">
        <f>IF(B17&gt;Coverage,"",H17*VLOOKUP(MIN(B17,6),Assumption!$M$11:$N$16,2,0))</f>
        <v>0</v>
      </c>
      <c r="Q17" s="134">
        <f>IF(B17&gt;Coverage,"",SUM(N17:P17))</f>
        <v>0</v>
      </c>
      <c r="R17" s="207">
        <f>+IF($B17&gt;Coverage,"",Assumption!$I$18*12)</f>
        <v>300000</v>
      </c>
      <c r="S17" s="208">
        <f>+IF($B17&gt;Coverage,"",Assumption!$I$20)</f>
        <v>0</v>
      </c>
      <c r="T17" s="207">
        <f>+IF($B17&gt;Coverage,0,ROUND((U16+($F17+$G17-$H17-$Q17)*PML_LF)*(1+VLOOKUP(T$3,Assumption!$H$35:$K$43,2,0))^0.5-($M17+$R17)*PML_LF-($S17*PML_LF*U16),0))</f>
        <v>32238259</v>
      </c>
      <c r="U17" s="207">
        <f>+IF($B17&gt;Coverage,0,ROUND(T17*(1+VLOOKUP(T$3,Assumption!$H$35:$K$43,2,0))^0.5,0))</f>
        <v>32076663</v>
      </c>
      <c r="V17" s="207">
        <f>+IF($B17="",0,(1-VLOOKUP(MIN($B17,6),Assumption!$M$10:$N$16,2))*U17)</f>
        <v>32076663</v>
      </c>
      <c r="W17" s="207">
        <f>+IF($B17&gt;Coverage,0,ROUND((X16+($F17+$G17-$H17-$Q17)*PML_BF)*(1+VLOOKUP(W$3,Assumption!$H$35:$K$43,2,0))^0.5-($M17+$R17)*PML_BF-($S17*PML_BF*X16),0))</f>
        <v>53730429</v>
      </c>
      <c r="X17" s="207">
        <f>+IF($B17&gt;Coverage,0,ROUND(W17*(1+VLOOKUP(W$3,Assumption!$H$35:$K$43,2,0))^0.5,0))</f>
        <v>53461102</v>
      </c>
      <c r="Y17" s="207">
        <f>+IF($B17="",0,(1-VLOOKUP(MIN($B17,6),Assumption!$M$10:$N$16,2))*X17)</f>
        <v>53461102</v>
      </c>
      <c r="Z17" s="207">
        <f>+IF($B17&gt;Coverage,0,ROUND((AA16+($F17+$G17-$H17-$Q17)*PML_EF)*(1+VLOOKUP(Z$3,Assumption!$H$35:$K$43,2,0))^0.5-($M17+$R17)*PML_EF-($S17*PML_EF*AA16),0))</f>
        <v>85968686</v>
      </c>
      <c r="AA17" s="207">
        <f>+IF($B17&gt;Coverage,0,ROUND(Z17*(1+VLOOKUP(Z$3,Assumption!$H$35:$K$43,2,0))^0.5,0))</f>
        <v>85537763</v>
      </c>
      <c r="AB17" s="207">
        <f>+IF($B17="",0,(1-VLOOKUP(MIN($B17,6),Assumption!$M$10:$N$16,2))*AA17)</f>
        <v>85537763</v>
      </c>
      <c r="AC17" s="207">
        <f>+IF($B17&gt;Coverage,0,ROUND((AD16+($F17+$G17-$H17-$Q17)*PML_FI)*(1+VLOOKUP(AC$3,Assumption!$H$35:$K$43,2,0))^0.5-($M17+$R17)*PML_FI-($S17*PML_FI*AD16),0))</f>
        <v>42984342</v>
      </c>
      <c r="AD17" s="207">
        <f>+IF($B17&gt;Coverage,0,ROUND(AC17*(1+VLOOKUP(AC$3,Assumption!$H$35:$K$43,2,0))^0.5,0))</f>
        <v>42768880</v>
      </c>
      <c r="AE17" s="207">
        <f>+IF($B17="",0,(1-VLOOKUP(MIN($B17,6),Assumption!$M$10:$N$16,2))*AD17)</f>
        <v>42768880</v>
      </c>
      <c r="AF17" s="207">
        <f>+IF($B17&gt;Coverage,0,ROUND((AG16+($F17+$G17-$H17-$Q17)*PML_LF)*(1+VLOOKUP(AF$3,Assumption!$H$35:$K$43,3,0))^0.5-($M17+$R17)*PML_LF-($S17*PML_LF*AG16),0))</f>
        <v>35996569</v>
      </c>
      <c r="AG17" s="207">
        <f>+IF($B17&gt;Coverage,0,ROUND(AF17*(1+VLOOKUP(AF$3,Assumption!$H$35:$K$43,3,0))^0.5,0))</f>
        <v>35996569</v>
      </c>
      <c r="AH17" s="207">
        <f>+IF($B17="",0,(1-VLOOKUP(MIN($B17,6),Assumption!$M$10:$N$16,2))*AG17)</f>
        <v>35996569</v>
      </c>
      <c r="AI17" s="207">
        <f>+IF($B17&gt;Coverage,0,ROUND((AJ16+($F17+$G17-$H17-$Q17)*PML_BF)*(1+VLOOKUP(AI$3,Assumption!$H$35:$K$43,3,0))^0.5-($M17+$R17)*PML_BF-($S17*PML_BF*AJ16),0))</f>
        <v>59994282</v>
      </c>
      <c r="AJ17" s="207">
        <f>+IF($B17&gt;Coverage,0,ROUND(AI17*(1+VLOOKUP(AI$3,Assumption!$H$35:$K$43,3,0))^0.5,0))</f>
        <v>59994282</v>
      </c>
      <c r="AK17" s="207">
        <f>+IF($B17="",0,(1-VLOOKUP(MIN($B17,6),Assumption!$M$10:$N$16,2))*AJ17)</f>
        <v>59994282</v>
      </c>
      <c r="AL17" s="207">
        <f>+IF($B17&gt;Coverage,0,ROUND((AM16+($F17+$G17-$H17-$Q17)*PML_EF)*(1+VLOOKUP(AL$3,Assumption!$H$35:$K$43,3,0))^0.5-($M17+$R17)*PML_EF-($S17*PML_EF*AM16),0))</f>
        <v>95990846</v>
      </c>
      <c r="AM17" s="207">
        <f>+IF($B17&gt;Coverage,0,ROUND(AL17*(1+VLOOKUP(AL$3,Assumption!$H$35:$K$43,3,0))^0.5,0))</f>
        <v>95990846</v>
      </c>
      <c r="AN17" s="207">
        <f>+IF($B17="",0,(1-VLOOKUP(MIN($B17,6),Assumption!$M$10:$N$16,2))*AM17)</f>
        <v>95990846</v>
      </c>
      <c r="AO17" s="207">
        <f>+IF($B17&gt;Coverage,0,ROUND((AP16+($F17+$G17-$H17-$Q17)*PML_FI)*(1+VLOOKUP(AO$3,Assumption!$H$35:$K$43,3,0))^0.5-($M17+$R17)*PML_FI-($S17*PML_FI*AP16),0))</f>
        <v>47995425</v>
      </c>
      <c r="AP17" s="207">
        <f>+IF($B17&gt;Coverage,0,ROUND(AO17*(1+VLOOKUP(AO$3,Assumption!$H$35:$K$43,3,0))^0.5,0))</f>
        <v>47995425</v>
      </c>
      <c r="AQ17" s="207">
        <f>+IF($B17="",0,(1-VLOOKUP(MIN($B17,6),Assumption!$M$10:$N$16,2))*AP17)</f>
        <v>47995425</v>
      </c>
      <c r="AR17" s="207">
        <f>+IF($B17&gt;Coverage,0,ROUND((AS16+($F17+$G17-$H17-$Q17)*PML_LF)*(1+VLOOKUP(AR$3,Assumption!$H$35:$K$43,4,0))^0.5-($M17+$R17)*PML_LF-($S17*PML_LF*AS16),0))</f>
        <v>54792246</v>
      </c>
      <c r="AS17" s="207">
        <f>+IF($B17&gt;Coverage,0,ROUND(AR17*(1+VLOOKUP(AR$3,Assumption!$H$35:$K$43,4,0))^0.5,0))</f>
        <v>55877346</v>
      </c>
      <c r="AT17" s="207">
        <f>+IF($B17="",0,(1-VLOOKUP(MIN($B17,6),Assumption!$M$10:$N$16,2))*AS17)</f>
        <v>55877346</v>
      </c>
      <c r="AU17" s="207">
        <f>+IF($B17&gt;Coverage,0,ROUND((AV16+($F17+$G17-$H17-$Q17)*PML_BF)*(1+VLOOKUP(AU$3,Assumption!$H$35:$K$43,4,0))^0.5-($M17+$R17)*PML_BF-($S17*PML_BF*AV16),0))</f>
        <v>122864227</v>
      </c>
      <c r="AV17" s="207">
        <f>+IF($B17&gt;Coverage,0,ROUND(AU17*(1+VLOOKUP(AU$3,Assumption!$H$35:$K$43,4,0))^0.5,0))</f>
        <v>127091745</v>
      </c>
      <c r="AW17" s="207">
        <f>+IF($B17="",0,(1-VLOOKUP(MIN($B17,6),Assumption!$M$10:$N$16,2))*AV17)</f>
        <v>127091745</v>
      </c>
      <c r="AX17" s="207">
        <f>+IF($B17&gt;Coverage,0,ROUND((AY16+($F17+$G17-$H17-$Q17)*PML_EF)*(1+VLOOKUP(AX$3,Assumption!$H$35:$K$43,4,0))^0.5-($M17+$R17)*PML_EF-($S17*PML_EF*AY16),0))</f>
        <v>216373961</v>
      </c>
      <c r="AY17" s="207">
        <f>+IF($B17&gt;Coverage,0,ROUND(AX17*(1+VLOOKUP(AX$3,Assumption!$H$35:$K$43,4,0))^0.5,0))</f>
        <v>224862416</v>
      </c>
      <c r="AZ17" s="207">
        <f>+IF($B17="",0,(1-VLOOKUP(MIN($B17,6),Assumption!$M$10:$N$16,2))*AY17)</f>
        <v>224862416</v>
      </c>
      <c r="BA17" s="207">
        <f>+IF($B17&gt;Coverage,0,ROUND((BB16+($F17+$G17-$H17-$Q17)*PML_FI)*(1+VLOOKUP(BA$3,Assumption!$H$35:$K$43,4,0))^0.5-($M17+$R17)*PML_FI-($S17*PML_FI*BB16),0))</f>
        <v>80778095</v>
      </c>
      <c r="BB17" s="207">
        <f>+IF($B17&gt;Coverage,0,ROUND(BA17*(1+VLOOKUP(BA$3,Assumption!$H$35:$K$43,4,0))^0.5,0))</f>
        <v>82772916</v>
      </c>
      <c r="BC17" s="207">
        <f>+IF($B17="",0,(1-VLOOKUP(MIN($B17,6),Assumption!$M$10:$N$16,2))*BB17)</f>
        <v>82772916</v>
      </c>
    </row>
    <row r="18" ht="14.25" customHeight="1">
      <c r="A18" s="126">
        <v>11.0</v>
      </c>
      <c r="B18" s="129">
        <f>+IF(A18&gt;Coverage,"",A18)</f>
        <v>11</v>
      </c>
      <c r="C18" s="134">
        <f>+IF(B18=1,Insured_Age,IF(B18="","",C17+1))</f>
        <v>70</v>
      </c>
      <c r="D18" s="134">
        <f>+IF(B18&gt;Coverage,"",IF(B18=1,input!$H$11,D17+1))</f>
        <v>69</v>
      </c>
      <c r="E18" s="134">
        <f>IF(B18=1,premi_dasar,IF(B18&gt;Coverage,"",0))</f>
        <v>0</v>
      </c>
      <c r="F18" s="134">
        <f>IF(B18&gt;Coverage,"",SUM(E18))</f>
        <v>0</v>
      </c>
      <c r="G18" s="134">
        <f>IF(B18&gt;Coverage,"",SUMIFS(input!$E$38:$E$50,input!$C$38:$C$50,$C18))</f>
        <v>0</v>
      </c>
      <c r="H18" s="134">
        <f>IF(B18&gt;Coverage,"",SUMIFS(input!$E$53:$E$87,input!$C$53:$C$87,$C18))</f>
        <v>0</v>
      </c>
      <c r="I18" s="66">
        <f>+IF(B18="","",Sum_Assured*VLOOKUP(MIN(C18,10),Assumption!$M$19:$N$28,2,0))</f>
        <v>330001167</v>
      </c>
      <c r="J18" s="66">
        <f>IF(B18="","",input!$D$33)</f>
        <v>330001167</v>
      </c>
      <c r="K18" s="66">
        <f>IF(B18&gt;Coverage,"",VLOOKUP($C18,COI_Tab[],IF(sex="Male",2,3),0)*I18*(1+EM_Basic)/1000)</f>
        <v>7623026.958</v>
      </c>
      <c r="L18" s="66">
        <f>IF(B18&gt;Coverage,"",VLOOKUP($C18,COI_Tab[],4,0)*J18*(1+EM_Basic)/1000)</f>
        <v>0</v>
      </c>
      <c r="M18" s="207">
        <f>IF(B18&gt;Coverage,"",ROUND(K18+L18,0))</f>
        <v>7623027</v>
      </c>
      <c r="N18" s="134">
        <f>IF(B18&gt;Coverage,"",VLOOKUP($B18,Assumption!$H$11:$I$15,2)*E18)</f>
        <v>0</v>
      </c>
      <c r="O18" s="134">
        <f>IF(B18&gt;Coverage,"",Assumption!$J$11*$G18)</f>
        <v>0</v>
      </c>
      <c r="P18" s="134">
        <f>IF(B18&gt;Coverage,"",H18*VLOOKUP(MIN(B18,6),Assumption!$M$11:$N$16,2,0))</f>
        <v>0</v>
      </c>
      <c r="Q18" s="134">
        <f>IF(B18&gt;Coverage,"",SUM(N18:P18))</f>
        <v>0</v>
      </c>
      <c r="R18" s="207">
        <f>+IF($B18&gt;Coverage,"",Assumption!$I$18*12)</f>
        <v>300000</v>
      </c>
      <c r="S18" s="208">
        <f>+IF($B18&gt;Coverage,"",Assumption!$I$20)</f>
        <v>0</v>
      </c>
      <c r="T18" s="207">
        <f>+IF($B18&gt;Coverage,0,ROUND((U17+($F18+$G18-$H18-$Q18)*PML_LF)*(1+VLOOKUP(T$3,Assumption!$H$35:$K$43,2,0))^0.5-($M18+$R18)*PML_LF-($S18*PML_LF*U17),0))</f>
        <v>30727423</v>
      </c>
      <c r="U18" s="207">
        <f>+IF($B18&gt;Coverage,0,ROUND(T18*(1+VLOOKUP(T$3,Assumption!$H$35:$K$43,2,0))^0.5,0))</f>
        <v>30573400</v>
      </c>
      <c r="V18" s="207">
        <f>+IF($B18="",0,(1-VLOOKUP(MIN($B18,6),Assumption!$M$10:$N$16,2))*U18)</f>
        <v>30573400</v>
      </c>
      <c r="W18" s="207">
        <f>+IF($B18&gt;Coverage,0,ROUND((X17+($F18+$G18-$H18-$Q18)*PML_BF)*(1+VLOOKUP(W$3,Assumption!$H$35:$K$43,2,0))^0.5-($M18+$R18)*PML_BF-($S18*PML_BF*X17),0))</f>
        <v>51212368</v>
      </c>
      <c r="X18" s="207">
        <f>+IF($B18&gt;Coverage,0,ROUND(W18*(1+VLOOKUP(W$3,Assumption!$H$35:$K$43,2,0))^0.5,0))</f>
        <v>50955663</v>
      </c>
      <c r="Y18" s="207">
        <f>+IF($B18="",0,(1-VLOOKUP(MIN($B18,6),Assumption!$M$10:$N$16,2))*X18)</f>
        <v>50955663</v>
      </c>
      <c r="Z18" s="207">
        <f>+IF($B18&gt;Coverage,0,ROUND((AA17+($F18+$G18-$H18-$Q18)*PML_EF)*(1+VLOOKUP(Z$3,Assumption!$H$35:$K$43,2,0))^0.5-($M18+$R18)*PML_EF-($S18*PML_EF*AA17),0))</f>
        <v>81939789</v>
      </c>
      <c r="AA18" s="207">
        <f>+IF($B18&gt;Coverage,0,ROUND(Z18*(1+VLOOKUP(Z$3,Assumption!$H$35:$K$43,2,0))^0.5,0))</f>
        <v>81529061</v>
      </c>
      <c r="AB18" s="207">
        <f>+IF($B18="",0,(1-VLOOKUP(MIN($B18,6),Assumption!$M$10:$N$16,2))*AA18)</f>
        <v>81529061</v>
      </c>
      <c r="AC18" s="207">
        <f>+IF($B18&gt;Coverage,0,ROUND((AD17+($F18+$G18-$H18-$Q18)*PML_FI)*(1+VLOOKUP(AC$3,Assumption!$H$35:$K$43,2,0))^0.5-($M18+$R18)*PML_FI-($S18*PML_FI*AD17),0))</f>
        <v>40969893</v>
      </c>
      <c r="AD18" s="207">
        <f>+IF($B18&gt;Coverage,0,ROUND(AC18*(1+VLOOKUP(AC$3,Assumption!$H$35:$K$43,2,0))^0.5,0))</f>
        <v>40764529</v>
      </c>
      <c r="AE18" s="207">
        <f>+IF($B18="",0,(1-VLOOKUP(MIN($B18,6),Assumption!$M$10:$N$16,2))*AD18)</f>
        <v>40764529</v>
      </c>
      <c r="AF18" s="207">
        <f>+IF($B18&gt;Coverage,0,ROUND((AG17+($F18+$G18-$H18-$Q18)*PML_LF)*(1+VLOOKUP(AF$3,Assumption!$H$35:$K$43,3,0))^0.5-($M18+$R18)*PML_LF-($S18*PML_LF*AG17),0))</f>
        <v>34808115</v>
      </c>
      <c r="AG18" s="207">
        <f>+IF($B18&gt;Coverage,0,ROUND(AF18*(1+VLOOKUP(AF$3,Assumption!$H$35:$K$43,3,0))^0.5,0))</f>
        <v>34808115</v>
      </c>
      <c r="AH18" s="207">
        <f>+IF($B18="",0,(1-VLOOKUP(MIN($B18,6),Assumption!$M$10:$N$16,2))*AG18)</f>
        <v>34808115</v>
      </c>
      <c r="AI18" s="207">
        <f>+IF($B18&gt;Coverage,0,ROUND((AJ17+($F18+$G18-$H18-$Q18)*PML_BF)*(1+VLOOKUP(AI$3,Assumption!$H$35:$K$43,3,0))^0.5-($M18+$R18)*PML_BF-($S18*PML_BF*AJ17),0))</f>
        <v>58013525</v>
      </c>
      <c r="AJ18" s="207">
        <f>+IF($B18&gt;Coverage,0,ROUND(AI18*(1+VLOOKUP(AI$3,Assumption!$H$35:$K$43,3,0))^0.5,0))</f>
        <v>58013525</v>
      </c>
      <c r="AK18" s="207">
        <f>+IF($B18="",0,(1-VLOOKUP(MIN($B18,6),Assumption!$M$10:$N$16,2))*AJ18)</f>
        <v>58013525</v>
      </c>
      <c r="AL18" s="207">
        <f>+IF($B18&gt;Coverage,0,ROUND((AM17+($F18+$G18-$H18-$Q18)*PML_EF)*(1+VLOOKUP(AL$3,Assumption!$H$35:$K$43,3,0))^0.5-($M18+$R18)*PML_EF-($S18*PML_EF*AM17),0))</f>
        <v>92821635</v>
      </c>
      <c r="AM18" s="207">
        <f>+IF($B18&gt;Coverage,0,ROUND(AL18*(1+VLOOKUP(AL$3,Assumption!$H$35:$K$43,3,0))^0.5,0))</f>
        <v>92821635</v>
      </c>
      <c r="AN18" s="207">
        <f>+IF($B18="",0,(1-VLOOKUP(MIN($B18,6),Assumption!$M$10:$N$16,2))*AM18)</f>
        <v>92821635</v>
      </c>
      <c r="AO18" s="207">
        <f>+IF($B18&gt;Coverage,0,ROUND((AP17+($F18+$G18-$H18-$Q18)*PML_FI)*(1+VLOOKUP(AO$3,Assumption!$H$35:$K$43,3,0))^0.5-($M18+$R18)*PML_FI-($S18*PML_FI*AP17),0))</f>
        <v>46410820</v>
      </c>
      <c r="AP18" s="207">
        <f>+IF($B18&gt;Coverage,0,ROUND(AO18*(1+VLOOKUP(AO$3,Assumption!$H$35:$K$43,3,0))^0.5,0))</f>
        <v>46410820</v>
      </c>
      <c r="AQ18" s="207">
        <f>+IF($B18="",0,(1-VLOOKUP(MIN($B18,6),Assumption!$M$10:$N$16,2))*AP18)</f>
        <v>46410820</v>
      </c>
      <c r="AR18" s="207">
        <f>+IF($B18&gt;Coverage,0,ROUND((AS17+($F18+$G18-$H18-$Q18)*PML_LF)*(1+VLOOKUP(AR$3,Assumption!$H$35:$K$43,4,0))^0.5-($M18+$R18)*PML_LF-($S18*PML_LF*AS17),0))</f>
        <v>55795481</v>
      </c>
      <c r="AS18" s="207">
        <f>+IF($B18&gt;Coverage,0,ROUND(AR18*(1+VLOOKUP(AR$3,Assumption!$H$35:$K$43,4,0))^0.5,0))</f>
        <v>56900449</v>
      </c>
      <c r="AT18" s="207">
        <f>+IF($B18="",0,(1-VLOOKUP(MIN($B18,6),Assumption!$M$10:$N$16,2))*AS18)</f>
        <v>56900449</v>
      </c>
      <c r="AU18" s="207">
        <f>+IF($B18&gt;Coverage,0,ROUND((AV17+($F18+$G18-$H18-$Q18)*PML_BF)*(1+VLOOKUP(AU$3,Assumption!$H$35:$K$43,4,0))^0.5-($M18+$R18)*PML_BF-($S18*PML_BF*AV17),0))</f>
        <v>129483967</v>
      </c>
      <c r="AV18" s="207">
        <f>+IF($B18&gt;Coverage,0,ROUND(AU18*(1+VLOOKUP(AU$3,Assumption!$H$35:$K$43,4,0))^0.5,0))</f>
        <v>133939257</v>
      </c>
      <c r="AW18" s="207">
        <f>+IF($B18="",0,(1-VLOOKUP(MIN($B18,6),Assumption!$M$10:$N$16,2))*AV18)</f>
        <v>133939257</v>
      </c>
      <c r="AX18" s="207">
        <f>+IF($B18&gt;Coverage,0,ROUND((AY17+($F18+$G18-$H18-$Q18)*PML_EF)*(1+VLOOKUP(AX$3,Assumption!$H$35:$K$43,4,0))^0.5-($M18+$R18)*PML_EF-($S18*PML_EF*AY17),0))</f>
        <v>230514667</v>
      </c>
      <c r="AY18" s="207">
        <f>+IF($B18&gt;Coverage,0,ROUND(AX18*(1+VLOOKUP(AX$3,Assumption!$H$35:$K$43,4,0))^0.5,0))</f>
        <v>239557869</v>
      </c>
      <c r="AZ18" s="207">
        <f>+IF($B18="",0,(1-VLOOKUP(MIN($B18,6),Assumption!$M$10:$N$16,2))*AY18)</f>
        <v>239557869</v>
      </c>
      <c r="BA18" s="207">
        <f>+IF($B18&gt;Coverage,0,ROUND((BB17+($F18+$G18-$H18-$Q18)*PML_FI)*(1+VLOOKUP(BA$3,Assumption!$H$35:$K$43,4,0))^0.5-($M18+$R18)*PML_FI-($S18*PML_FI*BB17),0))</f>
        <v>83232394</v>
      </c>
      <c r="BB18" s="207">
        <f>+IF($B18&gt;Coverage,0,ROUND(BA18*(1+VLOOKUP(BA$3,Assumption!$H$35:$K$43,4,0))^0.5,0))</f>
        <v>85287824</v>
      </c>
      <c r="BC18" s="207">
        <f>+IF($B18="",0,(1-VLOOKUP(MIN($B18,6),Assumption!$M$10:$N$16,2))*BB18)</f>
        <v>85287824</v>
      </c>
    </row>
    <row r="19" ht="14.25" customHeight="1">
      <c r="A19" s="126">
        <v>12.0</v>
      </c>
      <c r="B19" s="129">
        <f>+IF(A19&gt;Coverage,"",A19)</f>
        <v>12</v>
      </c>
      <c r="C19" s="134">
        <f>+IF(B19=1,Insured_Age,IF(B19="","",C18+1))</f>
        <v>71</v>
      </c>
      <c r="D19" s="134">
        <f>+IF(B19&gt;Coverage,"",IF(B19=1,input!$H$11,D18+1))</f>
        <v>70</v>
      </c>
      <c r="E19" s="134">
        <f>IF(B19=1,premi_dasar,IF(B19&gt;Coverage,"",0))</f>
        <v>0</v>
      </c>
      <c r="F19" s="134">
        <f>IF(B19&gt;Coverage,"",SUM(E19))</f>
        <v>0</v>
      </c>
      <c r="G19" s="134">
        <f>IF(B19&gt;Coverage,"",SUMIFS(input!$E$38:$E$50,input!$C$38:$C$50,$C19))</f>
        <v>0</v>
      </c>
      <c r="H19" s="134">
        <f>IF(B19&gt;Coverage,"",SUMIFS(input!$E$53:$E$87,input!$C$53:$C$87,$C19))</f>
        <v>0</v>
      </c>
      <c r="I19" s="66">
        <f>+IF(B19="","",Sum_Assured*VLOOKUP(MIN(C19,10),Assumption!$M$19:$N$28,2,0))</f>
        <v>330001167</v>
      </c>
      <c r="J19" s="66">
        <f>IF(B19="","",input!$D$33)</f>
        <v>330001167</v>
      </c>
      <c r="K19" s="66">
        <f>IF(B19&gt;Coverage,"",VLOOKUP($C19,COI_Tab[],IF(sex="Male",2,3),0)*I19*(1+EM_Basic)/1000)</f>
        <v>8078428.568</v>
      </c>
      <c r="L19" s="66">
        <f>IF(B19&gt;Coverage,"",VLOOKUP($C19,COI_Tab[],4,0)*J19*(1+EM_Basic)/1000)</f>
        <v>0</v>
      </c>
      <c r="M19" s="207">
        <f>IF(B19&gt;Coverage,"",ROUND(K19+L19,0))</f>
        <v>8078429</v>
      </c>
      <c r="N19" s="134">
        <f>IF(B19&gt;Coverage,"",VLOOKUP($B19,Assumption!$H$11:$I$15,2)*E19)</f>
        <v>0</v>
      </c>
      <c r="O19" s="134">
        <f>IF(B19&gt;Coverage,"",Assumption!$J$11*$G19)</f>
        <v>0</v>
      </c>
      <c r="P19" s="134">
        <f>IF(B19&gt;Coverage,"",H19*VLOOKUP(MIN(B19,6),Assumption!$M$11:$N$16,2,0))</f>
        <v>0</v>
      </c>
      <c r="Q19" s="134">
        <f>IF(B19&gt;Coverage,"",SUM(N19:P19))</f>
        <v>0</v>
      </c>
      <c r="R19" s="207">
        <f>+IF($B19&gt;Coverage,"",Assumption!$I$18*12)</f>
        <v>300000</v>
      </c>
      <c r="S19" s="208">
        <f>+IF($B19&gt;Coverage,"",Assumption!$I$20)</f>
        <v>0</v>
      </c>
      <c r="T19" s="207">
        <f>+IF($B19&gt;Coverage,0,ROUND((U18+($F19+$G19-$H19-$Q19)*PML_LF)*(1+VLOOKUP(T$3,Assumption!$H$35:$K$43,2,0))^0.5-($M19+$R19)*PML_LF-($S19*PML_LF*U18),0))</f>
        <v>29163385</v>
      </c>
      <c r="U19" s="207">
        <f>+IF($B19&gt;Coverage,0,ROUND(T19*(1+VLOOKUP(T$3,Assumption!$H$35:$K$43,2,0))^0.5,0))</f>
        <v>29017202</v>
      </c>
      <c r="V19" s="207">
        <f>+IF($B19="",0,(1-VLOOKUP(MIN($B19,6),Assumption!$M$10:$N$16,2))*U19)</f>
        <v>29017202</v>
      </c>
      <c r="W19" s="207">
        <f>+IF($B19&gt;Coverage,0,ROUND((X18+($F19+$G19-$H19-$Q19)*PML_BF)*(1+VLOOKUP(W$3,Assumption!$H$35:$K$43,2,0))^0.5-($M19+$R19)*PML_BF-($S19*PML_BF*X18),0))</f>
        <v>48605637</v>
      </c>
      <c r="X19" s="207">
        <f>+IF($B19&gt;Coverage,0,ROUND(W19*(1+VLOOKUP(W$3,Assumption!$H$35:$K$43,2,0))^0.5,0))</f>
        <v>48361998</v>
      </c>
      <c r="Y19" s="207">
        <f>+IF($B19="",0,(1-VLOOKUP(MIN($B19,6),Assumption!$M$10:$N$16,2))*X19)</f>
        <v>48361998</v>
      </c>
      <c r="Z19" s="207">
        <f>+IF($B19&gt;Coverage,0,ROUND((AA18+($F19+$G19-$H19-$Q19)*PML_EF)*(1+VLOOKUP(Z$3,Assumption!$H$35:$K$43,2,0))^0.5-($M19+$R19)*PML_EF-($S19*PML_EF*AA18),0))</f>
        <v>77769020</v>
      </c>
      <c r="AA19" s="207">
        <f>+IF($B19&gt;Coverage,0,ROUND(Z19*(1+VLOOKUP(Z$3,Assumption!$H$35:$K$43,2,0))^0.5,0))</f>
        <v>77379198</v>
      </c>
      <c r="AB19" s="207">
        <f>+IF($B19="",0,(1-VLOOKUP(MIN($B19,6),Assumption!$M$10:$N$16,2))*AA19)</f>
        <v>77379198</v>
      </c>
      <c r="AC19" s="207">
        <f>+IF($B19&gt;Coverage,0,ROUND((AD18+($F19+$G19-$H19-$Q19)*PML_FI)*(1+VLOOKUP(AC$3,Assumption!$H$35:$K$43,2,0))^0.5-($M19+$R19)*PML_FI-($S19*PML_FI*AD18),0))</f>
        <v>38884508</v>
      </c>
      <c r="AD19" s="207">
        <f>+IF($B19&gt;Coverage,0,ROUND(AC19*(1+VLOOKUP(AC$3,Assumption!$H$35:$K$43,2,0))^0.5,0))</f>
        <v>38689597</v>
      </c>
      <c r="AE19" s="207">
        <f>+IF($B19="",0,(1-VLOOKUP(MIN($B19,6),Assumption!$M$10:$N$16,2))*AD19)</f>
        <v>38689597</v>
      </c>
      <c r="AF19" s="207">
        <f>+IF($B19&gt;Coverage,0,ROUND((AG18+($F19+$G19-$H19-$Q19)*PML_LF)*(1+VLOOKUP(AF$3,Assumption!$H$35:$K$43,3,0))^0.5-($M19+$R19)*PML_LF-($S19*PML_LF*AG18),0))</f>
        <v>33551351</v>
      </c>
      <c r="AG19" s="207">
        <f>+IF($B19&gt;Coverage,0,ROUND(AF19*(1+VLOOKUP(AF$3,Assumption!$H$35:$K$43,3,0))^0.5,0))</f>
        <v>33551351</v>
      </c>
      <c r="AH19" s="207">
        <f>+IF($B19="",0,(1-VLOOKUP(MIN($B19,6),Assumption!$M$10:$N$16,2))*AG19)</f>
        <v>33551351</v>
      </c>
      <c r="AI19" s="207">
        <f>+IF($B19&gt;Coverage,0,ROUND((AJ18+($F19+$G19-$H19-$Q19)*PML_BF)*(1+VLOOKUP(AI$3,Assumption!$H$35:$K$43,3,0))^0.5-($M19+$R19)*PML_BF-($S19*PML_BF*AJ18),0))</f>
        <v>55918918</v>
      </c>
      <c r="AJ19" s="207">
        <f>+IF($B19&gt;Coverage,0,ROUND(AI19*(1+VLOOKUP(AI$3,Assumption!$H$35:$K$43,3,0))^0.5,0))</f>
        <v>55918918</v>
      </c>
      <c r="AK19" s="207">
        <f>+IF($B19="",0,(1-VLOOKUP(MIN($B19,6),Assumption!$M$10:$N$16,2))*AJ19)</f>
        <v>55918918</v>
      </c>
      <c r="AL19" s="207">
        <f>+IF($B19&gt;Coverage,0,ROUND((AM18+($F19+$G19-$H19-$Q19)*PML_EF)*(1+VLOOKUP(AL$3,Assumption!$H$35:$K$43,3,0))^0.5-($M19+$R19)*PML_EF-($S19*PML_EF*AM18),0))</f>
        <v>89470263</v>
      </c>
      <c r="AM19" s="207">
        <f>+IF($B19&gt;Coverage,0,ROUND(AL19*(1+VLOOKUP(AL$3,Assumption!$H$35:$K$43,3,0))^0.5,0))</f>
        <v>89470263</v>
      </c>
      <c r="AN19" s="207">
        <f>+IF($B19="",0,(1-VLOOKUP(MIN($B19,6),Assumption!$M$10:$N$16,2))*AM19)</f>
        <v>89470263</v>
      </c>
      <c r="AO19" s="207">
        <f>+IF($B19&gt;Coverage,0,ROUND((AP18+($F19+$G19-$H19-$Q19)*PML_FI)*(1+VLOOKUP(AO$3,Assumption!$H$35:$K$43,3,0))^0.5-($M19+$R19)*PML_FI-($S19*PML_FI*AP18),0))</f>
        <v>44735134</v>
      </c>
      <c r="AP19" s="207">
        <f>+IF($B19&gt;Coverage,0,ROUND(AO19*(1+VLOOKUP(AO$3,Assumption!$H$35:$K$43,3,0))^0.5,0))</f>
        <v>44735134</v>
      </c>
      <c r="AQ19" s="207">
        <f>+IF($B19="",0,(1-VLOOKUP(MIN($B19,6),Assumption!$M$10:$N$16,2))*AP19)</f>
        <v>44735134</v>
      </c>
      <c r="AR19" s="207">
        <f>+IF($B19&gt;Coverage,0,ROUND((AS18+($F19+$G19-$H19-$Q19)*PML_LF)*(1+VLOOKUP(AR$3,Assumption!$H$35:$K$43,4,0))^0.5-($M19+$R19)*PML_LF-($S19*PML_LF*AS18),0))</f>
        <v>56770536</v>
      </c>
      <c r="AS19" s="207">
        <f>+IF($B19&gt;Coverage,0,ROUND(AR19*(1+VLOOKUP(AR$3,Assumption!$H$35:$K$43,4,0))^0.5,0))</f>
        <v>57894814</v>
      </c>
      <c r="AT19" s="207">
        <f>+IF($B19="",0,(1-VLOOKUP(MIN($B19,6),Assumption!$M$10:$N$16,2))*AS19)</f>
        <v>57894814</v>
      </c>
      <c r="AU19" s="207">
        <f>+IF($B19&gt;Coverage,0,ROUND((AV18+($F19+$G19-$H19-$Q19)*PML_BF)*(1+VLOOKUP(AU$3,Assumption!$H$35:$K$43,4,0))^0.5-($M19+$R19)*PML_BF-($S19*PML_BF*AV18),0))</f>
        <v>136453238</v>
      </c>
      <c r="AV19" s="207">
        <f>+IF($B19&gt;Coverage,0,ROUND(AU19*(1+VLOOKUP(AU$3,Assumption!$H$35:$K$43,4,0))^0.5,0))</f>
        <v>141148327</v>
      </c>
      <c r="AW19" s="207">
        <f>+IF($B19="",0,(1-VLOOKUP(MIN($B19,6),Assumption!$M$10:$N$16,2))*AV19)</f>
        <v>141148327</v>
      </c>
      <c r="AX19" s="207">
        <f>+IF($B19&gt;Coverage,0,ROUND((AY18+($F19+$G19-$H19-$Q19)*PML_EF)*(1+VLOOKUP(AX$3,Assumption!$H$35:$K$43,4,0))^0.5-($M19+$R19)*PML_EF-($S19*PML_EF*AY18),0))</f>
        <v>245604469</v>
      </c>
      <c r="AY19" s="207">
        <f>+IF($B19&gt;Coverage,0,ROUND(AX19*(1+VLOOKUP(AX$3,Assumption!$H$35:$K$43,4,0))^0.5,0))</f>
        <v>255239651</v>
      </c>
      <c r="AZ19" s="207">
        <f>+IF($B19="",0,(1-VLOOKUP(MIN($B19,6),Assumption!$M$10:$N$16,2))*AY19)</f>
        <v>255239651</v>
      </c>
      <c r="BA19" s="207">
        <f>+IF($B19&gt;Coverage,0,ROUND((BB18+($F19+$G19-$H19-$Q19)*PML_FI)*(1+VLOOKUP(BA$3,Assumption!$H$35:$K$43,4,0))^0.5-($M19+$R19)*PML_FI-($S19*PML_FI*BB18),0))</f>
        <v>85718328</v>
      </c>
      <c r="BB19" s="207">
        <f>+IF($B19&gt;Coverage,0,ROUND(BA19*(1+VLOOKUP(BA$3,Assumption!$H$35:$K$43,4,0))^0.5,0))</f>
        <v>87835149</v>
      </c>
      <c r="BC19" s="207">
        <f>+IF($B19="",0,(1-VLOOKUP(MIN($B19,6),Assumption!$M$10:$N$16,2))*BB19)</f>
        <v>87835149</v>
      </c>
    </row>
    <row r="20" ht="14.25" customHeight="1">
      <c r="A20" s="126">
        <v>13.0</v>
      </c>
      <c r="B20" s="129">
        <f>+IF(A20&gt;Coverage,"",A20)</f>
        <v>13</v>
      </c>
      <c r="C20" s="134">
        <f>+IF(B20=1,Insured_Age,IF(B20="","",C19+1))</f>
        <v>72</v>
      </c>
      <c r="D20" s="134">
        <f>+IF(B20&gt;Coverage,"",IF(B20=1,input!$H$11,D19+1))</f>
        <v>71</v>
      </c>
      <c r="E20" s="134">
        <f>IF(B20=1,premi_dasar,IF(B20&gt;Coverage,"",0))</f>
        <v>0</v>
      </c>
      <c r="F20" s="134">
        <f>IF(B20&gt;Coverage,"",SUM(E20))</f>
        <v>0</v>
      </c>
      <c r="G20" s="134">
        <f>IF(B20&gt;Coverage,"",SUMIFS(input!$E$38:$E$50,input!$C$38:$C$50,$C20))</f>
        <v>0</v>
      </c>
      <c r="H20" s="134">
        <f>IF(B20&gt;Coverage,"",SUMIFS(input!$E$53:$E$87,input!$C$53:$C$87,$C20))</f>
        <v>0</v>
      </c>
      <c r="I20" s="66">
        <f>+IF(B20="","",Sum_Assured*VLOOKUP(MIN(C20,10),Assumption!$M$19:$N$28,2,0))</f>
        <v>330001167</v>
      </c>
      <c r="J20" s="66">
        <f>IF(B20="","",input!$D$33)</f>
        <v>330001167</v>
      </c>
      <c r="K20" s="66">
        <f>IF(B20&gt;Coverage,"",VLOOKUP($C20,COI_Tab[],IF(sex="Male",2,3),0)*I20*(1+EM_Basic)/1000)</f>
        <v>8569470.305</v>
      </c>
      <c r="L20" s="66">
        <f>IF(B20&gt;Coverage,"",VLOOKUP($C20,COI_Tab[],4,0)*J20*(1+EM_Basic)/1000)</f>
        <v>0</v>
      </c>
      <c r="M20" s="207">
        <f>IF(B20&gt;Coverage,"",ROUND(K20+L20,0))</f>
        <v>8569470</v>
      </c>
      <c r="N20" s="134">
        <f>IF(B20&gt;Coverage,"",VLOOKUP($B20,Assumption!$H$11:$I$15,2)*E20)</f>
        <v>0</v>
      </c>
      <c r="O20" s="134">
        <f>IF(B20&gt;Coverage,"",Assumption!$J$11*$G20)</f>
        <v>0</v>
      </c>
      <c r="P20" s="134">
        <f>IF(B20&gt;Coverage,"",H20*VLOOKUP(MIN(B20,6),Assumption!$M$11:$N$16,2,0))</f>
        <v>0</v>
      </c>
      <c r="Q20" s="134">
        <f>IF(B20&gt;Coverage,"",SUM(N20:P20))</f>
        <v>0</v>
      </c>
      <c r="R20" s="207">
        <f>+IF($B20&gt;Coverage,"",Assumption!$I$18*12)</f>
        <v>300000</v>
      </c>
      <c r="S20" s="208">
        <f>+IF($B20&gt;Coverage,"",Assumption!$I$20)</f>
        <v>0</v>
      </c>
      <c r="T20" s="207">
        <f>+IF($B20&gt;Coverage,0,ROUND((U19+($F20+$G20-$H20-$Q20)*PML_LF)*(1+VLOOKUP(T$3,Assumption!$H$35:$K$43,2,0))^0.5-($M20+$R20)*PML_LF-($S20*PML_LF*U19),0))</f>
        <v>27541331</v>
      </c>
      <c r="U20" s="207">
        <f>+IF($B20&gt;Coverage,0,ROUND(T20*(1+VLOOKUP(T$3,Assumption!$H$35:$K$43,2,0))^0.5,0))</f>
        <v>27403278</v>
      </c>
      <c r="V20" s="207">
        <f>+IF($B20="",0,(1-VLOOKUP(MIN($B20,6),Assumption!$M$10:$N$16,2))*U20)</f>
        <v>27403278</v>
      </c>
      <c r="W20" s="207">
        <f>+IF($B20&gt;Coverage,0,ROUND((X19+($F20+$G20-$H20-$Q20)*PML_BF)*(1+VLOOKUP(W$3,Assumption!$H$35:$K$43,2,0))^0.5-($M20+$R20)*PML_BF-($S20*PML_BF*X19),0))</f>
        <v>45902213</v>
      </c>
      <c r="X20" s="207">
        <f>+IF($B20&gt;Coverage,0,ROUND(W20*(1+VLOOKUP(W$3,Assumption!$H$35:$K$43,2,0))^0.5,0))</f>
        <v>45672125</v>
      </c>
      <c r="Y20" s="207">
        <f>+IF($B20="",0,(1-VLOOKUP(MIN($B20,6),Assumption!$M$10:$N$16,2))*X20)</f>
        <v>45672125</v>
      </c>
      <c r="Z20" s="207">
        <f>+IF($B20&gt;Coverage,0,ROUND((AA19+($F20+$G20-$H20-$Q20)*PML_EF)*(1+VLOOKUP(Z$3,Assumption!$H$35:$K$43,2,0))^0.5-($M20+$R20)*PML_EF-($S20*PML_EF*AA19),0))</f>
        <v>73443542</v>
      </c>
      <c r="AA20" s="207">
        <f>+IF($B20&gt;Coverage,0,ROUND(Z20*(1+VLOOKUP(Z$3,Assumption!$H$35:$K$43,2,0))^0.5,0))</f>
        <v>73075402</v>
      </c>
      <c r="AB20" s="207">
        <f>+IF($B20="",0,(1-VLOOKUP(MIN($B20,6),Assumption!$M$10:$N$16,2))*AA20)</f>
        <v>73075402</v>
      </c>
      <c r="AC20" s="207">
        <f>+IF($B20&gt;Coverage,0,ROUND((AD19+($F20+$G20-$H20-$Q20)*PML_FI)*(1+VLOOKUP(AC$3,Assumption!$H$35:$K$43,2,0))^0.5-($M20+$R20)*PML_FI-($S20*PML_FI*AD19),0))</f>
        <v>36721769</v>
      </c>
      <c r="AD20" s="207">
        <f>+IF($B20&gt;Coverage,0,ROUND(AC20*(1+VLOOKUP(AC$3,Assumption!$H$35:$K$43,2,0))^0.5,0))</f>
        <v>36537699</v>
      </c>
      <c r="AE20" s="207">
        <f>+IF($B20="",0,(1-VLOOKUP(MIN($B20,6),Assumption!$M$10:$N$16,2))*AD20)</f>
        <v>36537699</v>
      </c>
      <c r="AF20" s="207">
        <f>+IF($B20&gt;Coverage,0,ROUND((AG19+($F20+$G20-$H20-$Q20)*PML_LF)*(1+VLOOKUP(AF$3,Assumption!$H$35:$K$43,3,0))^0.5-($M20+$R20)*PML_LF-($S20*PML_LF*AG19),0))</f>
        <v>32220931</v>
      </c>
      <c r="AG20" s="207">
        <f>+IF($B20&gt;Coverage,0,ROUND(AF20*(1+VLOOKUP(AF$3,Assumption!$H$35:$K$43,3,0))^0.5,0))</f>
        <v>32220931</v>
      </c>
      <c r="AH20" s="207">
        <f>+IF($B20="",0,(1-VLOOKUP(MIN($B20,6),Assumption!$M$10:$N$16,2))*AG20)</f>
        <v>32220931</v>
      </c>
      <c r="AI20" s="207">
        <f>+IF($B20&gt;Coverage,0,ROUND((AJ19+($F20+$G20-$H20-$Q20)*PML_BF)*(1+VLOOKUP(AI$3,Assumption!$H$35:$K$43,3,0))^0.5-($M20+$R20)*PML_BF-($S20*PML_BF*AJ19),0))</f>
        <v>53701551</v>
      </c>
      <c r="AJ20" s="207">
        <f>+IF($B20&gt;Coverage,0,ROUND(AI20*(1+VLOOKUP(AI$3,Assumption!$H$35:$K$43,3,0))^0.5,0))</f>
        <v>53701551</v>
      </c>
      <c r="AK20" s="207">
        <f>+IF($B20="",0,(1-VLOOKUP(MIN($B20,6),Assumption!$M$10:$N$16,2))*AJ20)</f>
        <v>53701551</v>
      </c>
      <c r="AL20" s="207">
        <f>+IF($B20&gt;Coverage,0,ROUND((AM19+($F20+$G20-$H20-$Q20)*PML_EF)*(1+VLOOKUP(AL$3,Assumption!$H$35:$K$43,3,0))^0.5-($M20+$R20)*PML_EF-($S20*PML_EF*AM19),0))</f>
        <v>85922475</v>
      </c>
      <c r="AM20" s="207">
        <f>+IF($B20&gt;Coverage,0,ROUND(AL20*(1+VLOOKUP(AL$3,Assumption!$H$35:$K$43,3,0))^0.5,0))</f>
        <v>85922475</v>
      </c>
      <c r="AN20" s="207">
        <f>+IF($B20="",0,(1-VLOOKUP(MIN($B20,6),Assumption!$M$10:$N$16,2))*AM20)</f>
        <v>85922475</v>
      </c>
      <c r="AO20" s="207">
        <f>+IF($B20&gt;Coverage,0,ROUND((AP19+($F20+$G20-$H20-$Q20)*PML_FI)*(1+VLOOKUP(AO$3,Assumption!$H$35:$K$43,3,0))^0.5-($M20+$R20)*PML_FI-($S20*PML_FI*AP19),0))</f>
        <v>42961240</v>
      </c>
      <c r="AP20" s="207">
        <f>+IF($B20&gt;Coverage,0,ROUND(AO20*(1+VLOOKUP(AO$3,Assumption!$H$35:$K$43,3,0))^0.5,0))</f>
        <v>42961240</v>
      </c>
      <c r="AQ20" s="207">
        <f>+IF($B20="",0,(1-VLOOKUP(MIN($B20,6),Assumption!$M$10:$N$16,2))*AP20)</f>
        <v>42961240</v>
      </c>
      <c r="AR20" s="207">
        <f>+IF($B20&gt;Coverage,0,ROUND((AS19+($F20+$G20-$H20-$Q20)*PML_LF)*(1+VLOOKUP(AR$3,Assumption!$H$35:$K$43,4,0))^0.5-($M20+$R20)*PML_LF-($S20*PML_LF*AS19),0))</f>
        <v>57710937</v>
      </c>
      <c r="AS20" s="207">
        <f>+IF($B20&gt;Coverage,0,ROUND(AR20*(1+VLOOKUP(AR$3,Assumption!$H$35:$K$43,4,0))^0.5,0))</f>
        <v>58853839</v>
      </c>
      <c r="AT20" s="207">
        <f>+IF($B20="",0,(1-VLOOKUP(MIN($B20,6),Assumption!$M$10:$N$16,2))*AS20)</f>
        <v>58853839</v>
      </c>
      <c r="AU20" s="207">
        <f>+IF($B20&gt;Coverage,0,ROUND((AV19+($F20+$G20-$H20-$Q20)*PML_BF)*(1+VLOOKUP(AU$3,Assumption!$H$35:$K$43,4,0))^0.5-($M20+$R20)*PML_BF-($S20*PML_BF*AV19),0))</f>
        <v>143787597</v>
      </c>
      <c r="AV20" s="207">
        <f>+IF($B20&gt;Coverage,0,ROUND(AU20*(1+VLOOKUP(AU$3,Assumption!$H$35:$K$43,4,0))^0.5,0))</f>
        <v>148735047</v>
      </c>
      <c r="AW20" s="207">
        <f>+IF($B20="",0,(1-VLOOKUP(MIN($B20,6),Assumption!$M$10:$N$16,2))*AV20)</f>
        <v>148735047</v>
      </c>
      <c r="AX20" s="207">
        <f>+IF($B20&gt;Coverage,0,ROUND((AY19+($F20+$G20-$H20-$Q20)*PML_EF)*(1+VLOOKUP(AX$3,Assumption!$H$35:$K$43,4,0))^0.5-($M20+$R20)*PML_EF-($S20*PML_EF*AY19),0))</f>
        <v>261705038</v>
      </c>
      <c r="AY20" s="207">
        <f>+IF($B20&gt;Coverage,0,ROUND(AX20*(1+VLOOKUP(AX$3,Assumption!$H$35:$K$43,4,0))^0.5,0))</f>
        <v>271971853</v>
      </c>
      <c r="AZ20" s="207">
        <f>+IF($B20="",0,(1-VLOOKUP(MIN($B20,6),Assumption!$M$10:$N$16,2))*AY20)</f>
        <v>271971853</v>
      </c>
      <c r="BA20" s="207">
        <f>+IF($B20&gt;Coverage,0,ROUND((BB19+($F20+$G20-$H20-$Q20)*PML_FI)*(1+VLOOKUP(BA$3,Assumption!$H$35:$K$43,4,0))^0.5-($M20+$R20)*PML_FI-($S20*PML_FI*BB19),0))</f>
        <v>88230351</v>
      </c>
      <c r="BB20" s="207">
        <f>+IF($B20&gt;Coverage,0,ROUND(BA20*(1+VLOOKUP(BA$3,Assumption!$H$35:$K$43,4,0))^0.5,0))</f>
        <v>90409206</v>
      </c>
      <c r="BC20" s="207">
        <f>+IF($B20="",0,(1-VLOOKUP(MIN($B20,6),Assumption!$M$10:$N$16,2))*BB20)</f>
        <v>90409206</v>
      </c>
    </row>
    <row r="21" ht="14.25" customHeight="1">
      <c r="A21" s="126">
        <v>14.0</v>
      </c>
      <c r="B21" s="129">
        <f>+IF(A21&gt;Coverage,"",A21)</f>
        <v>14</v>
      </c>
      <c r="C21" s="134">
        <f>+IF(B21=1,Insured_Age,IF(B21="","",C20+1))</f>
        <v>73</v>
      </c>
      <c r="D21" s="134">
        <f>+IF(B21&gt;Coverage,"",IF(B21=1,input!$H$11,D20+1))</f>
        <v>72</v>
      </c>
      <c r="E21" s="134">
        <f>IF(B21=1,premi_dasar,IF(B21&gt;Coverage,"",0))</f>
        <v>0</v>
      </c>
      <c r="F21" s="134">
        <f>IF(B21&gt;Coverage,"",SUM(E21))</f>
        <v>0</v>
      </c>
      <c r="G21" s="134">
        <f>IF(B21&gt;Coverage,"",SUMIFS(input!$E$38:$E$50,input!$C$38:$C$50,$C21))</f>
        <v>0</v>
      </c>
      <c r="H21" s="134">
        <f>IF(B21&gt;Coverage,"",SUMIFS(input!$E$53:$E$87,input!$C$53:$C$87,$C21))</f>
        <v>0</v>
      </c>
      <c r="I21" s="66">
        <f>+IF(B21="","",Sum_Assured*VLOOKUP(MIN(C21,10),Assumption!$M$19:$N$28,2,0))</f>
        <v>330001167</v>
      </c>
      <c r="J21" s="66">
        <f>IF(B21="","",input!$D$33)</f>
        <v>330001167</v>
      </c>
      <c r="K21" s="66">
        <f>IF(B21&gt;Coverage,"",VLOOKUP($C21,COI_Tab[],IF(sex="Male",2,3),0)*I21*(1+EM_Basic)/1000)</f>
        <v>9119912.251</v>
      </c>
      <c r="L21" s="66">
        <f>IF(B21&gt;Coverage,"",VLOOKUP($C21,COI_Tab[],4,0)*J21*(1+EM_Basic)/1000)</f>
        <v>0</v>
      </c>
      <c r="M21" s="207">
        <f>IF(B21&gt;Coverage,"",ROUND(K21+L21,0))</f>
        <v>9119912</v>
      </c>
      <c r="N21" s="134">
        <f>IF(B21&gt;Coverage,"",VLOOKUP($B21,Assumption!$H$11:$I$15,2)*E21)</f>
        <v>0</v>
      </c>
      <c r="O21" s="134">
        <f>IF(B21&gt;Coverage,"",Assumption!$J$11*$G21)</f>
        <v>0</v>
      </c>
      <c r="P21" s="134">
        <f>IF(B21&gt;Coverage,"",H21*VLOOKUP(MIN(B21,6),Assumption!$M$11:$N$16,2,0))</f>
        <v>0</v>
      </c>
      <c r="Q21" s="134">
        <f>IF(B21&gt;Coverage,"",SUM(N21:P21))</f>
        <v>0</v>
      </c>
      <c r="R21" s="207">
        <f>+IF($B21&gt;Coverage,"",Assumption!$I$18*12)</f>
        <v>300000</v>
      </c>
      <c r="S21" s="208">
        <f>+IF($B21&gt;Coverage,"",Assumption!$I$20)</f>
        <v>0</v>
      </c>
      <c r="T21" s="207">
        <f>+IF($B21&gt;Coverage,0,ROUND((U20+($F21+$G21-$H21-$Q21)*PML_LF)*(1+VLOOKUP(T$3,Assumption!$H$35:$K$43,2,0))^0.5-($M21+$R21)*PML_LF-($S21*PML_LF*U20),0))</f>
        <v>25852931</v>
      </c>
      <c r="U21" s="207">
        <f>+IF($B21&gt;Coverage,0,ROUND(T21*(1+VLOOKUP(T$3,Assumption!$H$35:$K$43,2,0))^0.5,0))</f>
        <v>25723342</v>
      </c>
      <c r="V21" s="207">
        <f>+IF($B21="",0,(1-VLOOKUP(MIN($B21,6),Assumption!$M$10:$N$16,2))*U21)</f>
        <v>25723342</v>
      </c>
      <c r="W21" s="207">
        <f>+IF($B21&gt;Coverage,0,ROUND((X20+($F21+$G21-$H21-$Q21)*PML_BF)*(1+VLOOKUP(W$3,Assumption!$H$35:$K$43,2,0))^0.5-($M21+$R21)*PML_BF-($S21*PML_BF*X20),0))</f>
        <v>43088213</v>
      </c>
      <c r="X21" s="207">
        <f>+IF($B21&gt;Coverage,0,ROUND(W21*(1+VLOOKUP(W$3,Assumption!$H$35:$K$43,2,0))^0.5,0))</f>
        <v>42872231</v>
      </c>
      <c r="Y21" s="207">
        <f>+IF($B21="",0,(1-VLOOKUP(MIN($B21,6),Assumption!$M$10:$N$16,2))*X21)</f>
        <v>42872231</v>
      </c>
      <c r="Z21" s="207">
        <f>+IF($B21&gt;Coverage,0,ROUND((AA20+($F21+$G21-$H21-$Q21)*PML_EF)*(1+VLOOKUP(Z$3,Assumption!$H$35:$K$43,2,0))^0.5-($M21+$R21)*PML_EF-($S21*PML_EF*AA20),0))</f>
        <v>68941142</v>
      </c>
      <c r="AA21" s="207">
        <f>+IF($B21&gt;Coverage,0,ROUND(Z21*(1+VLOOKUP(Z$3,Assumption!$H$35:$K$43,2,0))^0.5,0))</f>
        <v>68595570</v>
      </c>
      <c r="AB21" s="207">
        <f>+IF($B21="",0,(1-VLOOKUP(MIN($B21,6),Assumption!$M$10:$N$16,2))*AA21)</f>
        <v>68595570</v>
      </c>
      <c r="AC21" s="207">
        <f>+IF($B21&gt;Coverage,0,ROUND((AD20+($F21+$G21-$H21-$Q21)*PML_FI)*(1+VLOOKUP(AC$3,Assumption!$H$35:$K$43,2,0))^0.5-($M21+$R21)*PML_FI-($S21*PML_FI*AD20),0))</f>
        <v>34470569</v>
      </c>
      <c r="AD21" s="207">
        <f>+IF($B21&gt;Coverage,0,ROUND(AC21*(1+VLOOKUP(AC$3,Assumption!$H$35:$K$43,2,0))^0.5,0))</f>
        <v>34297783</v>
      </c>
      <c r="AE21" s="207">
        <f>+IF($B21="",0,(1-VLOOKUP(MIN($B21,6),Assumption!$M$10:$N$16,2))*AD21)</f>
        <v>34297783</v>
      </c>
      <c r="AF21" s="207">
        <f>+IF($B21&gt;Coverage,0,ROUND((AG20+($F21+$G21-$H21-$Q21)*PML_LF)*(1+VLOOKUP(AF$3,Assumption!$H$35:$K$43,3,0))^0.5-($M21+$R21)*PML_LF-($S21*PML_LF*AG20),0))</f>
        <v>30807944</v>
      </c>
      <c r="AG21" s="207">
        <f>+IF($B21&gt;Coverage,0,ROUND(AF21*(1+VLOOKUP(AF$3,Assumption!$H$35:$K$43,3,0))^0.5,0))</f>
        <v>30807944</v>
      </c>
      <c r="AH21" s="207">
        <f>+IF($B21="",0,(1-VLOOKUP(MIN($B21,6),Assumption!$M$10:$N$16,2))*AG21)</f>
        <v>30807944</v>
      </c>
      <c r="AI21" s="207">
        <f>+IF($B21&gt;Coverage,0,ROUND((AJ20+($F21+$G21-$H21-$Q21)*PML_BF)*(1+VLOOKUP(AI$3,Assumption!$H$35:$K$43,3,0))^0.5-($M21+$R21)*PML_BF-($S21*PML_BF*AJ20),0))</f>
        <v>51346573</v>
      </c>
      <c r="AJ21" s="207">
        <f>+IF($B21&gt;Coverage,0,ROUND(AI21*(1+VLOOKUP(AI$3,Assumption!$H$35:$K$43,3,0))^0.5,0))</f>
        <v>51346573</v>
      </c>
      <c r="AK21" s="207">
        <f>+IF($B21="",0,(1-VLOOKUP(MIN($B21,6),Assumption!$M$10:$N$16,2))*AJ21)</f>
        <v>51346573</v>
      </c>
      <c r="AL21" s="207">
        <f>+IF($B21&gt;Coverage,0,ROUND((AM20+($F21+$G21-$H21-$Q21)*PML_EF)*(1+VLOOKUP(AL$3,Assumption!$H$35:$K$43,3,0))^0.5-($M21+$R21)*PML_EF-($S21*PML_EF*AM20),0))</f>
        <v>82154510</v>
      </c>
      <c r="AM21" s="207">
        <f>+IF($B21&gt;Coverage,0,ROUND(AL21*(1+VLOOKUP(AL$3,Assumption!$H$35:$K$43,3,0))^0.5,0))</f>
        <v>82154510</v>
      </c>
      <c r="AN21" s="207">
        <f>+IF($B21="",0,(1-VLOOKUP(MIN($B21,6),Assumption!$M$10:$N$16,2))*AM21)</f>
        <v>82154510</v>
      </c>
      <c r="AO21" s="207">
        <f>+IF($B21&gt;Coverage,0,ROUND((AP20+($F21+$G21-$H21-$Q21)*PML_FI)*(1+VLOOKUP(AO$3,Assumption!$H$35:$K$43,3,0))^0.5-($M21+$R21)*PML_FI-($S21*PML_FI*AP20),0))</f>
        <v>41077258</v>
      </c>
      <c r="AP21" s="207">
        <f>+IF($B21&gt;Coverage,0,ROUND(AO21*(1+VLOOKUP(AO$3,Assumption!$H$35:$K$43,3,0))^0.5,0))</f>
        <v>41077258</v>
      </c>
      <c r="AQ21" s="207">
        <f>+IF($B21="",0,(1-VLOOKUP(MIN($B21,6),Assumption!$M$10:$N$16,2))*AP21)</f>
        <v>41077258</v>
      </c>
      <c r="AR21" s="207">
        <f>+IF($B21&gt;Coverage,0,ROUND((AS20+($F21+$G21-$H21-$Q21)*PML_LF)*(1+VLOOKUP(AR$3,Assumption!$H$35:$K$43,4,0))^0.5-($M21+$R21)*PML_LF-($S21*PML_LF*AS20),0))</f>
        <v>58606388</v>
      </c>
      <c r="AS21" s="207">
        <f>+IF($B21&gt;Coverage,0,ROUND(AR21*(1+VLOOKUP(AR$3,Assumption!$H$35:$K$43,4,0))^0.5,0))</f>
        <v>59767023</v>
      </c>
      <c r="AT21" s="207">
        <f>+IF($B21="",0,(1-VLOOKUP(MIN($B21,6),Assumption!$M$10:$N$16,2))*AS21)</f>
        <v>59767023</v>
      </c>
      <c r="AU21" s="207">
        <f>+IF($B21&gt;Coverage,0,ROUND((AV20+($F21+$G21-$H21-$Q21)*PML_BF)*(1+VLOOKUP(AU$3,Assumption!$H$35:$K$43,4,0))^0.5-($M21+$R21)*PML_BF-($S21*PML_BF*AV20),0))</f>
        <v>151497751</v>
      </c>
      <c r="AV21" s="207">
        <f>+IF($B21&gt;Coverage,0,ROUND(AU21*(1+VLOOKUP(AU$3,Assumption!$H$35:$K$43,4,0))^0.5,0))</f>
        <v>156710492</v>
      </c>
      <c r="AW21" s="207">
        <f>+IF($B21="",0,(1-VLOOKUP(MIN($B21,6),Assumption!$M$10:$N$16,2))*AV21)</f>
        <v>156710492</v>
      </c>
      <c r="AX21" s="207">
        <f>+IF($B21&gt;Coverage,0,ROUND((AY20+($F21+$G21-$H21-$Q21)*PML_EF)*(1+VLOOKUP(AX$3,Assumption!$H$35:$K$43,4,0))^0.5-($M21+$R21)*PML_EF-($S21*PML_EF*AY20),0))</f>
        <v>278873476</v>
      </c>
      <c r="AY21" s="207">
        <f>+IF($B21&gt;Coverage,0,ROUND(AX21*(1+VLOOKUP(AX$3,Assumption!$H$35:$K$43,4,0))^0.5,0))</f>
        <v>289813818</v>
      </c>
      <c r="AZ21" s="207">
        <f>+IF($B21="",0,(1-VLOOKUP(MIN($B21,6),Assumption!$M$10:$N$16,2))*AY21)</f>
        <v>289813818</v>
      </c>
      <c r="BA21" s="207">
        <f>+IF($B21&gt;Coverage,0,ROUND((BB20+($F21+$G21-$H21-$Q21)*PML_FI)*(1+VLOOKUP(BA$3,Assumption!$H$35:$K$43,4,0))^0.5-($M21+$R21)*PML_FI-($S21*PML_FI*BB20),0))</f>
        <v>90757886</v>
      </c>
      <c r="BB21" s="207">
        <f>+IF($B21&gt;Coverage,0,ROUND(BA21*(1+VLOOKUP(BA$3,Assumption!$H$35:$K$43,4,0))^0.5,0))</f>
        <v>92999159</v>
      </c>
      <c r="BC21" s="207">
        <f>+IF($B21="",0,(1-VLOOKUP(MIN($B21,6),Assumption!$M$10:$N$16,2))*BB21)</f>
        <v>92999159</v>
      </c>
    </row>
    <row r="22" ht="14.25" customHeight="1">
      <c r="A22" s="126">
        <v>15.0</v>
      </c>
      <c r="B22" s="129">
        <f>+IF(A22&gt;Coverage,"",A22)</f>
        <v>15</v>
      </c>
      <c r="C22" s="134">
        <f>+IF(B22=1,Insured_Age,IF(B22="","",C21+1))</f>
        <v>74</v>
      </c>
      <c r="D22" s="134">
        <f>+IF(B22&gt;Coverage,"",IF(B22=1,input!$H$11,D21+1))</f>
        <v>73</v>
      </c>
      <c r="E22" s="134">
        <f>IF(B22=1,premi_dasar,IF(B22&gt;Coverage,"",0))</f>
        <v>0</v>
      </c>
      <c r="F22" s="134">
        <f>IF(B22&gt;Coverage,"",SUM(E22))</f>
        <v>0</v>
      </c>
      <c r="G22" s="134">
        <f>IF(B22&gt;Coverage,"",SUMIFS(input!$E$38:$E$50,input!$C$38:$C$50,$C22))</f>
        <v>0</v>
      </c>
      <c r="H22" s="134">
        <f>IF(B22&gt;Coverage,"",SUMIFS(input!$E$53:$E$87,input!$C$53:$C$87,$C22))</f>
        <v>0</v>
      </c>
      <c r="I22" s="66">
        <f>+IF(B22="","",Sum_Assured*VLOOKUP(MIN(C22,10),Assumption!$M$19:$N$28,2,0))</f>
        <v>330001167</v>
      </c>
      <c r="J22" s="66">
        <f>IF(B22="","",input!$D$33)</f>
        <v>330001167</v>
      </c>
      <c r="K22" s="66">
        <f>IF(B22&gt;Coverage,"",VLOOKUP($C22,COI_Tab[],IF(sex="Male",2,3),0)*I22*(1+EM_Basic)/1000)</f>
        <v>9725794.394</v>
      </c>
      <c r="L22" s="66">
        <f>IF(B22&gt;Coverage,"",VLOOKUP($C22,COI_Tab[],4,0)*J22*(1+EM_Basic)/1000)</f>
        <v>0</v>
      </c>
      <c r="M22" s="207">
        <f>IF(B22&gt;Coverage,"",ROUND(K22+L22,0))</f>
        <v>9725794</v>
      </c>
      <c r="N22" s="134">
        <f>IF(B22&gt;Coverage,"",VLOOKUP($B22,Assumption!$H$11:$I$15,2)*E22)</f>
        <v>0</v>
      </c>
      <c r="O22" s="134">
        <f>IF(B22&gt;Coverage,"",Assumption!$J$11*$G22)</f>
        <v>0</v>
      </c>
      <c r="P22" s="134">
        <f>IF(B22&gt;Coverage,"",H22*VLOOKUP(MIN(B22,6),Assumption!$M$11:$N$16,2,0))</f>
        <v>0</v>
      </c>
      <c r="Q22" s="134">
        <f>IF(B22&gt;Coverage,"",SUM(N22:P22))</f>
        <v>0</v>
      </c>
      <c r="R22" s="207">
        <f>+IF($B22&gt;Coverage,"",Assumption!$I$18*12)</f>
        <v>300000</v>
      </c>
      <c r="S22" s="208">
        <f>+IF($B22&gt;Coverage,"",Assumption!$I$20)</f>
        <v>0</v>
      </c>
      <c r="T22" s="207">
        <f>+IF($B22&gt;Coverage,0,ROUND((U21+($F22+$G22-$H22-$Q22)*PML_LF)*(1+VLOOKUP(T$3,Assumption!$H$35:$K$43,2,0))^0.5-($M22+$R22)*PML_LF-($S22*PML_LF*U21),0))</f>
        <v>24090533</v>
      </c>
      <c r="U22" s="207">
        <f>+IF($B22&gt;Coverage,0,ROUND(T22*(1+VLOOKUP(T$3,Assumption!$H$35:$K$43,2,0))^0.5,0))</f>
        <v>23969778</v>
      </c>
      <c r="V22" s="207">
        <f>+IF($B22="",0,(1-VLOOKUP(MIN($B22,6),Assumption!$M$10:$N$16,2))*U22)</f>
        <v>23969778</v>
      </c>
      <c r="W22" s="207">
        <f>+IF($B22&gt;Coverage,0,ROUND((X21+($F22+$G22-$H22-$Q22)*PML_BF)*(1+VLOOKUP(W$3,Assumption!$H$35:$K$43,2,0))^0.5-($M22+$R22)*PML_BF-($S22*PML_BF*X21),0))</f>
        <v>40150883</v>
      </c>
      <c r="X22" s="207">
        <f>+IF($B22&gt;Coverage,0,ROUND(W22*(1+VLOOKUP(W$3,Assumption!$H$35:$K$43,2,0))^0.5,0))</f>
        <v>39949624</v>
      </c>
      <c r="Y22" s="207">
        <f>+IF($B22="",0,(1-VLOOKUP(MIN($B22,6),Assumption!$M$10:$N$16,2))*X22)</f>
        <v>39949624</v>
      </c>
      <c r="Z22" s="207">
        <f>+IF($B22&gt;Coverage,0,ROUND((AA21+($F22+$G22-$H22-$Q22)*PML_EF)*(1+VLOOKUP(Z$3,Assumption!$H$35:$K$43,2,0))^0.5-($M22+$R22)*PML_EF-($S22*PML_EF*AA21),0))</f>
        <v>64241413</v>
      </c>
      <c r="AA22" s="207">
        <f>+IF($B22&gt;Coverage,0,ROUND(Z22*(1+VLOOKUP(Z$3,Assumption!$H$35:$K$43,2,0))^0.5,0))</f>
        <v>63919399</v>
      </c>
      <c r="AB22" s="207">
        <f>+IF($B22="",0,(1-VLOOKUP(MIN($B22,6),Assumption!$M$10:$N$16,2))*AA22)</f>
        <v>63919399</v>
      </c>
      <c r="AC22" s="207">
        <f>+IF($B22&gt;Coverage,0,ROUND((AD21+($F22+$G22-$H22-$Q22)*PML_FI)*(1+VLOOKUP(AC$3,Assumption!$H$35:$K$43,2,0))^0.5-($M22+$R22)*PML_FI-($S22*PML_FI*AD21),0))</f>
        <v>32120704</v>
      </c>
      <c r="AD22" s="207">
        <f>+IF($B22&gt;Coverage,0,ROUND(AC22*(1+VLOOKUP(AC$3,Assumption!$H$35:$K$43,2,0))^0.5,0))</f>
        <v>31959697</v>
      </c>
      <c r="AE22" s="207">
        <f>+IF($B22="",0,(1-VLOOKUP(MIN($B22,6),Assumption!$M$10:$N$16,2))*AD22)</f>
        <v>31959697</v>
      </c>
      <c r="AF22" s="207">
        <f>+IF($B22&gt;Coverage,0,ROUND((AG21+($F22+$G22-$H22-$Q22)*PML_LF)*(1+VLOOKUP(AF$3,Assumption!$H$35:$K$43,3,0))^0.5-($M22+$R22)*PML_LF-($S22*PML_LF*AG21),0))</f>
        <v>29304075</v>
      </c>
      <c r="AG22" s="207">
        <f>+IF($B22&gt;Coverage,0,ROUND(AF22*(1+VLOOKUP(AF$3,Assumption!$H$35:$K$43,3,0))^0.5,0))</f>
        <v>29304075</v>
      </c>
      <c r="AH22" s="207">
        <f>+IF($B22="",0,(1-VLOOKUP(MIN($B22,6),Assumption!$M$10:$N$16,2))*AG22)</f>
        <v>29304075</v>
      </c>
      <c r="AI22" s="207">
        <f>+IF($B22&gt;Coverage,0,ROUND((AJ21+($F22+$G22-$H22-$Q22)*PML_BF)*(1+VLOOKUP(AI$3,Assumption!$H$35:$K$43,3,0))^0.5-($M22+$R22)*PML_BF-($S22*PML_BF*AJ21),0))</f>
        <v>48840125</v>
      </c>
      <c r="AJ22" s="207">
        <f>+IF($B22&gt;Coverage,0,ROUND(AI22*(1+VLOOKUP(AI$3,Assumption!$H$35:$K$43,3,0))^0.5,0))</f>
        <v>48840125</v>
      </c>
      <c r="AK22" s="207">
        <f>+IF($B22="",0,(1-VLOOKUP(MIN($B22,6),Assumption!$M$10:$N$16,2))*AJ22)</f>
        <v>48840125</v>
      </c>
      <c r="AL22" s="207">
        <f>+IF($B22&gt;Coverage,0,ROUND((AM21+($F22+$G22-$H22-$Q22)*PML_EF)*(1+VLOOKUP(AL$3,Assumption!$H$35:$K$43,3,0))^0.5-($M22+$R22)*PML_EF-($S22*PML_EF*AM21),0))</f>
        <v>78144192</v>
      </c>
      <c r="AM22" s="207">
        <f>+IF($B22&gt;Coverage,0,ROUND(AL22*(1+VLOOKUP(AL$3,Assumption!$H$35:$K$43,3,0))^0.5,0))</f>
        <v>78144192</v>
      </c>
      <c r="AN22" s="207">
        <f>+IF($B22="",0,(1-VLOOKUP(MIN($B22,6),Assumption!$M$10:$N$16,2))*AM22)</f>
        <v>78144192</v>
      </c>
      <c r="AO22" s="207">
        <f>+IF($B22&gt;Coverage,0,ROUND((AP21+($F22+$G22-$H22-$Q22)*PML_FI)*(1+VLOOKUP(AO$3,Assumption!$H$35:$K$43,3,0))^0.5-($M22+$R22)*PML_FI-($S22*PML_FI*AP21),0))</f>
        <v>39072099</v>
      </c>
      <c r="AP22" s="207">
        <f>+IF($B22&gt;Coverage,0,ROUND(AO22*(1+VLOOKUP(AO$3,Assumption!$H$35:$K$43,3,0))^0.5,0))</f>
        <v>39072099</v>
      </c>
      <c r="AQ22" s="207">
        <f>+IF($B22="",0,(1-VLOOKUP(MIN($B22,6),Assumption!$M$10:$N$16,2))*AP22)</f>
        <v>39072099</v>
      </c>
      <c r="AR22" s="207">
        <f>+IF($B22&gt;Coverage,0,ROUND((AS21+($F22+$G22-$H22-$Q22)*PML_LF)*(1+VLOOKUP(AR$3,Assumption!$H$35:$K$43,4,0))^0.5-($M22+$R22)*PML_LF-($S22*PML_LF*AS21),0))</f>
        <v>59446774</v>
      </c>
      <c r="AS22" s="207">
        <f>+IF($B22&gt;Coverage,0,ROUND(AR22*(1+VLOOKUP(AR$3,Assumption!$H$35:$K$43,4,0))^0.5,0))</f>
        <v>60624052</v>
      </c>
      <c r="AT22" s="207">
        <f>+IF($B22="",0,(1-VLOOKUP(MIN($B22,6),Assumption!$M$10:$N$16,2))*AS22)</f>
        <v>60624052</v>
      </c>
      <c r="AU22" s="207">
        <f>+IF($B22&gt;Coverage,0,ROUND((AV21+($F22+$G22-$H22-$Q22)*PML_BF)*(1+VLOOKUP(AU$3,Assumption!$H$35:$K$43,4,0))^0.5-($M22+$R22)*PML_BF-($S22*PML_BF*AV21),0))</f>
        <v>159596145</v>
      </c>
      <c r="AV22" s="207">
        <f>+IF($B22&gt;Coverage,0,ROUND(AU22*(1+VLOOKUP(AU$3,Assumption!$H$35:$K$43,4,0))^0.5,0))</f>
        <v>165087536</v>
      </c>
      <c r="AW22" s="207">
        <f>+IF($B22="",0,(1-VLOOKUP(MIN($B22,6),Assumption!$M$10:$N$16,2))*AV22)</f>
        <v>165087536</v>
      </c>
      <c r="AX22" s="207">
        <f>+IF($B22&gt;Coverage,0,ROUND((AY21+($F22+$G22-$H22-$Q22)*PML_EF)*(1+VLOOKUP(AX$3,Assumption!$H$35:$K$43,4,0))^0.5-($M22+$R22)*PML_EF-($S22*PML_EF*AY21),0))</f>
        <v>297173037</v>
      </c>
      <c r="AY22" s="207">
        <f>+IF($B22&gt;Coverage,0,ROUND(AX22*(1+VLOOKUP(AX$3,Assumption!$H$35:$K$43,4,0))^0.5,0))</f>
        <v>308831279</v>
      </c>
      <c r="AZ22" s="207">
        <f>+IF($B22="",0,(1-VLOOKUP(MIN($B22,6),Assumption!$M$10:$N$16,2))*AY22)</f>
        <v>308831279</v>
      </c>
      <c r="BA22" s="207">
        <f>+IF($B22&gt;Coverage,0,ROUND((BB21+($F22+$G22-$H22-$Q22)*PML_FI)*(1+VLOOKUP(BA$3,Assumption!$H$35:$K$43,4,0))^0.5-($M22+$R22)*PML_FI-($S22*PML_FI*BB21),0))</f>
        <v>93290622</v>
      </c>
      <c r="BB22" s="207">
        <f>+IF($B22&gt;Coverage,0,ROUND(BA22*(1+VLOOKUP(BA$3,Assumption!$H$35:$K$43,4,0))^0.5,0))</f>
        <v>95594441</v>
      </c>
      <c r="BC22" s="207">
        <f>+IF($B22="",0,(1-VLOOKUP(MIN($B22,6),Assumption!$M$10:$N$16,2))*BB22)</f>
        <v>95594441</v>
      </c>
    </row>
    <row r="23" ht="14.25" customHeight="1">
      <c r="A23" s="126">
        <v>16.0</v>
      </c>
      <c r="B23" s="129">
        <f>+IF(A23&gt;Coverage,"",A23)</f>
        <v>16</v>
      </c>
      <c r="C23" s="134">
        <f>+IF(B23=1,Insured_Age,IF(B23="","",C22+1))</f>
        <v>75</v>
      </c>
      <c r="D23" s="134">
        <f>+IF(B23&gt;Coverage,"",IF(B23=1,input!$H$11,D22+1))</f>
        <v>74</v>
      </c>
      <c r="E23" s="134">
        <f>IF(B23=1,premi_dasar,IF(B23&gt;Coverage,"",0))</f>
        <v>0</v>
      </c>
      <c r="F23" s="134">
        <f>IF(B23&gt;Coverage,"",SUM(E23))</f>
        <v>0</v>
      </c>
      <c r="G23" s="134">
        <f>IF(B23&gt;Coverage,"",SUMIFS(input!$E$38:$E$50,input!$C$38:$C$50,$C23))</f>
        <v>0</v>
      </c>
      <c r="H23" s="134">
        <f>IF(B23&gt;Coverage,"",SUMIFS(input!$E$53:$E$87,input!$C$53:$C$87,$C23))</f>
        <v>0</v>
      </c>
      <c r="I23" s="66">
        <f>+IF(B23="","",Sum_Assured*VLOOKUP(MIN(C23,10),Assumption!$M$19:$N$28,2,0))</f>
        <v>330001167</v>
      </c>
      <c r="J23" s="66">
        <f>IF(B23="","",input!$D$33)</f>
        <v>330001167</v>
      </c>
      <c r="K23" s="66">
        <f>IF(B23&gt;Coverage,"",VLOOKUP($C23,COI_Tab[],IF(sex="Male",2,3),0)*I23*(1+EM_Basic)/1000)</f>
        <v>10398996.77</v>
      </c>
      <c r="L23" s="66">
        <f>IF(B23&gt;Coverage,"",VLOOKUP($C23,COI_Tab[],4,0)*J23*(1+EM_Basic)/1000)</f>
        <v>0</v>
      </c>
      <c r="M23" s="207">
        <f>IF(B23&gt;Coverage,"",ROUND(K23+L23,0))</f>
        <v>10398997</v>
      </c>
      <c r="N23" s="134">
        <f>IF(B23&gt;Coverage,"",VLOOKUP($B23,Assumption!$H$11:$I$15,2)*E23)</f>
        <v>0</v>
      </c>
      <c r="O23" s="134">
        <f>IF(B23&gt;Coverage,"",Assumption!$J$11*$G23)</f>
        <v>0</v>
      </c>
      <c r="P23" s="134">
        <f>IF(B23&gt;Coverage,"",H23*VLOOKUP(MIN(B23,6),Assumption!$M$11:$N$16,2,0))</f>
        <v>0</v>
      </c>
      <c r="Q23" s="134">
        <f>IF(B23&gt;Coverage,"",SUM(N23:P23))</f>
        <v>0</v>
      </c>
      <c r="R23" s="207">
        <f>+IF($B23&gt;Coverage,"",Assumption!$I$18*12)</f>
        <v>300000</v>
      </c>
      <c r="S23" s="208">
        <f>+IF($B23&gt;Coverage,"",Assumption!$I$20)</f>
        <v>0</v>
      </c>
      <c r="T23" s="207">
        <f>+IF($B23&gt;Coverage,0,ROUND((U22+($F23+$G23-$H23-$Q23)*PML_LF)*(1+VLOOKUP(T$3,Assumption!$H$35:$K$43,2,0))^0.5-($M23+$R23)*PML_LF-($S23*PML_LF*U22),0))</f>
        <v>22244778</v>
      </c>
      <c r="U23" s="207">
        <f>+IF($B23&gt;Coverage,0,ROUND(T23*(1+VLOOKUP(T$3,Assumption!$H$35:$K$43,2,0))^0.5,0))</f>
        <v>22133275</v>
      </c>
      <c r="V23" s="207">
        <f>+IF($B23="",0,(1-VLOOKUP(MIN($B23,6),Assumption!$M$10:$N$16,2))*U23)</f>
        <v>22133275</v>
      </c>
      <c r="W23" s="207">
        <f>+IF($B23&gt;Coverage,0,ROUND((X22+($F23+$G23-$H23-$Q23)*PML_BF)*(1+VLOOKUP(W$3,Assumption!$H$35:$K$43,2,0))^0.5-($M23+$R23)*PML_BF-($S23*PML_BF*X22),0))</f>
        <v>37074625</v>
      </c>
      <c r="X23" s="207">
        <f>+IF($B23&gt;Coverage,0,ROUND(W23*(1+VLOOKUP(W$3,Assumption!$H$35:$K$43,2,0))^0.5,0))</f>
        <v>36888786</v>
      </c>
      <c r="Y23" s="207">
        <f>+IF($B23="",0,(1-VLOOKUP(MIN($B23,6),Assumption!$M$10:$N$16,2))*X23)</f>
        <v>36888786</v>
      </c>
      <c r="Z23" s="207">
        <f>+IF($B23&gt;Coverage,0,ROUND((AA22+($F23+$G23-$H23-$Q23)*PML_EF)*(1+VLOOKUP(Z$3,Assumption!$H$35:$K$43,2,0))^0.5-($M23+$R23)*PML_EF-($S23*PML_EF*AA22),0))</f>
        <v>59319400</v>
      </c>
      <c r="AA23" s="207">
        <f>+IF($B23&gt;Coverage,0,ROUND(Z23*(1+VLOOKUP(Z$3,Assumption!$H$35:$K$43,2,0))^0.5,0))</f>
        <v>59022058</v>
      </c>
      <c r="AB23" s="207">
        <f>+IF($B23="",0,(1-VLOOKUP(MIN($B23,6),Assumption!$M$10:$N$16,2))*AA23)</f>
        <v>59022058</v>
      </c>
      <c r="AC23" s="207">
        <f>+IF($B23&gt;Coverage,0,ROUND((AD22+($F23+$G23-$H23-$Q23)*PML_FI)*(1+VLOOKUP(AC$3,Assumption!$H$35:$K$43,2,0))^0.5-($M23+$R23)*PML_FI-($S23*PML_FI*AD22),0))</f>
        <v>29659698</v>
      </c>
      <c r="AD23" s="207">
        <f>+IF($B23&gt;Coverage,0,ROUND(AC23*(1+VLOOKUP(AC$3,Assumption!$H$35:$K$43,2,0))^0.5,0))</f>
        <v>29511027</v>
      </c>
      <c r="AE23" s="207">
        <f>+IF($B23="",0,(1-VLOOKUP(MIN($B23,6),Assumption!$M$10:$N$16,2))*AD23)</f>
        <v>29511027</v>
      </c>
      <c r="AF23" s="207">
        <f>+IF($B23&gt;Coverage,0,ROUND((AG22+($F23+$G23-$H23-$Q23)*PML_LF)*(1+VLOOKUP(AF$3,Assumption!$H$35:$K$43,3,0))^0.5-($M23+$R23)*PML_LF-($S23*PML_LF*AG22),0))</f>
        <v>27699225</v>
      </c>
      <c r="AG23" s="207">
        <f>+IF($B23&gt;Coverage,0,ROUND(AF23*(1+VLOOKUP(AF$3,Assumption!$H$35:$K$43,3,0))^0.5,0))</f>
        <v>27699225</v>
      </c>
      <c r="AH23" s="207">
        <f>+IF($B23="",0,(1-VLOOKUP(MIN($B23,6),Assumption!$M$10:$N$16,2))*AG23)</f>
        <v>27699225</v>
      </c>
      <c r="AI23" s="207">
        <f>+IF($B23&gt;Coverage,0,ROUND((AJ22+($F23+$G23-$H23-$Q23)*PML_BF)*(1+VLOOKUP(AI$3,Assumption!$H$35:$K$43,3,0))^0.5-($M23+$R23)*PML_BF-($S23*PML_BF*AJ22),0))</f>
        <v>46165376</v>
      </c>
      <c r="AJ23" s="207">
        <f>+IF($B23&gt;Coverage,0,ROUND(AI23*(1+VLOOKUP(AI$3,Assumption!$H$35:$K$43,3,0))^0.5,0))</f>
        <v>46165376</v>
      </c>
      <c r="AK23" s="207">
        <f>+IF($B23="",0,(1-VLOOKUP(MIN($B23,6),Assumption!$M$10:$N$16,2))*AJ23)</f>
        <v>46165376</v>
      </c>
      <c r="AL23" s="207">
        <f>+IF($B23&gt;Coverage,0,ROUND((AM22+($F23+$G23-$H23-$Q23)*PML_EF)*(1+VLOOKUP(AL$3,Assumption!$H$35:$K$43,3,0))^0.5-($M23+$R23)*PML_EF-($S23*PML_EF*AM22),0))</f>
        <v>73864593</v>
      </c>
      <c r="AM23" s="207">
        <f>+IF($B23&gt;Coverage,0,ROUND(AL23*(1+VLOOKUP(AL$3,Assumption!$H$35:$K$43,3,0))^0.5,0))</f>
        <v>73864593</v>
      </c>
      <c r="AN23" s="207">
        <f>+IF($B23="",0,(1-VLOOKUP(MIN($B23,6),Assumption!$M$10:$N$16,2))*AM23)</f>
        <v>73864593</v>
      </c>
      <c r="AO23" s="207">
        <f>+IF($B23&gt;Coverage,0,ROUND((AP22+($F23+$G23-$H23-$Q23)*PML_FI)*(1+VLOOKUP(AO$3,Assumption!$H$35:$K$43,3,0))^0.5-($M23+$R23)*PML_FI-($S23*PML_FI*AP22),0))</f>
        <v>36932300</v>
      </c>
      <c r="AP23" s="207">
        <f>+IF($B23&gt;Coverage,0,ROUND(AO23*(1+VLOOKUP(AO$3,Assumption!$H$35:$K$43,3,0))^0.5,0))</f>
        <v>36932300</v>
      </c>
      <c r="AQ23" s="207">
        <f>+IF($B23="",0,(1-VLOOKUP(MIN($B23,6),Assumption!$M$10:$N$16,2))*AP23)</f>
        <v>36932300</v>
      </c>
      <c r="AR23" s="207">
        <f>+IF($B23&gt;Coverage,0,ROUND((AS22+($F23+$G23-$H23-$Q23)*PML_LF)*(1+VLOOKUP(AR$3,Assumption!$H$35:$K$43,4,0))^0.5-($M23+$R23)*PML_LF-($S23*PML_LF*AS22),0))</f>
        <v>60219795</v>
      </c>
      <c r="AS23" s="207">
        <f>+IF($B23&gt;Coverage,0,ROUND(AR23*(1+VLOOKUP(AR$3,Assumption!$H$35:$K$43,4,0))^0.5,0))</f>
        <v>61412382</v>
      </c>
      <c r="AT23" s="207">
        <f>+IF($B23="",0,(1-VLOOKUP(MIN($B23,6),Assumption!$M$10:$N$16,2))*AS23)</f>
        <v>61412382</v>
      </c>
      <c r="AU23" s="207">
        <f>+IF($B23&gt;Coverage,0,ROUND((AV22+($F23+$G23-$H23-$Q23)*PML_BF)*(1+VLOOKUP(AU$3,Assumption!$H$35:$K$43,4,0))^0.5-($M23+$R23)*PML_BF-($S23*PML_BF*AV22),0))</f>
        <v>168093126</v>
      </c>
      <c r="AV23" s="207">
        <f>+IF($B23&gt;Coverage,0,ROUND(AU23*(1+VLOOKUP(AU$3,Assumption!$H$35:$K$43,4,0))^0.5,0))</f>
        <v>173876882</v>
      </c>
      <c r="AW23" s="207">
        <f>+IF($B23="",0,(1-VLOOKUP(MIN($B23,6),Assumption!$M$10:$N$16,2))*AV23)</f>
        <v>173876882</v>
      </c>
      <c r="AX23" s="207">
        <f>+IF($B23&gt;Coverage,0,ROUND((AY22+($F23+$G23-$H23-$Q23)*PML_EF)*(1+VLOOKUP(AX$3,Assumption!$H$35:$K$43,4,0))^0.5-($M23+$R23)*PML_EF-($S23*PML_EF*AY22),0))</f>
        <v>316667281</v>
      </c>
      <c r="AY23" s="207">
        <f>+IF($B23&gt;Coverage,0,ROUND(AX23*(1+VLOOKUP(AX$3,Assumption!$H$35:$K$43,4,0))^0.5,0))</f>
        <v>329090292</v>
      </c>
      <c r="AZ23" s="207">
        <f>+IF($B23="",0,(1-VLOOKUP(MIN($B23,6),Assumption!$M$10:$N$16,2))*AY23)</f>
        <v>329090292</v>
      </c>
      <c r="BA23" s="207">
        <f>+IF($B23&gt;Coverage,0,ROUND((BB22+($F23+$G23-$H23-$Q23)*PML_FI)*(1+VLOOKUP(BA$3,Assumption!$H$35:$K$43,4,0))^0.5-($M23+$R23)*PML_FI-($S23*PML_FI*BB22),0))</f>
        <v>95815354</v>
      </c>
      <c r="BB23" s="207">
        <f>+IF($B23&gt;Coverage,0,ROUND(BA23*(1+VLOOKUP(BA$3,Assumption!$H$35:$K$43,4,0))^0.5,0))</f>
        <v>98181522</v>
      </c>
      <c r="BC23" s="207">
        <f>+IF($B23="",0,(1-VLOOKUP(MIN($B23,6),Assumption!$M$10:$N$16,2))*BB23)</f>
        <v>98181522</v>
      </c>
    </row>
    <row r="24" ht="14.25" customHeight="1">
      <c r="A24" s="126">
        <v>17.0</v>
      </c>
      <c r="B24" s="129">
        <f>+IF(A24&gt;Coverage,"",A24)</f>
        <v>17</v>
      </c>
      <c r="C24" s="134">
        <f>+IF(B24=1,Insured_Age,IF(B24="","",C23+1))</f>
        <v>76</v>
      </c>
      <c r="D24" s="134">
        <f>+IF(B24&gt;Coverage,"",IF(B24=1,input!$H$11,D23+1))</f>
        <v>75</v>
      </c>
      <c r="E24" s="134">
        <f>IF(B24=1,premi_dasar,IF(B24&gt;Coverage,"",0))</f>
        <v>0</v>
      </c>
      <c r="F24" s="134">
        <f>IF(B24&gt;Coverage,"",SUM(E24))</f>
        <v>0</v>
      </c>
      <c r="G24" s="134">
        <f>IF(B24&gt;Coverage,"",SUMIFS(input!$E$38:$E$50,input!$C$38:$C$50,$C24))</f>
        <v>0</v>
      </c>
      <c r="H24" s="134">
        <f>IF(B24&gt;Coverage,"",SUMIFS(input!$E$53:$E$87,input!$C$53:$C$87,$C24))</f>
        <v>0</v>
      </c>
      <c r="I24" s="66">
        <f>+IF(B24="","",Sum_Assured*VLOOKUP(MIN(C24,10),Assumption!$M$19:$N$28,2,0))</f>
        <v>330001167</v>
      </c>
      <c r="J24" s="66">
        <f>IF(B24="","",input!$D$33)</f>
        <v>330001167</v>
      </c>
      <c r="K24" s="66">
        <f>IF(B24&gt;Coverage,"",VLOOKUP($C24,COI_Tab[],IF(sex="Male",2,3),0)*I24*(1+EM_Basic)/1000)</f>
        <v>12157242.99</v>
      </c>
      <c r="L24" s="66">
        <f>IF(B24&gt;Coverage,"",VLOOKUP($C24,COI_Tab[],4,0)*J24*(1+EM_Basic)/1000)</f>
        <v>0</v>
      </c>
      <c r="M24" s="207">
        <f>IF(B24&gt;Coverage,"",ROUND(K24+L24,0))</f>
        <v>12157243</v>
      </c>
      <c r="N24" s="134">
        <f>IF(B24&gt;Coverage,"",VLOOKUP($B24,Assumption!$H$11:$I$15,2)*E24)</f>
        <v>0</v>
      </c>
      <c r="O24" s="134">
        <f>IF(B24&gt;Coverage,"",Assumption!$J$11*$G24)</f>
        <v>0</v>
      </c>
      <c r="P24" s="134">
        <f>IF(B24&gt;Coverage,"",H24*VLOOKUP(MIN(B24,6),Assumption!$M$11:$N$16,2,0))</f>
        <v>0</v>
      </c>
      <c r="Q24" s="134">
        <f>IF(B24&gt;Coverage,"",SUM(N24:P24))</f>
        <v>0</v>
      </c>
      <c r="R24" s="207">
        <f>+IF($B24&gt;Coverage,"",Assumption!$I$18*12)</f>
        <v>300000</v>
      </c>
      <c r="S24" s="208">
        <f>+IF($B24&gt;Coverage,"",Assumption!$I$20)</f>
        <v>0</v>
      </c>
      <c r="T24" s="207">
        <f>+IF($B24&gt;Coverage,0,ROUND((U23+($F24+$G24-$H24-$Q24)*PML_LF)*(1+VLOOKUP(T$3,Assumption!$H$35:$K$43,2,0))^0.5-($M24+$R24)*PML_LF-($S24*PML_LF*U23),0))</f>
        <v>20153744</v>
      </c>
      <c r="U24" s="207">
        <f>+IF($B24&gt;Coverage,0,ROUND(T24*(1+VLOOKUP(T$3,Assumption!$H$35:$K$43,2,0))^0.5,0))</f>
        <v>20052722</v>
      </c>
      <c r="V24" s="207">
        <f>+IF($B24="",0,(1-VLOOKUP(MIN($B24,6),Assumption!$M$10:$N$16,2))*U24)</f>
        <v>20052722</v>
      </c>
      <c r="W24" s="207">
        <f>+IF($B24&gt;Coverage,0,ROUND((X23+($F24+$G24-$H24-$Q24)*PML_BF)*(1+VLOOKUP(W$3,Assumption!$H$35:$K$43,2,0))^0.5-($M24+$R24)*PML_BF-($S24*PML_BF*X23),0))</f>
        <v>33589568</v>
      </c>
      <c r="X24" s="207">
        <f>+IF($B24&gt;Coverage,0,ROUND(W24*(1+VLOOKUP(W$3,Assumption!$H$35:$K$43,2,0))^0.5,0))</f>
        <v>33421198</v>
      </c>
      <c r="Y24" s="207">
        <f>+IF($B24="",0,(1-VLOOKUP(MIN($B24,6),Assumption!$M$10:$N$16,2))*X24)</f>
        <v>33421198</v>
      </c>
      <c r="Z24" s="207">
        <f>+IF($B24&gt;Coverage,0,ROUND((AA23+($F24+$G24-$H24-$Q24)*PML_EF)*(1+VLOOKUP(Z$3,Assumption!$H$35:$K$43,2,0))^0.5-($M24+$R24)*PML_EF-($S24*PML_EF*AA23),0))</f>
        <v>53743309</v>
      </c>
      <c r="AA24" s="207">
        <f>+IF($B24&gt;Coverage,0,ROUND(Z24*(1+VLOOKUP(Z$3,Assumption!$H$35:$K$43,2,0))^0.5,0))</f>
        <v>53473917</v>
      </c>
      <c r="AB24" s="207">
        <f>+IF($B24="",0,(1-VLOOKUP(MIN($B24,6),Assumption!$M$10:$N$16,2))*AA24)</f>
        <v>53473917</v>
      </c>
      <c r="AC24" s="207">
        <f>+IF($B24&gt;Coverage,0,ROUND((AD23+($F24+$G24-$H24-$Q24)*PML_FI)*(1+VLOOKUP(AC$3,Assumption!$H$35:$K$43,2,0))^0.5-($M24+$R24)*PML_FI-($S24*PML_FI*AD23),0))</f>
        <v>26871653</v>
      </c>
      <c r="AD24" s="207">
        <f>+IF($B24&gt;Coverage,0,ROUND(AC24*(1+VLOOKUP(AC$3,Assumption!$H$35:$K$43,2,0))^0.5,0))</f>
        <v>26736957</v>
      </c>
      <c r="AE24" s="207">
        <f>+IF($B24="",0,(1-VLOOKUP(MIN($B24,6),Assumption!$M$10:$N$16,2))*AD24)</f>
        <v>26736957</v>
      </c>
      <c r="AF24" s="207">
        <f>+IF($B24&gt;Coverage,0,ROUND((AG23+($F24+$G24-$H24-$Q24)*PML_LF)*(1+VLOOKUP(AF$3,Assumption!$H$35:$K$43,3,0))^0.5-($M24+$R24)*PML_LF-($S24*PML_LF*AG23),0))</f>
        <v>25830639</v>
      </c>
      <c r="AG24" s="207">
        <f>+IF($B24&gt;Coverage,0,ROUND(AF24*(1+VLOOKUP(AF$3,Assumption!$H$35:$K$43,3,0))^0.5,0))</f>
        <v>25830639</v>
      </c>
      <c r="AH24" s="207">
        <f>+IF($B24="",0,(1-VLOOKUP(MIN($B24,6),Assumption!$M$10:$N$16,2))*AG24)</f>
        <v>25830639</v>
      </c>
      <c r="AI24" s="207">
        <f>+IF($B24&gt;Coverage,0,ROUND((AJ23+($F24+$G24-$H24-$Q24)*PML_BF)*(1+VLOOKUP(AI$3,Assumption!$H$35:$K$43,3,0))^0.5-($M24+$R24)*PML_BF-($S24*PML_BF*AJ23),0))</f>
        <v>43051065</v>
      </c>
      <c r="AJ24" s="207">
        <f>+IF($B24&gt;Coverage,0,ROUND(AI24*(1+VLOOKUP(AI$3,Assumption!$H$35:$K$43,3,0))^0.5,0))</f>
        <v>43051065</v>
      </c>
      <c r="AK24" s="207">
        <f>+IF($B24="",0,(1-VLOOKUP(MIN($B24,6),Assumption!$M$10:$N$16,2))*AJ24)</f>
        <v>43051065</v>
      </c>
      <c r="AL24" s="207">
        <f>+IF($B24&gt;Coverage,0,ROUND((AM23+($F24+$G24-$H24-$Q24)*PML_EF)*(1+VLOOKUP(AL$3,Assumption!$H$35:$K$43,3,0))^0.5-($M24+$R24)*PML_EF-($S24*PML_EF*AM23),0))</f>
        <v>68881696</v>
      </c>
      <c r="AM24" s="207">
        <f>+IF($B24&gt;Coverage,0,ROUND(AL24*(1+VLOOKUP(AL$3,Assumption!$H$35:$K$43,3,0))^0.5,0))</f>
        <v>68881696</v>
      </c>
      <c r="AN24" s="207">
        <f>+IF($B24="",0,(1-VLOOKUP(MIN($B24,6),Assumption!$M$10:$N$16,2))*AM24)</f>
        <v>68881696</v>
      </c>
      <c r="AO24" s="207">
        <f>+IF($B24&gt;Coverage,0,ROUND((AP23+($F24+$G24-$H24-$Q24)*PML_FI)*(1+VLOOKUP(AO$3,Assumption!$H$35:$K$43,3,0))^0.5-($M24+$R24)*PML_FI-($S24*PML_FI*AP23),0))</f>
        <v>34440851</v>
      </c>
      <c r="AP24" s="207">
        <f>+IF($B24&gt;Coverage,0,ROUND(AO24*(1+VLOOKUP(AO$3,Assumption!$H$35:$K$43,3,0))^0.5,0))</f>
        <v>34440851</v>
      </c>
      <c r="AQ24" s="207">
        <f>+IF($B24="",0,(1-VLOOKUP(MIN($B24,6),Assumption!$M$10:$N$16,2))*AP24)</f>
        <v>34440851</v>
      </c>
      <c r="AR24" s="207">
        <f>+IF($B24&gt;Coverage,0,ROUND((AS23+($F24+$G24-$H24-$Q24)*PML_LF)*(1+VLOOKUP(AR$3,Assumption!$H$35:$K$43,4,0))^0.5-($M24+$R24)*PML_LF-($S24*PML_LF*AS23),0))</f>
        <v>60760000</v>
      </c>
      <c r="AS24" s="207">
        <f>+IF($B24&gt;Coverage,0,ROUND(AR24*(1+VLOOKUP(AR$3,Assumption!$H$35:$K$43,4,0))^0.5,0))</f>
        <v>61963285</v>
      </c>
      <c r="AT24" s="207">
        <f>+IF($B24="",0,(1-VLOOKUP(MIN($B24,6),Assumption!$M$10:$N$16,2))*AS24)</f>
        <v>61963285</v>
      </c>
      <c r="AU24" s="207">
        <f>+IF($B24&gt;Coverage,0,ROUND((AV23+($F24+$G24-$H24-$Q24)*PML_BF)*(1+VLOOKUP(AU$3,Assumption!$H$35:$K$43,4,0))^0.5-($M24+$R24)*PML_BF-($S24*PML_BF*AV23),0))</f>
        <v>176745335</v>
      </c>
      <c r="AV24" s="207">
        <f>+IF($B24&gt;Coverage,0,ROUND(AU24*(1+VLOOKUP(AU$3,Assumption!$H$35:$K$43,4,0))^0.5,0))</f>
        <v>182826796</v>
      </c>
      <c r="AW24" s="207">
        <f>+IF($B24="",0,(1-VLOOKUP(MIN($B24,6),Assumption!$M$10:$N$16,2))*AV24)</f>
        <v>182826796</v>
      </c>
      <c r="AX24" s="207">
        <f>+IF($B24&gt;Coverage,0,ROUND((AY23+($F24+$G24-$H24-$Q24)*PML_EF)*(1+VLOOKUP(AX$3,Assumption!$H$35:$K$43,4,0))^0.5-($M24+$R24)*PML_EF-($S24*PML_EF*AY23),0))</f>
        <v>337017766</v>
      </c>
      <c r="AY24" s="207">
        <f>+IF($B24&gt;Coverage,0,ROUND(AX24*(1+VLOOKUP(AX$3,Assumption!$H$35:$K$43,4,0))^0.5,0))</f>
        <v>350239136</v>
      </c>
      <c r="AZ24" s="207">
        <f>+IF($B24="",0,(1-VLOOKUP(MIN($B24,6),Assumption!$M$10:$N$16,2))*AY24)</f>
        <v>350239136</v>
      </c>
      <c r="BA24" s="207">
        <f>+IF($B24&gt;Coverage,0,ROUND((BB23+($F24+$G24-$H24-$Q24)*PML_FI)*(1+VLOOKUP(BA$3,Assumption!$H$35:$K$43,4,0))^0.5-($M24+$R24)*PML_FI-($S24*PML_FI*BB23),0))</f>
        <v>98114674</v>
      </c>
      <c r="BB24" s="207">
        <f>+IF($B24&gt;Coverage,0,ROUND(BA24*(1+VLOOKUP(BA$3,Assumption!$H$35:$K$43,4,0))^0.5,0))</f>
        <v>100537623</v>
      </c>
      <c r="BC24" s="207">
        <f>+IF($B24="",0,(1-VLOOKUP(MIN($B24,6),Assumption!$M$10:$N$16,2))*BB24)</f>
        <v>100537623</v>
      </c>
    </row>
    <row r="25" ht="14.25" customHeight="1">
      <c r="A25" s="126">
        <v>18.0</v>
      </c>
      <c r="B25" s="129">
        <f>+IF(A25&gt;Coverage,"",A25)</f>
        <v>18</v>
      </c>
      <c r="C25" s="134">
        <f>+IF(B25=1,Insured_Age,IF(B25="","",C24+1))</f>
        <v>77</v>
      </c>
      <c r="D25" s="134">
        <f>+IF(B25&gt;Coverage,"",IF(B25=1,input!$H$11,D24+1))</f>
        <v>76</v>
      </c>
      <c r="E25" s="134">
        <f>IF(B25=1,premi_dasar,IF(B25&gt;Coverage,"",0))</f>
        <v>0</v>
      </c>
      <c r="F25" s="134">
        <f>IF(B25&gt;Coverage,"",SUM(E25))</f>
        <v>0</v>
      </c>
      <c r="G25" s="134">
        <f>IF(B25&gt;Coverage,"",SUMIFS(input!$E$38:$E$50,input!$C$38:$C$50,$C25))</f>
        <v>0</v>
      </c>
      <c r="H25" s="134">
        <f>IF(B25&gt;Coverage,"",SUMIFS(input!$E$53:$E$87,input!$C$53:$C$87,$C25))</f>
        <v>0</v>
      </c>
      <c r="I25" s="66">
        <f>+IF(B25="","",Sum_Assured*VLOOKUP(MIN(C25,10),Assumption!$M$19:$N$28,2,0))</f>
        <v>330001167</v>
      </c>
      <c r="J25" s="66">
        <f>IF(B25="","",input!$D$33)</f>
        <v>330001167</v>
      </c>
      <c r="K25" s="66">
        <f>IF(B25&gt;Coverage,"",VLOOKUP($C25,COI_Tab[],IF(sex="Male",2,3),0)*I25*(1+EM_Basic)/1000)</f>
        <v>14050129.69</v>
      </c>
      <c r="L25" s="66">
        <f>IF(B25&gt;Coverage,"",VLOOKUP($C25,COI_Tab[],4,0)*J25*(1+EM_Basic)/1000)</f>
        <v>0</v>
      </c>
      <c r="M25" s="207">
        <f>IF(B25&gt;Coverage,"",ROUND(K25+L25,0))</f>
        <v>14050130</v>
      </c>
      <c r="N25" s="134">
        <f>IF(B25&gt;Coverage,"",VLOOKUP($B25,Assumption!$H$11:$I$15,2)*E25)</f>
        <v>0</v>
      </c>
      <c r="O25" s="134">
        <f>IF(B25&gt;Coverage,"",Assumption!$J$11*$G25)</f>
        <v>0</v>
      </c>
      <c r="P25" s="134">
        <f>IF(B25&gt;Coverage,"",H25*VLOOKUP(MIN(B25,6),Assumption!$M$11:$N$16,2,0))</f>
        <v>0</v>
      </c>
      <c r="Q25" s="134">
        <f>IF(B25&gt;Coverage,"",SUM(N25:P25))</f>
        <v>0</v>
      </c>
      <c r="R25" s="207">
        <f>+IF($B25&gt;Coverage,"",Assumption!$I$18*12)</f>
        <v>300000</v>
      </c>
      <c r="S25" s="208">
        <f>+IF($B25&gt;Coverage,"",Assumption!$I$20)</f>
        <v>0</v>
      </c>
      <c r="T25" s="207">
        <f>+IF($B25&gt;Coverage,0,ROUND((U24+($F25+$G25-$H25-$Q25)*PML_LF)*(1+VLOOKUP(T$3,Assumption!$H$35:$K$43,2,0))^0.5-($M25+$R25)*PML_LF-($S25*PML_LF*U24),0))</f>
        <v>17799687</v>
      </c>
      <c r="U25" s="207">
        <f>+IF($B25&gt;Coverage,0,ROUND(T25*(1+VLOOKUP(T$3,Assumption!$H$35:$K$43,2,0))^0.5,0))</f>
        <v>17710465</v>
      </c>
      <c r="V25" s="207">
        <f>+IF($B25="",0,(1-VLOOKUP(MIN($B25,6),Assumption!$M$10:$N$16,2))*U25)</f>
        <v>17710465</v>
      </c>
      <c r="W25" s="207">
        <f>+IF($B25&gt;Coverage,0,ROUND((X24+($F25+$G25-$H25-$Q25)*PML_BF)*(1+VLOOKUP(W$3,Assumption!$H$35:$K$43,2,0))^0.5-($M25+$R25)*PML_BF-($S25*PML_BF*X24),0))</f>
        <v>29666140</v>
      </c>
      <c r="X25" s="207">
        <f>+IF($B25&gt;Coverage,0,ROUND(W25*(1+VLOOKUP(W$3,Assumption!$H$35:$K$43,2,0))^0.5,0))</f>
        <v>29517437</v>
      </c>
      <c r="Y25" s="207">
        <f>+IF($B25="",0,(1-VLOOKUP(MIN($B25,6),Assumption!$M$10:$N$16,2))*X25)</f>
        <v>29517437</v>
      </c>
      <c r="Z25" s="207">
        <f>+IF($B25&gt;Coverage,0,ROUND((AA24+($F25+$G25-$H25-$Q25)*PML_EF)*(1+VLOOKUP(Z$3,Assumption!$H$35:$K$43,2,0))^0.5-($M25+$R25)*PML_EF-($S25*PML_EF*AA24),0))</f>
        <v>47465824</v>
      </c>
      <c r="AA25" s="207">
        <f>+IF($B25&gt;Coverage,0,ROUND(Z25*(1+VLOOKUP(Z$3,Assumption!$H$35:$K$43,2,0))^0.5,0))</f>
        <v>47227899</v>
      </c>
      <c r="AB25" s="207">
        <f>+IF($B25="",0,(1-VLOOKUP(MIN($B25,6),Assumption!$M$10:$N$16,2))*AA25)</f>
        <v>47227899</v>
      </c>
      <c r="AC25" s="207">
        <f>+IF($B25&gt;Coverage,0,ROUND((AD24+($F25+$G25-$H25-$Q25)*PML_FI)*(1+VLOOKUP(AC$3,Assumption!$H$35:$K$43,2,0))^0.5-($M25+$R25)*PML_FI-($S25*PML_FI*AD24),0))</f>
        <v>23732910</v>
      </c>
      <c r="AD25" s="207">
        <f>+IF($B25&gt;Coverage,0,ROUND(AC25*(1+VLOOKUP(AC$3,Assumption!$H$35:$K$43,2,0))^0.5,0))</f>
        <v>23613947</v>
      </c>
      <c r="AE25" s="207">
        <f>+IF($B25="",0,(1-VLOOKUP(MIN($B25,6),Assumption!$M$10:$N$16,2))*AD25)</f>
        <v>23613947</v>
      </c>
      <c r="AF25" s="207">
        <f>+IF($B25&gt;Coverage,0,ROUND((AG24+($F25+$G25-$H25-$Q25)*PML_LF)*(1+VLOOKUP(AF$3,Assumption!$H$35:$K$43,3,0))^0.5-($M25+$R25)*PML_LF-($S25*PML_LF*AG24),0))</f>
        <v>23678120</v>
      </c>
      <c r="AG25" s="207">
        <f>+IF($B25&gt;Coverage,0,ROUND(AF25*(1+VLOOKUP(AF$3,Assumption!$H$35:$K$43,3,0))^0.5,0))</f>
        <v>23678120</v>
      </c>
      <c r="AH25" s="207">
        <f>+IF($B25="",0,(1-VLOOKUP(MIN($B25,6),Assumption!$M$10:$N$16,2))*AG25)</f>
        <v>23678120</v>
      </c>
      <c r="AI25" s="207">
        <f>+IF($B25&gt;Coverage,0,ROUND((AJ24+($F25+$G25-$H25-$Q25)*PML_BF)*(1+VLOOKUP(AI$3,Assumption!$H$35:$K$43,3,0))^0.5-($M25+$R25)*PML_BF-($S25*PML_BF*AJ24),0))</f>
        <v>39463533</v>
      </c>
      <c r="AJ25" s="207">
        <f>+IF($B25&gt;Coverage,0,ROUND(AI25*(1+VLOOKUP(AI$3,Assumption!$H$35:$K$43,3,0))^0.5,0))</f>
        <v>39463533</v>
      </c>
      <c r="AK25" s="207">
        <f>+IF($B25="",0,(1-VLOOKUP(MIN($B25,6),Assumption!$M$10:$N$16,2))*AJ25)</f>
        <v>39463533</v>
      </c>
      <c r="AL25" s="207">
        <f>+IF($B25&gt;Coverage,0,ROUND((AM24+($F25+$G25-$H25-$Q25)*PML_EF)*(1+VLOOKUP(AL$3,Assumption!$H$35:$K$43,3,0))^0.5-($M25+$R25)*PML_EF-($S25*PML_EF*AM24),0))</f>
        <v>63141644</v>
      </c>
      <c r="AM25" s="207">
        <f>+IF($B25&gt;Coverage,0,ROUND(AL25*(1+VLOOKUP(AL$3,Assumption!$H$35:$K$43,3,0))^0.5,0))</f>
        <v>63141644</v>
      </c>
      <c r="AN25" s="207">
        <f>+IF($B25="",0,(1-VLOOKUP(MIN($B25,6),Assumption!$M$10:$N$16,2))*AM25)</f>
        <v>63141644</v>
      </c>
      <c r="AO25" s="207">
        <f>+IF($B25&gt;Coverage,0,ROUND((AP24+($F25+$G25-$H25-$Q25)*PML_FI)*(1+VLOOKUP(AO$3,Assumption!$H$35:$K$43,3,0))^0.5-($M25+$R25)*PML_FI-($S25*PML_FI*AP24),0))</f>
        <v>31570825</v>
      </c>
      <c r="AP25" s="207">
        <f>+IF($B25&gt;Coverage,0,ROUND(AO25*(1+VLOOKUP(AO$3,Assumption!$H$35:$K$43,3,0))^0.5,0))</f>
        <v>31570825</v>
      </c>
      <c r="AQ25" s="207">
        <f>+IF($B25="",0,(1-VLOOKUP(MIN($B25,6),Assumption!$M$10:$N$16,2))*AP25)</f>
        <v>31570825</v>
      </c>
      <c r="AR25" s="207">
        <f>+IF($B25&gt;Coverage,0,ROUND((AS24+($F25+$G25-$H25-$Q25)*PML_LF)*(1+VLOOKUP(AR$3,Assumption!$H$35:$K$43,4,0))^0.5-($M25+$R25)*PML_LF-($S25*PML_LF*AS24),0))</f>
        <v>61037880</v>
      </c>
      <c r="AS25" s="207">
        <f>+IF($B25&gt;Coverage,0,ROUND(AR25*(1+VLOOKUP(AR$3,Assumption!$H$35:$K$43,4,0))^0.5,0))</f>
        <v>62246668</v>
      </c>
      <c r="AT25" s="207">
        <f>+IF($B25="",0,(1-VLOOKUP(MIN($B25,6),Assumption!$M$10:$N$16,2))*AS25)</f>
        <v>62246668</v>
      </c>
      <c r="AU25" s="207">
        <f>+IF($B25&gt;Coverage,0,ROUND((AV24+($F25+$G25-$H25-$Q25)*PML_BF)*(1+VLOOKUP(AU$3,Assumption!$H$35:$K$43,4,0))^0.5-($M25+$R25)*PML_BF-($S25*PML_BF*AV24),0))</f>
        <v>185529976</v>
      </c>
      <c r="AV25" s="207">
        <f>+IF($B25&gt;Coverage,0,ROUND(AU25*(1+VLOOKUP(AU$3,Assumption!$H$35:$K$43,4,0))^0.5,0))</f>
        <v>191913699</v>
      </c>
      <c r="AW25" s="207">
        <f>+IF($B25="",0,(1-VLOOKUP(MIN($B25,6),Assumption!$M$10:$N$16,2))*AV25)</f>
        <v>191913699</v>
      </c>
      <c r="AX25" s="207">
        <f>+IF($B25&gt;Coverage,0,ROUND((AY24+($F25+$G25-$H25-$Q25)*PML_EF)*(1+VLOOKUP(AX$3,Assumption!$H$35:$K$43,4,0))^0.5-($M25+$R25)*PML_EF-($S25*PML_EF*AY24),0))</f>
        <v>358239135</v>
      </c>
      <c r="AY25" s="207">
        <f>+IF($B25&gt;Coverage,0,ROUND(AX25*(1+VLOOKUP(AX$3,Assumption!$H$35:$K$43,4,0))^0.5,0))</f>
        <v>372293030</v>
      </c>
      <c r="AZ25" s="207">
        <f>+IF($B25="",0,(1-VLOOKUP(MIN($B25,6),Assumption!$M$10:$N$16,2))*AY25)</f>
        <v>372293030</v>
      </c>
      <c r="BA25" s="207">
        <f>+IF($B25&gt;Coverage,0,ROUND((BB24+($F25+$G25-$H25-$Q25)*PML_FI)*(1+VLOOKUP(BA$3,Assumption!$H$35:$K$43,4,0))^0.5-($M25+$R25)*PML_FI-($S25*PML_FI*BB24),0))</f>
        <v>100150381</v>
      </c>
      <c r="BB25" s="207">
        <f>+IF($B25&gt;Coverage,0,ROUND(BA25*(1+VLOOKUP(BA$3,Assumption!$H$35:$K$43,4,0))^0.5,0))</f>
        <v>102623602</v>
      </c>
      <c r="BC25" s="207">
        <f>+IF($B25="",0,(1-VLOOKUP(MIN($B25,6),Assumption!$M$10:$N$16,2))*BB25)</f>
        <v>102623602</v>
      </c>
    </row>
    <row r="26" ht="14.25" customHeight="1">
      <c r="A26" s="126">
        <v>19.0</v>
      </c>
      <c r="B26" s="129">
        <f>+IF(A26&gt;Coverage,"",A26)</f>
        <v>19</v>
      </c>
      <c r="C26" s="134">
        <f>+IF(B26=1,Insured_Age,IF(B26="","",C25+1))</f>
        <v>78</v>
      </c>
      <c r="D26" s="134">
        <f>+IF(B26&gt;Coverage,"",IF(B26=1,input!$H$11,D25+1))</f>
        <v>77</v>
      </c>
      <c r="E26" s="134">
        <f>IF(B26=1,premi_dasar,IF(B26&gt;Coverage,"",0))</f>
        <v>0</v>
      </c>
      <c r="F26" s="134">
        <f>IF(B26&gt;Coverage,"",SUM(E26))</f>
        <v>0</v>
      </c>
      <c r="G26" s="134">
        <f>IF(B26&gt;Coverage,"",SUMIFS(input!$E$38:$E$50,input!$C$38:$C$50,$C26))</f>
        <v>0</v>
      </c>
      <c r="H26" s="134">
        <f>IF(B26&gt;Coverage,"",SUMIFS(input!$E$53:$E$87,input!$C$53:$C$87,$C26))</f>
        <v>0</v>
      </c>
      <c r="I26" s="66">
        <f>+IF(B26="","",Sum_Assured*VLOOKUP(MIN(C26,10),Assumption!$M$19:$N$28,2,0))</f>
        <v>330001167</v>
      </c>
      <c r="J26" s="66">
        <f>IF(B26="","",input!$D$33)</f>
        <v>330001167</v>
      </c>
      <c r="K26" s="66">
        <f>IF(B26&gt;Coverage,"",VLOOKUP($C26,COI_Tab[],IF(sex="Male",2,3),0)*I26*(1+EM_Basic)/1000)</f>
        <v>16061816.8</v>
      </c>
      <c r="L26" s="66">
        <f>IF(B26&gt;Coverage,"",VLOOKUP($C26,COI_Tab[],4,0)*J26*(1+EM_Basic)/1000)</f>
        <v>0</v>
      </c>
      <c r="M26" s="207">
        <f>IF(B26&gt;Coverage,"",ROUND(K26+L26,0))</f>
        <v>16061817</v>
      </c>
      <c r="N26" s="134">
        <f>IF(B26&gt;Coverage,"",VLOOKUP($B26,Assumption!$H$11:$I$15,2)*E26)</f>
        <v>0</v>
      </c>
      <c r="O26" s="134">
        <f>IF(B26&gt;Coverage,"",Assumption!$J$11*$G26)</f>
        <v>0</v>
      </c>
      <c r="P26" s="134">
        <f>IF(B26&gt;Coverage,"",H26*VLOOKUP(MIN(B26,6),Assumption!$M$11:$N$16,2,0))</f>
        <v>0</v>
      </c>
      <c r="Q26" s="134">
        <f>IF(B26&gt;Coverage,"",SUM(N26:P26))</f>
        <v>0</v>
      </c>
      <c r="R26" s="207">
        <f>+IF($B26&gt;Coverage,"",Assumption!$I$18*12)</f>
        <v>300000</v>
      </c>
      <c r="S26" s="208">
        <f>+IF($B26&gt;Coverage,"",Assumption!$I$20)</f>
        <v>0</v>
      </c>
      <c r="T26" s="207">
        <f>+IF($B26&gt;Coverage,0,ROUND((U25+($F26+$G26-$H26-$Q26)*PML_LF)*(1+VLOOKUP(T$3,Assumption!$H$35:$K$43,2,0))^0.5-($M26+$R26)*PML_LF-($S26*PML_LF*U25),0))</f>
        <v>15167418</v>
      </c>
      <c r="U26" s="207">
        <f>+IF($B26&gt;Coverage,0,ROUND(T26*(1+VLOOKUP(T$3,Assumption!$H$35:$K$43,2,0))^0.5,0))</f>
        <v>15091390</v>
      </c>
      <c r="V26" s="207">
        <f>+IF($B26="",0,(1-VLOOKUP(MIN($B26,6),Assumption!$M$10:$N$16,2))*U26)</f>
        <v>15091390</v>
      </c>
      <c r="W26" s="207">
        <f>+IF($B26&gt;Coverage,0,ROUND((X25+($F26+$G26-$H26-$Q26)*PML_BF)*(1+VLOOKUP(W$3,Assumption!$H$35:$K$43,2,0))^0.5-($M26+$R26)*PML_BF-($S26*PML_BF*X25),0))</f>
        <v>25279025</v>
      </c>
      <c r="X26" s="207">
        <f>+IF($B26&gt;Coverage,0,ROUND(W26*(1+VLOOKUP(W$3,Assumption!$H$35:$K$43,2,0))^0.5,0))</f>
        <v>25152312</v>
      </c>
      <c r="Y26" s="207">
        <f>+IF($B26="",0,(1-VLOOKUP(MIN($B26,6),Assumption!$M$10:$N$16,2))*X26)</f>
        <v>25152312</v>
      </c>
      <c r="Z26" s="207">
        <f>+IF($B26&gt;Coverage,0,ROUND((AA25+($F26+$G26-$H26-$Q26)*PML_EF)*(1+VLOOKUP(Z$3,Assumption!$H$35:$K$43,2,0))^0.5-($M26+$R26)*PML_EF-($S26*PML_EF*AA25),0))</f>
        <v>40446439</v>
      </c>
      <c r="AA26" s="207">
        <f>+IF($B26&gt;Coverage,0,ROUND(Z26*(1+VLOOKUP(Z$3,Assumption!$H$35:$K$43,2,0))^0.5,0))</f>
        <v>40243699</v>
      </c>
      <c r="AB26" s="207">
        <f>+IF($B26="",0,(1-VLOOKUP(MIN($B26,6),Assumption!$M$10:$N$16,2))*AA26)</f>
        <v>40243699</v>
      </c>
      <c r="AC26" s="207">
        <f>+IF($B26&gt;Coverage,0,ROUND((AD25+($F26+$G26-$H26-$Q26)*PML_FI)*(1+VLOOKUP(AC$3,Assumption!$H$35:$K$43,2,0))^0.5-($M26+$R26)*PML_FI-($S26*PML_FI*AD25),0))</f>
        <v>20223217</v>
      </c>
      <c r="AD26" s="207">
        <f>+IF($B26&gt;Coverage,0,ROUND(AC26*(1+VLOOKUP(AC$3,Assumption!$H$35:$K$43,2,0))^0.5,0))</f>
        <v>20121847</v>
      </c>
      <c r="AE26" s="207">
        <f>+IF($B26="",0,(1-VLOOKUP(MIN($B26,6),Assumption!$M$10:$N$16,2))*AD26)</f>
        <v>20121847</v>
      </c>
      <c r="AF26" s="207">
        <f>+IF($B26&gt;Coverage,0,ROUND((AG25+($F26+$G26-$H26-$Q26)*PML_LF)*(1+VLOOKUP(AF$3,Assumption!$H$35:$K$43,3,0))^0.5-($M26+$R26)*PML_LF-($S26*PML_LF*AG25),0))</f>
        <v>21223847</v>
      </c>
      <c r="AG26" s="207">
        <f>+IF($B26&gt;Coverage,0,ROUND(AF26*(1+VLOOKUP(AF$3,Assumption!$H$35:$K$43,3,0))^0.5,0))</f>
        <v>21223847</v>
      </c>
      <c r="AH26" s="207">
        <f>+IF($B26="",0,(1-VLOOKUP(MIN($B26,6),Assumption!$M$10:$N$16,2))*AG26)</f>
        <v>21223847</v>
      </c>
      <c r="AI26" s="207">
        <f>+IF($B26&gt;Coverage,0,ROUND((AJ25+($F26+$G26-$H26-$Q26)*PML_BF)*(1+VLOOKUP(AI$3,Assumption!$H$35:$K$43,3,0))^0.5-($M26+$R26)*PML_BF-($S26*PML_BF*AJ25),0))</f>
        <v>35373079</v>
      </c>
      <c r="AJ26" s="207">
        <f>+IF($B26&gt;Coverage,0,ROUND(AI26*(1+VLOOKUP(AI$3,Assumption!$H$35:$K$43,3,0))^0.5,0))</f>
        <v>35373079</v>
      </c>
      <c r="AK26" s="207">
        <f>+IF($B26="",0,(1-VLOOKUP(MIN($B26,6),Assumption!$M$10:$N$16,2))*AJ26)</f>
        <v>35373079</v>
      </c>
      <c r="AL26" s="207">
        <f>+IF($B26&gt;Coverage,0,ROUND((AM25+($F26+$G26-$H26-$Q26)*PML_EF)*(1+VLOOKUP(AL$3,Assumption!$H$35:$K$43,3,0))^0.5-($M26+$R26)*PML_EF-($S26*PML_EF*AM25),0))</f>
        <v>56596917</v>
      </c>
      <c r="AM26" s="207">
        <f>+IF($B26&gt;Coverage,0,ROUND(AL26*(1+VLOOKUP(AL$3,Assumption!$H$35:$K$43,3,0))^0.5,0))</f>
        <v>56596917</v>
      </c>
      <c r="AN26" s="207">
        <f>+IF($B26="",0,(1-VLOOKUP(MIN($B26,6),Assumption!$M$10:$N$16,2))*AM26)</f>
        <v>56596917</v>
      </c>
      <c r="AO26" s="207">
        <f>+IF($B26&gt;Coverage,0,ROUND((AP25+($F26+$G26-$H26-$Q26)*PML_FI)*(1+VLOOKUP(AO$3,Assumption!$H$35:$K$43,3,0))^0.5-($M26+$R26)*PML_FI-($S26*PML_FI*AP25),0))</f>
        <v>28298462</v>
      </c>
      <c r="AP26" s="207">
        <f>+IF($B26&gt;Coverage,0,ROUND(AO26*(1+VLOOKUP(AO$3,Assumption!$H$35:$K$43,3,0))^0.5,0))</f>
        <v>28298462</v>
      </c>
      <c r="AQ26" s="207">
        <f>+IF($B26="",0,(1-VLOOKUP(MIN($B26,6),Assumption!$M$10:$N$16,2))*AP26)</f>
        <v>28298462</v>
      </c>
      <c r="AR26" s="207">
        <f>+IF($B26&gt;Coverage,0,ROUND((AS25+($F26+$G26-$H26-$Q26)*PML_LF)*(1+VLOOKUP(AR$3,Assumption!$H$35:$K$43,4,0))^0.5-($M26+$R26)*PML_LF-($S26*PML_LF*AS25),0))</f>
        <v>61025122</v>
      </c>
      <c r="AS26" s="207">
        <f>+IF($B26&gt;Coverage,0,ROUND(AR26*(1+VLOOKUP(AR$3,Assumption!$H$35:$K$43,4,0))^0.5,0))</f>
        <v>62233658</v>
      </c>
      <c r="AT26" s="207">
        <f>+IF($B26="",0,(1-VLOOKUP(MIN($B26,6),Assumption!$M$10:$N$16,2))*AS26)</f>
        <v>62233658</v>
      </c>
      <c r="AU26" s="207">
        <f>+IF($B26&gt;Coverage,0,ROUND((AV25+($F26+$G26-$H26-$Q26)*PML_BF)*(1+VLOOKUP(AU$3,Assumption!$H$35:$K$43,4,0))^0.5-($M26+$R26)*PML_BF-($S26*PML_BF*AV25),0))</f>
        <v>194426620</v>
      </c>
      <c r="AV26" s="207">
        <f>+IF($B26&gt;Coverage,0,ROUND(AU26*(1+VLOOKUP(AU$3,Assumption!$H$35:$K$43,4,0))^0.5,0))</f>
        <v>201116460</v>
      </c>
      <c r="AW26" s="207">
        <f>+IF($B26="",0,(1-VLOOKUP(MIN($B26,6),Assumption!$M$10:$N$16,2))*AV26)</f>
        <v>201116460</v>
      </c>
      <c r="AX26" s="207">
        <f>+IF($B26&gt;Coverage,0,ROUND((AY25+($F26+$G26-$H26-$Q26)*PML_EF)*(1+VLOOKUP(AX$3,Assumption!$H$35:$K$43,4,0))^0.5-($M26+$R26)*PML_EF-($S26*PML_EF*AY25),0))</f>
        <v>380353539</v>
      </c>
      <c r="AY26" s="207">
        <f>+IF($B26&gt;Coverage,0,ROUND(AX26*(1+VLOOKUP(AX$3,Assumption!$H$35:$K$43,4,0))^0.5,0))</f>
        <v>395274993</v>
      </c>
      <c r="AZ26" s="207">
        <f>+IF($B26="",0,(1-VLOOKUP(MIN($B26,6),Assumption!$M$10:$N$16,2))*AY26)</f>
        <v>395274993</v>
      </c>
      <c r="BA26" s="207">
        <f>+IF($B26&gt;Coverage,0,ROUND((BB25+($F26+$G26-$H26-$Q26)*PML_FI)*(1+VLOOKUP(BA$3,Assumption!$H$35:$K$43,4,0))^0.5-($M26+$R26)*PML_FI-($S26*PML_FI*BB25),0))</f>
        <v>101885536</v>
      </c>
      <c r="BB26" s="207">
        <f>+IF($B26&gt;Coverage,0,ROUND(BA26*(1+VLOOKUP(BA$3,Assumption!$H$35:$K$43,4,0))^0.5,0))</f>
        <v>104401607</v>
      </c>
      <c r="BC26" s="207">
        <f>+IF($B26="",0,(1-VLOOKUP(MIN($B26,6),Assumption!$M$10:$N$16,2))*BB26)</f>
        <v>104401607</v>
      </c>
    </row>
    <row r="27" ht="14.25" customHeight="1">
      <c r="A27" s="126">
        <v>20.0</v>
      </c>
      <c r="B27" s="129">
        <f>+IF(A27&gt;Coverage,"",A27)</f>
        <v>20</v>
      </c>
      <c r="C27" s="134">
        <f>+IF(B27=1,Insured_Age,IF(B27="","",C26+1))</f>
        <v>79</v>
      </c>
      <c r="D27" s="134">
        <f>+IF(B27&gt;Coverage,"",IF(B27=1,input!$H$11,D26+1))</f>
        <v>78</v>
      </c>
      <c r="E27" s="134">
        <f>IF(B27=1,premi_dasar,IF(B27&gt;Coverage,"",0))</f>
        <v>0</v>
      </c>
      <c r="F27" s="134">
        <f>IF(B27&gt;Coverage,"",SUM(E27))</f>
        <v>0</v>
      </c>
      <c r="G27" s="134">
        <f>IF(B27&gt;Coverage,"",SUMIFS(input!$E$38:$E$50,input!$C$38:$C$50,$C27))</f>
        <v>0</v>
      </c>
      <c r="H27" s="134">
        <f>IF(B27&gt;Coverage,"",SUMIFS(input!$E$53:$E$87,input!$C$53:$C$87,$C27))</f>
        <v>0</v>
      </c>
      <c r="I27" s="66">
        <f>+IF(B27="","",Sum_Assured*VLOOKUP(MIN(C27,10),Assumption!$M$19:$N$28,2,0))</f>
        <v>330001167</v>
      </c>
      <c r="J27" s="66">
        <f>IF(B27="","",input!$D$33)</f>
        <v>330001167</v>
      </c>
      <c r="K27" s="66">
        <f>IF(B27&gt;Coverage,"",VLOOKUP($C27,COI_Tab[],IF(sex="Male",2,3),0)*I27*(1+EM_Basic)/1000)</f>
        <v>18952627.02</v>
      </c>
      <c r="L27" s="66">
        <f>IF(B27&gt;Coverage,"",VLOOKUP($C27,COI_Tab[],4,0)*J27*(1+EM_Basic)/1000)</f>
        <v>0</v>
      </c>
      <c r="M27" s="207">
        <f>IF(B27&gt;Coverage,"",ROUND(K27+L27,0))</f>
        <v>18952627</v>
      </c>
      <c r="N27" s="134">
        <f>IF(B27&gt;Coverage,"",VLOOKUP($B27,Assumption!$H$11:$I$15,2)*E27)</f>
        <v>0</v>
      </c>
      <c r="O27" s="134">
        <f>IF(B27&gt;Coverage,"",Assumption!$J$11*$G27)</f>
        <v>0</v>
      </c>
      <c r="P27" s="134">
        <f>IF(B27&gt;Coverage,"",H27*VLOOKUP(MIN(B27,6),Assumption!$M$11:$N$16,2,0))</f>
        <v>0</v>
      </c>
      <c r="Q27" s="134">
        <f>IF(B27&gt;Coverage,"",SUM(N27:P27))</f>
        <v>0</v>
      </c>
      <c r="R27" s="207">
        <f>+IF($B27&gt;Coverage,"",Assumption!$I$18*12)</f>
        <v>300000</v>
      </c>
      <c r="S27" s="208">
        <f>+IF($B27&gt;Coverage,"",Assumption!$I$20)</f>
        <v>0</v>
      </c>
      <c r="T27" s="207">
        <f>+IF($B27&gt;Coverage,0,ROUND((U26+($F27+$G27-$H27-$Q27)*PML_LF)*(1+VLOOKUP(T$3,Assumption!$H$35:$K$43,2,0))^0.5-($M27+$R27)*PML_LF-($S27*PML_LF*U26),0))</f>
        <v>12127849</v>
      </c>
      <c r="U27" s="207">
        <f>+IF($B27&gt;Coverage,0,ROUND(T27*(1+VLOOKUP(T$3,Assumption!$H$35:$K$43,2,0))^0.5,0))</f>
        <v>12067057</v>
      </c>
      <c r="V27" s="207">
        <f>+IF($B27="",0,(1-VLOOKUP(MIN($B27,6),Assumption!$M$10:$N$16,2))*U27)</f>
        <v>12067057</v>
      </c>
      <c r="W27" s="207">
        <f>+IF($B27&gt;Coverage,0,ROUND((X26+($F27+$G27-$H27-$Q27)*PML_BF)*(1+VLOOKUP(W$3,Assumption!$H$35:$K$43,2,0))^0.5-($M27+$R27)*PML_BF-($S27*PML_BF*X26),0))</f>
        <v>20213078</v>
      </c>
      <c r="X27" s="207">
        <f>+IF($B27&gt;Coverage,0,ROUND(W27*(1+VLOOKUP(W$3,Assumption!$H$35:$K$43,2,0))^0.5,0))</f>
        <v>20111759</v>
      </c>
      <c r="Y27" s="207">
        <f>+IF($B27="",0,(1-VLOOKUP(MIN($B27,6),Assumption!$M$10:$N$16,2))*X27)</f>
        <v>20111759</v>
      </c>
      <c r="Z27" s="207">
        <f>+IF($B27&gt;Coverage,0,ROUND((AA26+($F27+$G27-$H27-$Q27)*PML_EF)*(1+VLOOKUP(Z$3,Assumption!$H$35:$K$43,2,0))^0.5-($M27+$R27)*PML_EF-($S27*PML_EF*AA26),0))</f>
        <v>32340924</v>
      </c>
      <c r="AA27" s="207">
        <f>+IF($B27&gt;Coverage,0,ROUND(Z27*(1+VLOOKUP(Z$3,Assumption!$H$35:$K$43,2,0))^0.5,0))</f>
        <v>32178813</v>
      </c>
      <c r="AB27" s="207">
        <f>+IF($B27="",0,(1-VLOOKUP(MIN($B27,6),Assumption!$M$10:$N$16,2))*AA27)</f>
        <v>32178813</v>
      </c>
      <c r="AC27" s="207">
        <f>+IF($B27&gt;Coverage,0,ROUND((AD26+($F27+$G27-$H27-$Q27)*PML_FI)*(1+VLOOKUP(AC$3,Assumption!$H$35:$K$43,2,0))^0.5-($M27+$R27)*PML_FI-($S27*PML_FI*AD26),0))</f>
        <v>16170460</v>
      </c>
      <c r="AD27" s="207">
        <f>+IF($B27&gt;Coverage,0,ROUND(AC27*(1+VLOOKUP(AC$3,Assumption!$H$35:$K$43,2,0))^0.5,0))</f>
        <v>16089405</v>
      </c>
      <c r="AE27" s="207">
        <f>+IF($B27="",0,(1-VLOOKUP(MIN($B27,6),Assumption!$M$10:$N$16,2))*AD27)</f>
        <v>16089405</v>
      </c>
      <c r="AF27" s="207">
        <f>+IF($B27&gt;Coverage,0,ROUND((AG26+($F27+$G27-$H27-$Q27)*PML_LF)*(1+VLOOKUP(AF$3,Assumption!$H$35:$K$43,3,0))^0.5-($M27+$R27)*PML_LF-($S27*PML_LF*AG26),0))</f>
        <v>18335953</v>
      </c>
      <c r="AG27" s="207">
        <f>+IF($B27&gt;Coverage,0,ROUND(AF27*(1+VLOOKUP(AF$3,Assumption!$H$35:$K$43,3,0))^0.5,0))</f>
        <v>18335953</v>
      </c>
      <c r="AH27" s="207">
        <f>+IF($B27="",0,(1-VLOOKUP(MIN($B27,6),Assumption!$M$10:$N$16,2))*AG27)</f>
        <v>18335953</v>
      </c>
      <c r="AI27" s="207">
        <f>+IF($B27&gt;Coverage,0,ROUND((AJ26+($F27+$G27-$H27-$Q27)*PML_BF)*(1+VLOOKUP(AI$3,Assumption!$H$35:$K$43,3,0))^0.5-($M27+$R27)*PML_BF-($S27*PML_BF*AJ26),0))</f>
        <v>30559922</v>
      </c>
      <c r="AJ27" s="207">
        <f>+IF($B27&gt;Coverage,0,ROUND(AI27*(1+VLOOKUP(AI$3,Assumption!$H$35:$K$43,3,0))^0.5,0))</f>
        <v>30559922</v>
      </c>
      <c r="AK27" s="207">
        <f>+IF($B27="",0,(1-VLOOKUP(MIN($B27,6),Assumption!$M$10:$N$16,2))*AJ27)</f>
        <v>30559922</v>
      </c>
      <c r="AL27" s="207">
        <f>+IF($B27&gt;Coverage,0,ROUND((AM26+($F27+$G27-$H27-$Q27)*PML_EF)*(1+VLOOKUP(AL$3,Assumption!$H$35:$K$43,3,0))^0.5-($M27+$R27)*PML_EF-($S27*PML_EF*AM26),0))</f>
        <v>48895866</v>
      </c>
      <c r="AM27" s="207">
        <f>+IF($B27&gt;Coverage,0,ROUND(AL27*(1+VLOOKUP(AL$3,Assumption!$H$35:$K$43,3,0))^0.5,0))</f>
        <v>48895866</v>
      </c>
      <c r="AN27" s="207">
        <f>+IF($B27="",0,(1-VLOOKUP(MIN($B27,6),Assumption!$M$10:$N$16,2))*AM27)</f>
        <v>48895866</v>
      </c>
      <c r="AO27" s="207">
        <f>+IF($B27&gt;Coverage,0,ROUND((AP26+($F27+$G27-$H27-$Q27)*PML_FI)*(1+VLOOKUP(AO$3,Assumption!$H$35:$K$43,3,0))^0.5-($M27+$R27)*PML_FI-($S27*PML_FI*AP26),0))</f>
        <v>24447937</v>
      </c>
      <c r="AP27" s="207">
        <f>+IF($B27&gt;Coverage,0,ROUND(AO27*(1+VLOOKUP(AO$3,Assumption!$H$35:$K$43,3,0))^0.5,0))</f>
        <v>24447937</v>
      </c>
      <c r="AQ27" s="207">
        <f>+IF($B27="",0,(1-VLOOKUP(MIN($B27,6),Assumption!$M$10:$N$16,2))*AP27)</f>
        <v>24447937</v>
      </c>
      <c r="AR27" s="207">
        <f>+IF($B27&gt;Coverage,0,ROUND((AS26+($F27+$G27-$H27-$Q27)*PML_LF)*(1+VLOOKUP(AR$3,Assumption!$H$35:$K$43,4,0))^0.5-($M27+$R27)*PML_LF-($S27*PML_LF*AS26),0))</f>
        <v>60578233</v>
      </c>
      <c r="AS27" s="207">
        <f>+IF($B27&gt;Coverage,0,ROUND(AR27*(1+VLOOKUP(AR$3,Assumption!$H$35:$K$43,4,0))^0.5,0))</f>
        <v>61777918</v>
      </c>
      <c r="AT27" s="207">
        <f>+IF($B27="",0,(1-VLOOKUP(MIN($B27,6),Assumption!$M$10:$N$16,2))*AS27)</f>
        <v>61777918</v>
      </c>
      <c r="AU27" s="207">
        <f>+IF($B27&gt;Coverage,0,ROUND((AV26+($F27+$G27-$H27-$Q27)*PML_BF)*(1+VLOOKUP(AU$3,Assumption!$H$35:$K$43,4,0))^0.5-($M27+$R27)*PML_BF-($S27*PML_BF*AV26),0))</f>
        <v>203223327</v>
      </c>
      <c r="AV27" s="207">
        <f>+IF($B27&gt;Coverage,0,ROUND(AU27*(1+VLOOKUP(AU$3,Assumption!$H$35:$K$43,4,0))^0.5,0))</f>
        <v>210215844</v>
      </c>
      <c r="AW27" s="207">
        <f>+IF($B27="",0,(1-VLOOKUP(MIN($B27,6),Assumption!$M$10:$N$16,2))*AV27)</f>
        <v>210215844</v>
      </c>
      <c r="AX27" s="207">
        <f>+IF($B27&gt;Coverage,0,ROUND((AY26+($F27+$G27-$H27-$Q27)*PML_EF)*(1+VLOOKUP(AX$3,Assumption!$H$35:$K$43,4,0))^0.5-($M27+$R27)*PML_EF-($S27*PML_EF*AY26),0))</f>
        <v>403080772</v>
      </c>
      <c r="AY27" s="207">
        <f>+IF($B27&gt;Coverage,0,ROUND(AX27*(1+VLOOKUP(AX$3,Assumption!$H$35:$K$43,4,0))^0.5,0))</f>
        <v>418893826</v>
      </c>
      <c r="AZ27" s="207">
        <f>+IF($B27="",0,(1-VLOOKUP(MIN($B27,6),Assumption!$M$10:$N$16,2))*AY27)</f>
        <v>418893826</v>
      </c>
      <c r="BA27" s="207">
        <f>+IF($B27&gt;Coverage,0,ROUND((BB26+($F27+$G27-$H27-$Q27)*PML_FI)*(1+VLOOKUP(BA$3,Assumption!$H$35:$K$43,4,0))^0.5-($M27+$R27)*PML_FI-($S27*PML_FI*BB26),0))</f>
        <v>103129287</v>
      </c>
      <c r="BB27" s="207">
        <f>+IF($B27&gt;Coverage,0,ROUND(BA27*(1+VLOOKUP(BA$3,Assumption!$H$35:$K$43,4,0))^0.5,0))</f>
        <v>105676073</v>
      </c>
      <c r="BC27" s="207">
        <f>+IF($B27="",0,(1-VLOOKUP(MIN($B27,6),Assumption!$M$10:$N$16,2))*BB27)</f>
        <v>105676073</v>
      </c>
    </row>
    <row r="28" ht="14.25" customHeight="1">
      <c r="A28" s="126">
        <v>21.0</v>
      </c>
      <c r="B28" s="129" t="str">
        <f>+IF(A28&gt;Coverage,"",A28)</f>
        <v/>
      </c>
      <c r="C28" s="134" t="str">
        <f>+IF(B28=1,Insured_Age,IF(B28="","",C27+1))</f>
        <v/>
      </c>
      <c r="D28" s="134" t="str">
        <f>+IF(B28&gt;Coverage,"",IF(B28=1,input!$H$11,D27+1))</f>
        <v/>
      </c>
      <c r="E28" s="134" t="str">
        <f>IF(B28=1,premi_dasar,IF(B28&gt;Coverage,"",0))</f>
        <v/>
      </c>
      <c r="F28" s="134" t="str">
        <f>IF(B28&gt;Coverage,"",SUM(E28))</f>
        <v/>
      </c>
      <c r="G28" s="134" t="str">
        <f>IF(B28&gt;Coverage,"",SUMIFS(input!$E$38:$E$50,input!$C$38:$C$50,$C28))</f>
        <v/>
      </c>
      <c r="H28" s="134" t="str">
        <f>IF(B28&gt;Coverage,"",SUMIFS(input!$E$53:$E$87,input!$C$53:$C$87,$C28))</f>
        <v/>
      </c>
      <c r="I28" s="66" t="str">
        <f>+IF(B28="","",Sum_Assured*VLOOKUP(MIN(C28,10),Assumption!$M$19:$N$28,2,0))</f>
        <v/>
      </c>
      <c r="J28" s="66" t="str">
        <f>IF(B28="","",input!$D$33)</f>
        <v/>
      </c>
      <c r="K28" s="66" t="str">
        <f>IF(B28&gt;Coverage,"",VLOOKUP($C28,COI_Tab[],IF(sex="Male",2,3),0)*I28*(1+EM_Basic)/1000)</f>
        <v/>
      </c>
      <c r="L28" s="66" t="str">
        <f>IF(B28&gt;Coverage,"",VLOOKUP($C28,COI_Tab[],4,0)*J28*(1+EM_Basic)/1000)</f>
        <v/>
      </c>
      <c r="M28" s="207" t="str">
        <f>IF(B28&gt;Coverage,"",ROUND(K28+L28,0))</f>
        <v/>
      </c>
      <c r="N28" s="134" t="str">
        <f>IF(B28&gt;Coverage,"",VLOOKUP($B28,Assumption!$H$11:$I$15,2)*E28)</f>
        <v/>
      </c>
      <c r="O28" s="134" t="str">
        <f>IF(B28&gt;Coverage,"",Assumption!$J$11*$G28)</f>
        <v/>
      </c>
      <c r="P28" s="134" t="str">
        <f>IF(B28&gt;Coverage,"",H28*VLOOKUP(MIN(B28,6),Assumption!$M$11:$N$16,2,0))</f>
        <v/>
      </c>
      <c r="Q28" s="134" t="str">
        <f>IF(B28&gt;Coverage,"",SUM(N28:P28))</f>
        <v/>
      </c>
      <c r="R28" s="207" t="str">
        <f>+IF($B28&gt;Coverage,"",Assumption!$I$18*12)</f>
        <v/>
      </c>
      <c r="S28" s="208" t="str">
        <f>+IF($B28&gt;Coverage,"",Assumption!$I$20)</f>
        <v/>
      </c>
      <c r="T28" s="207">
        <f>+IF($B28&gt;Coverage,0,ROUND((U27+($F28+$G28-$H28-$Q28)*PML_LF)*(1+VLOOKUP(T$3,Assumption!$H$35:$K$43,2,0))^0.5-($M28+$R28)*PML_LF-($S28*PML_LF*U27),0))</f>
        <v>0</v>
      </c>
      <c r="U28" s="207">
        <f>+IF($B28&gt;Coverage,0,ROUND(T28*(1+VLOOKUP(T$3,Assumption!$H$35:$K$43,2,0))^0.5,0))</f>
        <v>0</v>
      </c>
      <c r="V28" s="207">
        <f>+IF($B28="",0,(1-VLOOKUP(MIN($B28,6),Assumption!$M$10:$N$16,2))*U28)</f>
        <v>0</v>
      </c>
      <c r="W28" s="207">
        <f>+IF($B28&gt;Coverage,0,ROUND((X27+($F28+$G28-$H28-$Q28)*PML_BF)*(1+VLOOKUP(W$3,Assumption!$H$35:$K$43,2,0))^0.5-($M28+$R28)*PML_BF-($S28*PML_BF*X27),0))</f>
        <v>0</v>
      </c>
      <c r="X28" s="207">
        <f>+IF($B28&gt;Coverage,0,ROUND(W28*(1+VLOOKUP(W$3,Assumption!$H$35:$K$43,2,0))^0.5,0))</f>
        <v>0</v>
      </c>
      <c r="Y28" s="207">
        <f>+IF($B28="",0,(1-VLOOKUP(MIN($B28,6),Assumption!$M$10:$N$16,2))*X28)</f>
        <v>0</v>
      </c>
      <c r="Z28" s="207">
        <f>+IF($B28&gt;Coverage,0,ROUND((AA27+($F28+$G28-$H28-$Q28)*PML_EF)*(1+VLOOKUP(Z$3,Assumption!$H$35:$K$43,2,0))^0.5-($M28+$R28)*PML_EF-($S28*PML_EF*AA27),0))</f>
        <v>0</v>
      </c>
      <c r="AA28" s="207">
        <f>+IF($B28&gt;Coverage,0,ROUND(Z28*(1+VLOOKUP(Z$3,Assumption!$H$35:$K$43,2,0))^0.5,0))</f>
        <v>0</v>
      </c>
      <c r="AB28" s="207">
        <f>+IF($B28="",0,(1-VLOOKUP(MIN($B28,6),Assumption!$M$10:$N$16,2))*AA28)</f>
        <v>0</v>
      </c>
      <c r="AC28" s="207">
        <f>+IF($B28&gt;Coverage,0,ROUND((AD27+($F28+$G28-$H28-$Q28)*PML_FI)*(1+VLOOKUP(AC$3,Assumption!$H$35:$K$43,2,0))^0.5-($M28+$R28)*PML_FI-($S28*PML_FI*AD27),0))</f>
        <v>0</v>
      </c>
      <c r="AD28" s="207">
        <f>+IF($B28&gt;Coverage,0,ROUND(AC28*(1+VLOOKUP(AC$3,Assumption!$H$35:$K$43,2,0))^0.5,0))</f>
        <v>0</v>
      </c>
      <c r="AE28" s="207">
        <f>+IF($B28="",0,(1-VLOOKUP(MIN($B28,6),Assumption!$M$10:$N$16,2))*AD28)</f>
        <v>0</v>
      </c>
      <c r="AF28" s="207">
        <f>+IF($B28&gt;Coverage,0,ROUND((AG27+($F28+$G28-$H28-$Q28)*PML_LF)*(1+VLOOKUP(AF$3,Assumption!$H$35:$K$43,3,0))^0.5-($M28+$R28)*PML_LF-($S28*PML_LF*AG27),0))</f>
        <v>0</v>
      </c>
      <c r="AG28" s="207">
        <f>+IF($B28&gt;Coverage,0,ROUND(AF28*(1+VLOOKUP(AF$3,Assumption!$H$35:$K$43,3,0))^0.5,0))</f>
        <v>0</v>
      </c>
      <c r="AH28" s="207">
        <f>+IF($B28="",0,(1-VLOOKUP(MIN($B28,6),Assumption!$M$10:$N$16,2))*AG28)</f>
        <v>0</v>
      </c>
      <c r="AI28" s="207">
        <f>+IF($B28&gt;Coverage,0,ROUND((AJ27+($F28+$G28-$H28-$Q28)*PML_BF)*(1+VLOOKUP(AI$3,Assumption!$H$35:$K$43,3,0))^0.5-($M28+$R28)*PML_BF-($S28*PML_BF*AJ27),0))</f>
        <v>0</v>
      </c>
      <c r="AJ28" s="207">
        <f>+IF($B28&gt;Coverage,0,ROUND(AI28*(1+VLOOKUP(AI$3,Assumption!$H$35:$K$43,3,0))^0.5,0))</f>
        <v>0</v>
      </c>
      <c r="AK28" s="207">
        <f>+IF($B28="",0,(1-VLOOKUP(MIN($B28,6),Assumption!$M$10:$N$16,2))*AJ28)</f>
        <v>0</v>
      </c>
      <c r="AL28" s="207">
        <f>+IF($B28&gt;Coverage,0,ROUND((AM27+($F28+$G28-$H28-$Q28)*PML_EF)*(1+VLOOKUP(AL$3,Assumption!$H$35:$K$43,3,0))^0.5-($M28+$R28)*PML_EF-($S28*PML_EF*AM27),0))</f>
        <v>0</v>
      </c>
      <c r="AM28" s="207">
        <f>+IF($B28&gt;Coverage,0,ROUND(AL28*(1+VLOOKUP(AL$3,Assumption!$H$35:$K$43,3,0))^0.5,0))</f>
        <v>0</v>
      </c>
      <c r="AN28" s="207">
        <f>+IF($B28="",0,(1-VLOOKUP(MIN($B28,6),Assumption!$M$10:$N$16,2))*AM28)</f>
        <v>0</v>
      </c>
      <c r="AO28" s="207">
        <f>+IF($B28&gt;Coverage,0,ROUND((AP27+($F28+$G28-$H28-$Q28)*PML_FI)*(1+VLOOKUP(AO$3,Assumption!$H$35:$K$43,3,0))^0.5-($M28+$R28)*PML_FI-($S28*PML_FI*AP27),0))</f>
        <v>0</v>
      </c>
      <c r="AP28" s="207">
        <f>+IF($B28&gt;Coverage,0,ROUND(AO28*(1+VLOOKUP(AO$3,Assumption!$H$35:$K$43,3,0))^0.5,0))</f>
        <v>0</v>
      </c>
      <c r="AQ28" s="207">
        <f>+IF($B28="",0,(1-VLOOKUP(MIN($B28,6),Assumption!$M$10:$N$16,2))*AP28)</f>
        <v>0</v>
      </c>
      <c r="AR28" s="207">
        <f>+IF($B28&gt;Coverage,0,ROUND((AS27+($F28+$G28-$H28-$Q28)*PML_LF)*(1+VLOOKUP(AR$3,Assumption!$H$35:$K$43,4,0))^0.5-($M28+$R28)*PML_LF-($S28*PML_LF*AS27),0))</f>
        <v>0</v>
      </c>
      <c r="AS28" s="207">
        <f>+IF($B28&gt;Coverage,0,ROUND(AR28*(1+VLOOKUP(AR$3,Assumption!$H$35:$K$43,4,0))^0.5,0))</f>
        <v>0</v>
      </c>
      <c r="AT28" s="207">
        <f>+IF($B28="",0,(1-VLOOKUP(MIN($B28,6),Assumption!$M$10:$N$16,2))*AS28)</f>
        <v>0</v>
      </c>
      <c r="AU28" s="207">
        <f>+IF($B28&gt;Coverage,0,ROUND((AV27+($F28+$G28-$H28-$Q28)*PML_BF)*(1+VLOOKUP(AU$3,Assumption!$H$35:$K$43,4,0))^0.5-($M28+$R28)*PML_BF-($S28*PML_BF*AV27),0))</f>
        <v>0</v>
      </c>
      <c r="AV28" s="207">
        <f>+IF($B28&gt;Coverage,0,ROUND(AU28*(1+VLOOKUP(AU$3,Assumption!$H$35:$K$43,4,0))^0.5,0))</f>
        <v>0</v>
      </c>
      <c r="AW28" s="207">
        <f>+IF($B28="",0,(1-VLOOKUP(MIN($B28,6),Assumption!$M$10:$N$16,2))*AV28)</f>
        <v>0</v>
      </c>
      <c r="AX28" s="207">
        <f>+IF($B28&gt;Coverage,0,ROUND((AY27+($F28+$G28-$H28-$Q28)*PML_EF)*(1+VLOOKUP(AX$3,Assumption!$H$35:$K$43,4,0))^0.5-($M28+$R28)*PML_EF-($S28*PML_EF*AY27),0))</f>
        <v>0</v>
      </c>
      <c r="AY28" s="207">
        <f>+IF($B28&gt;Coverage,0,ROUND(AX28*(1+VLOOKUP(AX$3,Assumption!$H$35:$K$43,4,0))^0.5,0))</f>
        <v>0</v>
      </c>
      <c r="AZ28" s="207">
        <f>+IF($B28="",0,(1-VLOOKUP(MIN($B28,6),Assumption!$M$10:$N$16,2))*AY28)</f>
        <v>0</v>
      </c>
      <c r="BA28" s="207">
        <f>+IF($B28&gt;Coverage,0,ROUND((BB27+($F28+$G28-$H28-$Q28)*PML_FI)*(1+VLOOKUP(BA$3,Assumption!$H$35:$K$43,4,0))^0.5-($M28+$R28)*PML_FI-($S28*PML_FI*BB27),0))</f>
        <v>0</v>
      </c>
      <c r="BB28" s="207">
        <f>+IF($B28&gt;Coverage,0,ROUND(BA28*(1+VLOOKUP(BA$3,Assumption!$H$35:$K$43,4,0))^0.5,0))</f>
        <v>0</v>
      </c>
      <c r="BC28" s="207">
        <f>+IF($B28="",0,(1-VLOOKUP(MIN($B28,6),Assumption!$M$10:$N$16,2))*BB28)</f>
        <v>0</v>
      </c>
    </row>
    <row r="29" ht="14.25" customHeight="1">
      <c r="A29" s="126">
        <v>22.0</v>
      </c>
      <c r="B29" s="129" t="str">
        <f>+IF(A29&gt;Coverage,"",A29)</f>
        <v/>
      </c>
      <c r="C29" s="134" t="str">
        <f>+IF(B29=1,Insured_Age,IF(B29="","",C28+1))</f>
        <v/>
      </c>
      <c r="D29" s="134" t="str">
        <f>+IF(B29&gt;Coverage,"",IF(B29=1,input!$H$11,D28+1))</f>
        <v/>
      </c>
      <c r="E29" s="134" t="str">
        <f>IF(B29=1,premi_dasar,IF(B29&gt;Coverage,"",0))</f>
        <v/>
      </c>
      <c r="F29" s="134" t="str">
        <f>IF(B29&gt;Coverage,"",SUM(E29))</f>
        <v/>
      </c>
      <c r="G29" s="134" t="str">
        <f>IF(B29&gt;Coverage,"",SUMIFS(input!$E$38:$E$50,input!$C$38:$C$50,$C29))</f>
        <v/>
      </c>
      <c r="H29" s="134" t="str">
        <f>IF(B29&gt;Coverage,"",SUMIFS(input!$E$53:$E$87,input!$C$53:$C$87,$C29))</f>
        <v/>
      </c>
      <c r="I29" s="66" t="str">
        <f>+IF(B29="","",Sum_Assured*VLOOKUP(MIN(C29,10),Assumption!$M$19:$N$28,2,0))</f>
        <v/>
      </c>
      <c r="J29" s="66" t="str">
        <f>IF(B29="","",input!$D$33)</f>
        <v/>
      </c>
      <c r="K29" s="66" t="str">
        <f>IF(B29&gt;Coverage,"",VLOOKUP($C29,COI_Tab[],IF(sex="Male",2,3),0)*I29*(1+EM_Basic)/1000)</f>
        <v/>
      </c>
      <c r="L29" s="66" t="str">
        <f>IF(B29&gt;Coverage,"",VLOOKUP($C29,COI_Tab[],4,0)*J29*(1+EM_Basic)/1000)</f>
        <v/>
      </c>
      <c r="M29" s="207" t="str">
        <f>IF(B29&gt;Coverage,"",ROUND(K29+L29,0))</f>
        <v/>
      </c>
      <c r="N29" s="134" t="str">
        <f>IF(B29&gt;Coverage,"",VLOOKUP($B29,Assumption!$H$11:$I$15,2)*E29)</f>
        <v/>
      </c>
      <c r="O29" s="134" t="str">
        <f>IF(B29&gt;Coverage,"",Assumption!$J$11*$G29)</f>
        <v/>
      </c>
      <c r="P29" s="134" t="str">
        <f>IF(B29&gt;Coverage,"",H29*VLOOKUP(MIN(B29,6),Assumption!$M$11:$N$16,2,0))</f>
        <v/>
      </c>
      <c r="Q29" s="134" t="str">
        <f>IF(B29&gt;Coverage,"",SUM(N29:P29))</f>
        <v/>
      </c>
      <c r="R29" s="207" t="str">
        <f>+IF($B29&gt;Coverage,"",Assumption!$I$18*12)</f>
        <v/>
      </c>
      <c r="S29" s="208" t="str">
        <f>+IF($B29&gt;Coverage,"",Assumption!$I$20)</f>
        <v/>
      </c>
      <c r="T29" s="207">
        <f>+IF($B29&gt;Coverage,0,ROUND((U28+($F29+$G29-$H29-$Q29)*PML_LF)*(1+VLOOKUP(T$3,Assumption!$H$35:$K$43,2,0))^0.5-($M29+$R29)*PML_LF-($S29*PML_LF*U28),0))</f>
        <v>0</v>
      </c>
      <c r="U29" s="207">
        <f>+IF($B29&gt;Coverage,0,ROUND(T29*(1+VLOOKUP(T$3,Assumption!$H$35:$K$43,2,0))^0.5,0))</f>
        <v>0</v>
      </c>
      <c r="V29" s="207">
        <f>+IF($B29="",0,(1-VLOOKUP(MIN($B29,6),Assumption!$M$10:$N$16,2))*U29)</f>
        <v>0</v>
      </c>
      <c r="W29" s="207">
        <f>+IF($B29&gt;Coverage,0,ROUND((X28+($F29+$G29-$H29-$Q29)*PML_BF)*(1+VLOOKUP(W$3,Assumption!$H$35:$K$43,2,0))^0.5-($M29+$R29)*PML_BF-($S29*PML_BF*X28),0))</f>
        <v>0</v>
      </c>
      <c r="X29" s="207">
        <f>+IF($B29&gt;Coverage,0,ROUND(W29*(1+VLOOKUP(W$3,Assumption!$H$35:$K$43,2,0))^0.5,0))</f>
        <v>0</v>
      </c>
      <c r="Y29" s="207">
        <f>+IF($B29="",0,(1-VLOOKUP(MIN($B29,6),Assumption!$M$10:$N$16,2))*X29)</f>
        <v>0</v>
      </c>
      <c r="Z29" s="207">
        <f>+IF($B29&gt;Coverage,0,ROUND((AA28+($F29+$G29-$H29-$Q29)*PML_EF)*(1+VLOOKUP(Z$3,Assumption!$H$35:$K$43,2,0))^0.5-($M29+$R29)*PML_EF-($S29*PML_EF*AA28),0))</f>
        <v>0</v>
      </c>
      <c r="AA29" s="207">
        <f>+IF($B29&gt;Coverage,0,ROUND(Z29*(1+VLOOKUP(Z$3,Assumption!$H$35:$K$43,2,0))^0.5,0))</f>
        <v>0</v>
      </c>
      <c r="AB29" s="207">
        <f>+IF($B29="",0,(1-VLOOKUP(MIN($B29,6),Assumption!$M$10:$N$16,2))*AA29)</f>
        <v>0</v>
      </c>
      <c r="AC29" s="207">
        <f>+IF($B29&gt;Coverage,0,ROUND((AD28+($F29+$G29-$H29-$Q29)*PML_FI)*(1+VLOOKUP(AC$3,Assumption!$H$35:$K$43,2,0))^0.5-($M29+$R29)*PML_FI-($S29*PML_FI*AD28),0))</f>
        <v>0</v>
      </c>
      <c r="AD29" s="207">
        <f>+IF($B29&gt;Coverage,0,ROUND(AC29*(1+VLOOKUP(AC$3,Assumption!$H$35:$K$43,2,0))^0.5,0))</f>
        <v>0</v>
      </c>
      <c r="AE29" s="207">
        <f>+IF($B29="",0,(1-VLOOKUP(MIN($B29,6),Assumption!$M$10:$N$16,2))*AD29)</f>
        <v>0</v>
      </c>
      <c r="AF29" s="207">
        <f>+IF($B29&gt;Coverage,0,ROUND((AG28+($F29+$G29-$H29-$Q29)*PML_LF)*(1+VLOOKUP(AF$3,Assumption!$H$35:$K$43,3,0))^0.5-($M29+$R29)*PML_LF-($S29*PML_LF*AG28),0))</f>
        <v>0</v>
      </c>
      <c r="AG29" s="207">
        <f>+IF($B29&gt;Coverage,0,ROUND(AF29*(1+VLOOKUP(AF$3,Assumption!$H$35:$K$43,3,0))^0.5,0))</f>
        <v>0</v>
      </c>
      <c r="AH29" s="207">
        <f>+IF($B29="",0,(1-VLOOKUP(MIN($B29,6),Assumption!$M$10:$N$16,2))*AG29)</f>
        <v>0</v>
      </c>
      <c r="AI29" s="207">
        <f>+IF($B29&gt;Coverage,0,ROUND((AJ28+($F29+$G29-$H29-$Q29)*PML_BF)*(1+VLOOKUP(AI$3,Assumption!$H$35:$K$43,3,0))^0.5-($M29+$R29)*PML_BF-($S29*PML_BF*AJ28),0))</f>
        <v>0</v>
      </c>
      <c r="AJ29" s="207">
        <f>+IF($B29&gt;Coverage,0,ROUND(AI29*(1+VLOOKUP(AI$3,Assumption!$H$35:$K$43,3,0))^0.5,0))</f>
        <v>0</v>
      </c>
      <c r="AK29" s="207">
        <f>+IF($B29="",0,(1-VLOOKUP(MIN($B29,6),Assumption!$M$10:$N$16,2))*AJ29)</f>
        <v>0</v>
      </c>
      <c r="AL29" s="207">
        <f>+IF($B29&gt;Coverage,0,ROUND((AM28+($F29+$G29-$H29-$Q29)*PML_EF)*(1+VLOOKUP(AL$3,Assumption!$H$35:$K$43,3,0))^0.5-($M29+$R29)*PML_EF-($S29*PML_EF*AM28),0))</f>
        <v>0</v>
      </c>
      <c r="AM29" s="207">
        <f>+IF($B29&gt;Coverage,0,ROUND(AL29*(1+VLOOKUP(AL$3,Assumption!$H$35:$K$43,3,0))^0.5,0))</f>
        <v>0</v>
      </c>
      <c r="AN29" s="207">
        <f>+IF($B29="",0,(1-VLOOKUP(MIN($B29,6),Assumption!$M$10:$N$16,2))*AM29)</f>
        <v>0</v>
      </c>
      <c r="AO29" s="207">
        <f>+IF($B29&gt;Coverage,0,ROUND((AP28+($F29+$G29-$H29-$Q29)*PML_FI)*(1+VLOOKUP(AO$3,Assumption!$H$35:$K$43,3,0))^0.5-($M29+$R29)*PML_FI-($S29*PML_FI*AP28),0))</f>
        <v>0</v>
      </c>
      <c r="AP29" s="207">
        <f>+IF($B29&gt;Coverage,0,ROUND(AO29*(1+VLOOKUP(AO$3,Assumption!$H$35:$K$43,3,0))^0.5,0))</f>
        <v>0</v>
      </c>
      <c r="AQ29" s="207">
        <f>+IF($B29="",0,(1-VLOOKUP(MIN($B29,6),Assumption!$M$10:$N$16,2))*AP29)</f>
        <v>0</v>
      </c>
      <c r="AR29" s="207">
        <f>+IF($B29&gt;Coverage,0,ROUND((AS28+($F29+$G29-$H29-$Q29)*PML_LF)*(1+VLOOKUP(AR$3,Assumption!$H$35:$K$43,4,0))^0.5-($M29+$R29)*PML_LF-($S29*PML_LF*AS28),0))</f>
        <v>0</v>
      </c>
      <c r="AS29" s="207">
        <f>+IF($B29&gt;Coverage,0,ROUND(AR29*(1+VLOOKUP(AR$3,Assumption!$H$35:$K$43,4,0))^0.5,0))</f>
        <v>0</v>
      </c>
      <c r="AT29" s="207">
        <f>+IF($B29="",0,(1-VLOOKUP(MIN($B29,6),Assumption!$M$10:$N$16,2))*AS29)</f>
        <v>0</v>
      </c>
      <c r="AU29" s="207">
        <f>+IF($B29&gt;Coverage,0,ROUND((AV28+($F29+$G29-$H29-$Q29)*PML_BF)*(1+VLOOKUP(AU$3,Assumption!$H$35:$K$43,4,0))^0.5-($M29+$R29)*PML_BF-($S29*PML_BF*AV28),0))</f>
        <v>0</v>
      </c>
      <c r="AV29" s="207">
        <f>+IF($B29&gt;Coverage,0,ROUND(AU29*(1+VLOOKUP(AU$3,Assumption!$H$35:$K$43,4,0))^0.5,0))</f>
        <v>0</v>
      </c>
      <c r="AW29" s="207">
        <f>+IF($B29="",0,(1-VLOOKUP(MIN($B29,6),Assumption!$M$10:$N$16,2))*AV29)</f>
        <v>0</v>
      </c>
      <c r="AX29" s="207">
        <f>+IF($B29&gt;Coverage,0,ROUND((AY28+($F29+$G29-$H29-$Q29)*PML_EF)*(1+VLOOKUP(AX$3,Assumption!$H$35:$K$43,4,0))^0.5-($M29+$R29)*PML_EF-($S29*PML_EF*AY28),0))</f>
        <v>0</v>
      </c>
      <c r="AY29" s="207">
        <f>+IF($B29&gt;Coverage,0,ROUND(AX29*(1+VLOOKUP(AX$3,Assumption!$H$35:$K$43,4,0))^0.5,0))</f>
        <v>0</v>
      </c>
      <c r="AZ29" s="207">
        <f>+IF($B29="",0,(1-VLOOKUP(MIN($B29,6),Assumption!$M$10:$N$16,2))*AY29)</f>
        <v>0</v>
      </c>
      <c r="BA29" s="207">
        <f>+IF($B29&gt;Coverage,0,ROUND((BB28+($F29+$G29-$H29-$Q29)*PML_FI)*(1+VLOOKUP(BA$3,Assumption!$H$35:$K$43,4,0))^0.5-($M29+$R29)*PML_FI-($S29*PML_FI*BB28),0))</f>
        <v>0</v>
      </c>
      <c r="BB29" s="207">
        <f>+IF($B29&gt;Coverage,0,ROUND(BA29*(1+VLOOKUP(BA$3,Assumption!$H$35:$K$43,4,0))^0.5,0))</f>
        <v>0</v>
      </c>
      <c r="BC29" s="207">
        <f>+IF($B29="",0,(1-VLOOKUP(MIN($B29,6),Assumption!$M$10:$N$16,2))*BB29)</f>
        <v>0</v>
      </c>
    </row>
    <row r="30" ht="14.25" customHeight="1">
      <c r="A30" s="126">
        <v>23.0</v>
      </c>
      <c r="B30" s="129" t="str">
        <f>+IF(A30&gt;Coverage,"",A30)</f>
        <v/>
      </c>
      <c r="C30" s="134" t="str">
        <f>+IF(B30=1,Insured_Age,IF(B30="","",C29+1))</f>
        <v/>
      </c>
      <c r="D30" s="134" t="str">
        <f>+IF(B30&gt;Coverage,"",IF(B30=1,input!$H$11,D29+1))</f>
        <v/>
      </c>
      <c r="E30" s="134" t="str">
        <f>IF(B30=1,premi_dasar,IF(B30&gt;Coverage,"",0))</f>
        <v/>
      </c>
      <c r="F30" s="134" t="str">
        <f>IF(B30&gt;Coverage,"",SUM(E30))</f>
        <v/>
      </c>
      <c r="G30" s="134" t="str">
        <f>IF(B30&gt;Coverage,"",SUMIFS(input!$E$38:$E$50,input!$C$38:$C$50,$C30))</f>
        <v/>
      </c>
      <c r="H30" s="134" t="str">
        <f>IF(B30&gt;Coverage,"",SUMIFS(input!$E$53:$E$87,input!$C$53:$C$87,$C30))</f>
        <v/>
      </c>
      <c r="I30" s="66" t="str">
        <f>+IF(B30="","",Sum_Assured*VLOOKUP(MIN(C30,10),Assumption!$M$19:$N$28,2,0))</f>
        <v/>
      </c>
      <c r="J30" s="66" t="str">
        <f>IF(B30="","",input!$D$33)</f>
        <v/>
      </c>
      <c r="K30" s="66" t="str">
        <f>IF(B30&gt;Coverage,"",VLOOKUP($C30,COI_Tab[],IF(sex="Male",2,3),0)*I30*(1+EM_Basic)/1000)</f>
        <v/>
      </c>
      <c r="L30" s="66" t="str">
        <f>IF(B30&gt;Coverage,"",VLOOKUP($C30,COI_Tab[],4,0)*J30*(1+EM_Basic)/1000)</f>
        <v/>
      </c>
      <c r="M30" s="207" t="str">
        <f>IF(B30&gt;Coverage,"",ROUND(K30+L30,0))</f>
        <v/>
      </c>
      <c r="N30" s="134" t="str">
        <f>IF(B30&gt;Coverage,"",VLOOKUP($B30,Assumption!$H$11:$I$15,2)*E30)</f>
        <v/>
      </c>
      <c r="O30" s="134" t="str">
        <f>IF(B30&gt;Coverage,"",Assumption!$J$11*$G30)</f>
        <v/>
      </c>
      <c r="P30" s="134" t="str">
        <f>IF(B30&gt;Coverage,"",H30*VLOOKUP(MIN(B30,6),Assumption!$M$11:$N$16,2,0))</f>
        <v/>
      </c>
      <c r="Q30" s="134" t="str">
        <f>IF(B30&gt;Coverage,"",SUM(N30:P30))</f>
        <v/>
      </c>
      <c r="R30" s="207" t="str">
        <f>+IF($B30&gt;Coverage,"",Assumption!$I$18*12)</f>
        <v/>
      </c>
      <c r="S30" s="208" t="str">
        <f>+IF($B30&gt;Coverage,"",Assumption!$I$20)</f>
        <v/>
      </c>
      <c r="T30" s="207">
        <f>+IF($B30&gt;Coverage,0,ROUND((U29+($F30+$G30-$H30-$Q30)*PML_LF)*(1+VLOOKUP(T$3,Assumption!$H$35:$K$43,2,0))^0.5-($M30+$R30)*PML_LF-($S30*PML_LF*U29),0))</f>
        <v>0</v>
      </c>
      <c r="U30" s="207">
        <f>+IF($B30&gt;Coverage,0,ROUND(T30*(1+VLOOKUP(T$3,Assumption!$H$35:$K$43,2,0))^0.5,0))</f>
        <v>0</v>
      </c>
      <c r="V30" s="207">
        <f>+IF($B30="",0,(1-VLOOKUP(MIN($B30,6),Assumption!$M$10:$N$16,2))*U30)</f>
        <v>0</v>
      </c>
      <c r="W30" s="207">
        <f>+IF($B30&gt;Coverage,0,ROUND((X29+($F30+$G30-$H30-$Q30)*PML_BF)*(1+VLOOKUP(W$3,Assumption!$H$35:$K$43,2,0))^0.5-($M30+$R30)*PML_BF-($S30*PML_BF*X29),0))</f>
        <v>0</v>
      </c>
      <c r="X30" s="207">
        <f>+IF($B30&gt;Coverage,0,ROUND(W30*(1+VLOOKUP(W$3,Assumption!$H$35:$K$43,2,0))^0.5,0))</f>
        <v>0</v>
      </c>
      <c r="Y30" s="207">
        <f>+IF($B30="",0,(1-VLOOKUP(MIN($B30,6),Assumption!$M$10:$N$16,2))*X30)</f>
        <v>0</v>
      </c>
      <c r="Z30" s="207">
        <f>+IF($B30&gt;Coverage,0,ROUND((AA29+($F30+$G30-$H30-$Q30)*PML_EF)*(1+VLOOKUP(Z$3,Assumption!$H$35:$K$43,2,0))^0.5-($M30+$R30)*PML_EF-($S30*PML_EF*AA29),0))</f>
        <v>0</v>
      </c>
      <c r="AA30" s="207">
        <f>+IF($B30&gt;Coverage,0,ROUND(Z30*(1+VLOOKUP(Z$3,Assumption!$H$35:$K$43,2,0))^0.5,0))</f>
        <v>0</v>
      </c>
      <c r="AB30" s="207">
        <f>+IF($B30="",0,(1-VLOOKUP(MIN($B30,6),Assumption!$M$10:$N$16,2))*AA30)</f>
        <v>0</v>
      </c>
      <c r="AC30" s="207">
        <f>+IF($B30&gt;Coverage,0,ROUND((AD29+($F30+$G30-$H30-$Q30)*PML_FI)*(1+VLOOKUP(AC$3,Assumption!$H$35:$K$43,2,0))^0.5-($M30+$R30)*PML_FI-($S30*PML_FI*AD29),0))</f>
        <v>0</v>
      </c>
      <c r="AD30" s="207">
        <f>+IF($B30&gt;Coverage,0,ROUND(AC30*(1+VLOOKUP(AC$3,Assumption!$H$35:$K$43,2,0))^0.5,0))</f>
        <v>0</v>
      </c>
      <c r="AE30" s="207">
        <f>+IF($B30="",0,(1-VLOOKUP(MIN($B30,6),Assumption!$M$10:$N$16,2))*AD30)</f>
        <v>0</v>
      </c>
      <c r="AF30" s="207">
        <f>+IF($B30&gt;Coverage,0,ROUND((AG29+($F30+$G30-$H30-$Q30)*PML_LF)*(1+VLOOKUP(AF$3,Assumption!$H$35:$K$43,3,0))^0.5-($M30+$R30)*PML_LF-($S30*PML_LF*AG29),0))</f>
        <v>0</v>
      </c>
      <c r="AG30" s="207">
        <f>+IF($B30&gt;Coverage,0,ROUND(AF30*(1+VLOOKUP(AF$3,Assumption!$H$35:$K$43,3,0))^0.5,0))</f>
        <v>0</v>
      </c>
      <c r="AH30" s="207">
        <f>+IF($B30="",0,(1-VLOOKUP(MIN($B30,6),Assumption!$M$10:$N$16,2))*AG30)</f>
        <v>0</v>
      </c>
      <c r="AI30" s="207">
        <f>+IF($B30&gt;Coverage,0,ROUND((AJ29+($F30+$G30-$H30-$Q30)*PML_BF)*(1+VLOOKUP(AI$3,Assumption!$H$35:$K$43,3,0))^0.5-($M30+$R30)*PML_BF-($S30*PML_BF*AJ29),0))</f>
        <v>0</v>
      </c>
      <c r="AJ30" s="207">
        <f>+IF($B30&gt;Coverage,0,ROUND(AI30*(1+VLOOKUP(AI$3,Assumption!$H$35:$K$43,3,0))^0.5,0))</f>
        <v>0</v>
      </c>
      <c r="AK30" s="207">
        <f>+IF($B30="",0,(1-VLOOKUP(MIN($B30,6),Assumption!$M$10:$N$16,2))*AJ30)</f>
        <v>0</v>
      </c>
      <c r="AL30" s="207">
        <f>+IF($B30&gt;Coverage,0,ROUND((AM29+($F30+$G30-$H30-$Q30)*PML_EF)*(1+VLOOKUP(AL$3,Assumption!$H$35:$K$43,3,0))^0.5-($M30+$R30)*PML_EF-($S30*PML_EF*AM29),0))</f>
        <v>0</v>
      </c>
      <c r="AM30" s="207">
        <f>+IF($B30&gt;Coverage,0,ROUND(AL30*(1+VLOOKUP(AL$3,Assumption!$H$35:$K$43,3,0))^0.5,0))</f>
        <v>0</v>
      </c>
      <c r="AN30" s="207">
        <f>+IF($B30="",0,(1-VLOOKUP(MIN($B30,6),Assumption!$M$10:$N$16,2))*AM30)</f>
        <v>0</v>
      </c>
      <c r="AO30" s="207">
        <f>+IF($B30&gt;Coverage,0,ROUND((AP29+($F30+$G30-$H30-$Q30)*PML_FI)*(1+VLOOKUP(AO$3,Assumption!$H$35:$K$43,3,0))^0.5-($M30+$R30)*PML_FI-($S30*PML_FI*AP29),0))</f>
        <v>0</v>
      </c>
      <c r="AP30" s="207">
        <f>+IF($B30&gt;Coverage,0,ROUND(AO30*(1+VLOOKUP(AO$3,Assumption!$H$35:$K$43,3,0))^0.5,0))</f>
        <v>0</v>
      </c>
      <c r="AQ30" s="207">
        <f>+IF($B30="",0,(1-VLOOKUP(MIN($B30,6),Assumption!$M$10:$N$16,2))*AP30)</f>
        <v>0</v>
      </c>
      <c r="AR30" s="207">
        <f>+IF($B30&gt;Coverage,0,ROUND((AS29+($F30+$G30-$H30-$Q30)*PML_LF)*(1+VLOOKUP(AR$3,Assumption!$H$35:$K$43,4,0))^0.5-($M30+$R30)*PML_LF-($S30*PML_LF*AS29),0))</f>
        <v>0</v>
      </c>
      <c r="AS30" s="207">
        <f>+IF($B30&gt;Coverage,0,ROUND(AR30*(1+VLOOKUP(AR$3,Assumption!$H$35:$K$43,4,0))^0.5,0))</f>
        <v>0</v>
      </c>
      <c r="AT30" s="207">
        <f>+IF($B30="",0,(1-VLOOKUP(MIN($B30,6),Assumption!$M$10:$N$16,2))*AS30)</f>
        <v>0</v>
      </c>
      <c r="AU30" s="207">
        <f>+IF($B30&gt;Coverage,0,ROUND((AV29+($F30+$G30-$H30-$Q30)*PML_BF)*(1+VLOOKUP(AU$3,Assumption!$H$35:$K$43,4,0))^0.5-($M30+$R30)*PML_BF-($S30*PML_BF*AV29),0))</f>
        <v>0</v>
      </c>
      <c r="AV30" s="207">
        <f>+IF($B30&gt;Coverage,0,ROUND(AU30*(1+VLOOKUP(AU$3,Assumption!$H$35:$K$43,4,0))^0.5,0))</f>
        <v>0</v>
      </c>
      <c r="AW30" s="207">
        <f>+IF($B30="",0,(1-VLOOKUP(MIN($B30,6),Assumption!$M$10:$N$16,2))*AV30)</f>
        <v>0</v>
      </c>
      <c r="AX30" s="207">
        <f>+IF($B30&gt;Coverage,0,ROUND((AY29+($F30+$G30-$H30-$Q30)*PML_EF)*(1+VLOOKUP(AX$3,Assumption!$H$35:$K$43,4,0))^0.5-($M30+$R30)*PML_EF-($S30*PML_EF*AY29),0))</f>
        <v>0</v>
      </c>
      <c r="AY30" s="207">
        <f>+IF($B30&gt;Coverage,0,ROUND(AX30*(1+VLOOKUP(AX$3,Assumption!$H$35:$K$43,4,0))^0.5,0))</f>
        <v>0</v>
      </c>
      <c r="AZ30" s="207">
        <f>+IF($B30="",0,(1-VLOOKUP(MIN($B30,6),Assumption!$M$10:$N$16,2))*AY30)</f>
        <v>0</v>
      </c>
      <c r="BA30" s="207">
        <f>+IF($B30&gt;Coverage,0,ROUND((BB29+($F30+$G30-$H30-$Q30)*PML_FI)*(1+VLOOKUP(BA$3,Assumption!$H$35:$K$43,4,0))^0.5-($M30+$R30)*PML_FI-($S30*PML_FI*BB29),0))</f>
        <v>0</v>
      </c>
      <c r="BB30" s="207">
        <f>+IF($B30&gt;Coverage,0,ROUND(BA30*(1+VLOOKUP(BA$3,Assumption!$H$35:$K$43,4,0))^0.5,0))</f>
        <v>0</v>
      </c>
      <c r="BC30" s="207">
        <f>+IF($B30="",0,(1-VLOOKUP(MIN($B30,6),Assumption!$M$10:$N$16,2))*BB30)</f>
        <v>0</v>
      </c>
    </row>
    <row r="31" ht="14.25" customHeight="1">
      <c r="A31" s="126">
        <v>24.0</v>
      </c>
      <c r="B31" s="129" t="str">
        <f>+IF(A31&gt;Coverage,"",A31)</f>
        <v/>
      </c>
      <c r="C31" s="134" t="str">
        <f>+IF(B31=1,Insured_Age,IF(B31="","",C30+1))</f>
        <v/>
      </c>
      <c r="D31" s="134" t="str">
        <f>+IF(B31&gt;Coverage,"",IF(B31=1,input!$H$11,D30+1))</f>
        <v/>
      </c>
      <c r="E31" s="134" t="str">
        <f>IF(B31=1,premi_dasar,IF(B31&gt;Coverage,"",0))</f>
        <v/>
      </c>
      <c r="F31" s="134" t="str">
        <f>IF(B31&gt;Coverage,"",SUM(E31))</f>
        <v/>
      </c>
      <c r="G31" s="134" t="str">
        <f>IF(B31&gt;Coverage,"",SUMIFS(input!$E$38:$E$50,input!$C$38:$C$50,$C31))</f>
        <v/>
      </c>
      <c r="H31" s="134" t="str">
        <f>IF(B31&gt;Coverage,"",SUMIFS(input!$E$53:$E$87,input!$C$53:$C$87,$C31))</f>
        <v/>
      </c>
      <c r="I31" s="66" t="str">
        <f>+IF(B31="","",Sum_Assured*VLOOKUP(MIN(C31,10),Assumption!$M$19:$N$28,2,0))</f>
        <v/>
      </c>
      <c r="J31" s="66" t="str">
        <f>IF(B31="","",input!$D$33)</f>
        <v/>
      </c>
      <c r="K31" s="66" t="str">
        <f>IF(B31&gt;Coverage,"",VLOOKUP($C31,COI_Tab[],IF(sex="Male",2,3),0)*I31*(1+EM_Basic)/1000)</f>
        <v/>
      </c>
      <c r="L31" s="66" t="str">
        <f>IF(B31&gt;Coverage,"",VLOOKUP($C31,COI_Tab[],4,0)*J31*(1+EM_Basic)/1000)</f>
        <v/>
      </c>
      <c r="M31" s="207" t="str">
        <f>IF(B31&gt;Coverage,"",ROUND(K31+L31,0))</f>
        <v/>
      </c>
      <c r="N31" s="134" t="str">
        <f>IF(B31&gt;Coverage,"",VLOOKUP($B31,Assumption!$H$11:$I$15,2)*E31)</f>
        <v/>
      </c>
      <c r="O31" s="134" t="str">
        <f>IF(B31&gt;Coverage,"",Assumption!$J$11*$G31)</f>
        <v/>
      </c>
      <c r="P31" s="134" t="str">
        <f>IF(B31&gt;Coverage,"",H31*VLOOKUP(MIN(B31,6),Assumption!$M$11:$N$16,2,0))</f>
        <v/>
      </c>
      <c r="Q31" s="134" t="str">
        <f>IF(B31&gt;Coverage,"",SUM(N31:P31))</f>
        <v/>
      </c>
      <c r="R31" s="207" t="str">
        <f>+IF($B31&gt;Coverage,"",Assumption!$I$18*12)</f>
        <v/>
      </c>
      <c r="S31" s="208" t="str">
        <f>+IF($B31&gt;Coverage,"",Assumption!$I$20)</f>
        <v/>
      </c>
      <c r="T31" s="207">
        <f>+IF($B31&gt;Coverage,0,ROUND((U30+($F31+$G31-$H31-$Q31)*PML_LF)*(1+VLOOKUP(T$3,Assumption!$H$35:$K$43,2,0))^0.5-($M31+$R31)*PML_LF-($S31*PML_LF*U30),0))</f>
        <v>0</v>
      </c>
      <c r="U31" s="207">
        <f>+IF($B31&gt;Coverage,0,ROUND(T31*(1+VLOOKUP(T$3,Assumption!$H$35:$K$43,2,0))^0.5,0))</f>
        <v>0</v>
      </c>
      <c r="V31" s="207">
        <f>+IF($B31="",0,(1-VLOOKUP(MIN($B31,6),Assumption!$M$10:$N$16,2))*U31)</f>
        <v>0</v>
      </c>
      <c r="W31" s="207">
        <f>+IF($B31&gt;Coverage,0,ROUND((X30+($F31+$G31-$H31-$Q31)*PML_BF)*(1+VLOOKUP(W$3,Assumption!$H$35:$K$43,2,0))^0.5-($M31+$R31)*PML_BF-($S31*PML_BF*X30),0))</f>
        <v>0</v>
      </c>
      <c r="X31" s="207">
        <f>+IF($B31&gt;Coverage,0,ROUND(W31*(1+VLOOKUP(W$3,Assumption!$H$35:$K$43,2,0))^0.5,0))</f>
        <v>0</v>
      </c>
      <c r="Y31" s="207">
        <f>+IF($B31="",0,(1-VLOOKUP(MIN($B31,6),Assumption!$M$10:$N$16,2))*X31)</f>
        <v>0</v>
      </c>
      <c r="Z31" s="207">
        <f>+IF($B31&gt;Coverage,0,ROUND((AA30+($F31+$G31-$H31-$Q31)*PML_EF)*(1+VLOOKUP(Z$3,Assumption!$H$35:$K$43,2,0))^0.5-($M31+$R31)*PML_EF-($S31*PML_EF*AA30),0))</f>
        <v>0</v>
      </c>
      <c r="AA31" s="207">
        <f>+IF($B31&gt;Coverage,0,ROUND(Z31*(1+VLOOKUP(Z$3,Assumption!$H$35:$K$43,2,0))^0.5,0))</f>
        <v>0</v>
      </c>
      <c r="AB31" s="207">
        <f>+IF($B31="",0,(1-VLOOKUP(MIN($B31,6),Assumption!$M$10:$N$16,2))*AA31)</f>
        <v>0</v>
      </c>
      <c r="AC31" s="207">
        <f>+IF($B31&gt;Coverage,0,ROUND((AD30+($F31+$G31-$H31-$Q31)*PML_FI)*(1+VLOOKUP(AC$3,Assumption!$H$35:$K$43,2,0))^0.5-($M31+$R31)*PML_FI-($S31*PML_FI*AD30),0))</f>
        <v>0</v>
      </c>
      <c r="AD31" s="207">
        <f>+IF($B31&gt;Coverage,0,ROUND(AC31*(1+VLOOKUP(AC$3,Assumption!$H$35:$K$43,2,0))^0.5,0))</f>
        <v>0</v>
      </c>
      <c r="AE31" s="207">
        <f>+IF($B31="",0,(1-VLOOKUP(MIN($B31,6),Assumption!$M$10:$N$16,2))*AD31)</f>
        <v>0</v>
      </c>
      <c r="AF31" s="207">
        <f>+IF($B31&gt;Coverage,0,ROUND((AG30+($F31+$G31-$H31-$Q31)*PML_LF)*(1+VLOOKUP(AF$3,Assumption!$H$35:$K$43,3,0))^0.5-($M31+$R31)*PML_LF-($S31*PML_LF*AG30),0))</f>
        <v>0</v>
      </c>
      <c r="AG31" s="207">
        <f>+IF($B31&gt;Coverage,0,ROUND(AF31*(1+VLOOKUP(AF$3,Assumption!$H$35:$K$43,3,0))^0.5,0))</f>
        <v>0</v>
      </c>
      <c r="AH31" s="207">
        <f>+IF($B31="",0,(1-VLOOKUP(MIN($B31,6),Assumption!$M$10:$N$16,2))*AG31)</f>
        <v>0</v>
      </c>
      <c r="AI31" s="207">
        <f>+IF($B31&gt;Coverage,0,ROUND((AJ30+($F31+$G31-$H31-$Q31)*PML_BF)*(1+VLOOKUP(AI$3,Assumption!$H$35:$K$43,3,0))^0.5-($M31+$R31)*PML_BF-($S31*PML_BF*AJ30),0))</f>
        <v>0</v>
      </c>
      <c r="AJ31" s="207">
        <f>+IF($B31&gt;Coverage,0,ROUND(AI31*(1+VLOOKUP(AI$3,Assumption!$H$35:$K$43,3,0))^0.5,0))</f>
        <v>0</v>
      </c>
      <c r="AK31" s="207">
        <f>+IF($B31="",0,(1-VLOOKUP(MIN($B31,6),Assumption!$M$10:$N$16,2))*AJ31)</f>
        <v>0</v>
      </c>
      <c r="AL31" s="207">
        <f>+IF($B31&gt;Coverage,0,ROUND((AM30+($F31+$G31-$H31-$Q31)*PML_EF)*(1+VLOOKUP(AL$3,Assumption!$H$35:$K$43,3,0))^0.5-($M31+$R31)*PML_EF-($S31*PML_EF*AM30),0))</f>
        <v>0</v>
      </c>
      <c r="AM31" s="207">
        <f>+IF($B31&gt;Coverage,0,ROUND(AL31*(1+VLOOKUP(AL$3,Assumption!$H$35:$K$43,3,0))^0.5,0))</f>
        <v>0</v>
      </c>
      <c r="AN31" s="207">
        <f>+IF($B31="",0,(1-VLOOKUP(MIN($B31,6),Assumption!$M$10:$N$16,2))*AM31)</f>
        <v>0</v>
      </c>
      <c r="AO31" s="207">
        <f>+IF($B31&gt;Coverage,0,ROUND((AP30+($F31+$G31-$H31-$Q31)*PML_FI)*(1+VLOOKUP(AO$3,Assumption!$H$35:$K$43,3,0))^0.5-($M31+$R31)*PML_FI-($S31*PML_FI*AP30),0))</f>
        <v>0</v>
      </c>
      <c r="AP31" s="207">
        <f>+IF($B31&gt;Coverage,0,ROUND(AO31*(1+VLOOKUP(AO$3,Assumption!$H$35:$K$43,3,0))^0.5,0))</f>
        <v>0</v>
      </c>
      <c r="AQ31" s="207">
        <f>+IF($B31="",0,(1-VLOOKUP(MIN($B31,6),Assumption!$M$10:$N$16,2))*AP31)</f>
        <v>0</v>
      </c>
      <c r="AR31" s="207">
        <f>+IF($B31&gt;Coverage,0,ROUND((AS30+($F31+$G31-$H31-$Q31)*PML_LF)*(1+VLOOKUP(AR$3,Assumption!$H$35:$K$43,4,0))^0.5-($M31+$R31)*PML_LF-($S31*PML_LF*AS30),0))</f>
        <v>0</v>
      </c>
      <c r="AS31" s="207">
        <f>+IF($B31&gt;Coverage,0,ROUND(AR31*(1+VLOOKUP(AR$3,Assumption!$H$35:$K$43,4,0))^0.5,0))</f>
        <v>0</v>
      </c>
      <c r="AT31" s="207">
        <f>+IF($B31="",0,(1-VLOOKUP(MIN($B31,6),Assumption!$M$10:$N$16,2))*AS31)</f>
        <v>0</v>
      </c>
      <c r="AU31" s="207">
        <f>+IF($B31&gt;Coverage,0,ROUND((AV30+($F31+$G31-$H31-$Q31)*PML_BF)*(1+VLOOKUP(AU$3,Assumption!$H$35:$K$43,4,0))^0.5-($M31+$R31)*PML_BF-($S31*PML_BF*AV30),0))</f>
        <v>0</v>
      </c>
      <c r="AV31" s="207">
        <f>+IF($B31&gt;Coverage,0,ROUND(AU31*(1+VLOOKUP(AU$3,Assumption!$H$35:$K$43,4,0))^0.5,0))</f>
        <v>0</v>
      </c>
      <c r="AW31" s="207">
        <f>+IF($B31="",0,(1-VLOOKUP(MIN($B31,6),Assumption!$M$10:$N$16,2))*AV31)</f>
        <v>0</v>
      </c>
      <c r="AX31" s="207">
        <f>+IF($B31&gt;Coverage,0,ROUND((AY30+($F31+$G31-$H31-$Q31)*PML_EF)*(1+VLOOKUP(AX$3,Assumption!$H$35:$K$43,4,0))^0.5-($M31+$R31)*PML_EF-($S31*PML_EF*AY30),0))</f>
        <v>0</v>
      </c>
      <c r="AY31" s="207">
        <f>+IF($B31&gt;Coverage,0,ROUND(AX31*(1+VLOOKUP(AX$3,Assumption!$H$35:$K$43,4,0))^0.5,0))</f>
        <v>0</v>
      </c>
      <c r="AZ31" s="207">
        <f>+IF($B31="",0,(1-VLOOKUP(MIN($B31,6),Assumption!$M$10:$N$16,2))*AY31)</f>
        <v>0</v>
      </c>
      <c r="BA31" s="207">
        <f>+IF($B31&gt;Coverage,0,ROUND((BB30+($F31+$G31-$H31-$Q31)*PML_FI)*(1+VLOOKUP(BA$3,Assumption!$H$35:$K$43,4,0))^0.5-($M31+$R31)*PML_FI-($S31*PML_FI*BB30),0))</f>
        <v>0</v>
      </c>
      <c r="BB31" s="207">
        <f>+IF($B31&gt;Coverage,0,ROUND(BA31*(1+VLOOKUP(BA$3,Assumption!$H$35:$K$43,4,0))^0.5,0))</f>
        <v>0</v>
      </c>
      <c r="BC31" s="207">
        <f>+IF($B31="",0,(1-VLOOKUP(MIN($B31,6),Assumption!$M$10:$N$16,2))*BB31)</f>
        <v>0</v>
      </c>
    </row>
    <row r="32" ht="14.25" customHeight="1">
      <c r="A32" s="126">
        <v>25.0</v>
      </c>
      <c r="B32" s="129" t="str">
        <f>+IF(A32&gt;Coverage,"",A32)</f>
        <v/>
      </c>
      <c r="C32" s="134" t="str">
        <f>+IF(B32=1,Insured_Age,IF(B32="","",C31+1))</f>
        <v/>
      </c>
      <c r="D32" s="134" t="str">
        <f>+IF(B32&gt;Coverage,"",IF(B32=1,input!$H$11,D31+1))</f>
        <v/>
      </c>
      <c r="E32" s="134" t="str">
        <f>IF(B32=1,premi_dasar,IF(B32&gt;Coverage,"",0))</f>
        <v/>
      </c>
      <c r="F32" s="134" t="str">
        <f>IF(B32&gt;Coverage,"",SUM(E32))</f>
        <v/>
      </c>
      <c r="G32" s="134" t="str">
        <f>IF(B32&gt;Coverage,"",SUMIFS(input!$E$38:$E$50,input!$C$38:$C$50,$C32))</f>
        <v/>
      </c>
      <c r="H32" s="134" t="str">
        <f>IF(B32&gt;Coverage,"",SUMIFS(input!$E$53:$E$87,input!$C$53:$C$87,$C32))</f>
        <v/>
      </c>
      <c r="I32" s="66" t="str">
        <f>+IF(B32="","",Sum_Assured*VLOOKUP(MIN(C32,10),Assumption!$M$19:$N$28,2,0))</f>
        <v/>
      </c>
      <c r="J32" s="66" t="str">
        <f>IF(B32="","",input!$D$33)</f>
        <v/>
      </c>
      <c r="K32" s="66" t="str">
        <f>IF(B32&gt;Coverage,"",VLOOKUP($C32,COI_Tab[],IF(sex="Male",2,3),0)*I32*(1+EM_Basic)/1000)</f>
        <v/>
      </c>
      <c r="L32" s="66" t="str">
        <f>IF(B32&gt;Coverage,"",VLOOKUP($C32,COI_Tab[],4,0)*J32*(1+EM_Basic)/1000)</f>
        <v/>
      </c>
      <c r="M32" s="207" t="str">
        <f>IF(B32&gt;Coverage,"",ROUND(K32+L32,0))</f>
        <v/>
      </c>
      <c r="N32" s="134" t="str">
        <f>IF(B32&gt;Coverage,"",VLOOKUP($B32,Assumption!$H$11:$I$15,2)*E32)</f>
        <v/>
      </c>
      <c r="O32" s="134" t="str">
        <f>IF(B32&gt;Coverage,"",Assumption!$J$11*$G32)</f>
        <v/>
      </c>
      <c r="P32" s="134" t="str">
        <f>IF(B32&gt;Coverage,"",H32*VLOOKUP(MIN(B32,6),Assumption!$M$11:$N$16,2,0))</f>
        <v/>
      </c>
      <c r="Q32" s="134" t="str">
        <f>IF(B32&gt;Coverage,"",SUM(N32:P32))</f>
        <v/>
      </c>
      <c r="R32" s="207" t="str">
        <f>+IF($B32&gt;Coverage,"",Assumption!$I$18*12)</f>
        <v/>
      </c>
      <c r="S32" s="208" t="str">
        <f>+IF($B32&gt;Coverage,"",Assumption!$I$20)</f>
        <v/>
      </c>
      <c r="T32" s="207">
        <f>+IF($B32&gt;Coverage,0,ROUND((U31+($F32+$G32-$H32-$Q32)*PML_LF)*(1+VLOOKUP(T$3,Assumption!$H$35:$K$43,2,0))^0.5-($M32+$R32)*PML_LF-($S32*PML_LF*U31),0))</f>
        <v>0</v>
      </c>
      <c r="U32" s="207">
        <f>+IF($B32&gt;Coverage,0,ROUND(T32*(1+VLOOKUP(T$3,Assumption!$H$35:$K$43,2,0))^0.5,0))</f>
        <v>0</v>
      </c>
      <c r="V32" s="207">
        <f>+IF($B32="",0,(1-VLOOKUP(MIN($B32,6),Assumption!$M$10:$N$16,2))*U32)</f>
        <v>0</v>
      </c>
      <c r="W32" s="207">
        <f>+IF($B32&gt;Coverage,0,ROUND((X31+($F32+$G32-$H32-$Q32)*PML_BF)*(1+VLOOKUP(W$3,Assumption!$H$35:$K$43,2,0))^0.5-($M32+$R32)*PML_BF-($S32*PML_BF*X31),0))</f>
        <v>0</v>
      </c>
      <c r="X32" s="207">
        <f>+IF($B32&gt;Coverage,0,ROUND(W32*(1+VLOOKUP(W$3,Assumption!$H$35:$K$43,2,0))^0.5,0))</f>
        <v>0</v>
      </c>
      <c r="Y32" s="207">
        <f>+IF($B32="",0,(1-VLOOKUP(MIN($B32,6),Assumption!$M$10:$N$16,2))*X32)</f>
        <v>0</v>
      </c>
      <c r="Z32" s="207">
        <f>+IF($B32&gt;Coverage,0,ROUND((AA31+($F32+$G32-$H32-$Q32)*PML_EF)*(1+VLOOKUP(Z$3,Assumption!$H$35:$K$43,2,0))^0.5-($M32+$R32)*PML_EF-($S32*PML_EF*AA31),0))</f>
        <v>0</v>
      </c>
      <c r="AA32" s="207">
        <f>+IF($B32&gt;Coverage,0,ROUND(Z32*(1+VLOOKUP(Z$3,Assumption!$H$35:$K$43,2,0))^0.5,0))</f>
        <v>0</v>
      </c>
      <c r="AB32" s="207">
        <f>+IF($B32="",0,(1-VLOOKUP(MIN($B32,6),Assumption!$M$10:$N$16,2))*AA32)</f>
        <v>0</v>
      </c>
      <c r="AC32" s="207">
        <f>+IF($B32&gt;Coverage,0,ROUND((AD31+($F32+$G32-$H32-$Q32)*PML_FI)*(1+VLOOKUP(AC$3,Assumption!$H$35:$K$43,2,0))^0.5-($M32+$R32)*PML_FI-($S32*PML_FI*AD31),0))</f>
        <v>0</v>
      </c>
      <c r="AD32" s="207">
        <f>+IF($B32&gt;Coverage,0,ROUND(AC32*(1+VLOOKUP(AC$3,Assumption!$H$35:$K$43,2,0))^0.5,0))</f>
        <v>0</v>
      </c>
      <c r="AE32" s="207">
        <f>+IF($B32="",0,(1-VLOOKUP(MIN($B32,6),Assumption!$M$10:$N$16,2))*AD32)</f>
        <v>0</v>
      </c>
      <c r="AF32" s="207">
        <f>+IF($B32&gt;Coverage,0,ROUND((AG31+($F32+$G32-$H32-$Q32)*PML_LF)*(1+VLOOKUP(AF$3,Assumption!$H$35:$K$43,3,0))^0.5-($M32+$R32)*PML_LF-($S32*PML_LF*AG31),0))</f>
        <v>0</v>
      </c>
      <c r="AG32" s="207">
        <f>+IF($B32&gt;Coverage,0,ROUND(AF32*(1+VLOOKUP(AF$3,Assumption!$H$35:$K$43,3,0))^0.5,0))</f>
        <v>0</v>
      </c>
      <c r="AH32" s="207">
        <f>+IF($B32="",0,(1-VLOOKUP(MIN($B32,6),Assumption!$M$10:$N$16,2))*AG32)</f>
        <v>0</v>
      </c>
      <c r="AI32" s="207">
        <f>+IF($B32&gt;Coverage,0,ROUND((AJ31+($F32+$G32-$H32-$Q32)*PML_BF)*(1+VLOOKUP(AI$3,Assumption!$H$35:$K$43,3,0))^0.5-($M32+$R32)*PML_BF-($S32*PML_BF*AJ31),0))</f>
        <v>0</v>
      </c>
      <c r="AJ32" s="207">
        <f>+IF($B32&gt;Coverage,0,ROUND(AI32*(1+VLOOKUP(AI$3,Assumption!$H$35:$K$43,3,0))^0.5,0))</f>
        <v>0</v>
      </c>
      <c r="AK32" s="207">
        <f>+IF($B32="",0,(1-VLOOKUP(MIN($B32,6),Assumption!$M$10:$N$16,2))*AJ32)</f>
        <v>0</v>
      </c>
      <c r="AL32" s="207">
        <f>+IF($B32&gt;Coverage,0,ROUND((AM31+($F32+$G32-$H32-$Q32)*PML_EF)*(1+VLOOKUP(AL$3,Assumption!$H$35:$K$43,3,0))^0.5-($M32+$R32)*PML_EF-($S32*PML_EF*AM31),0))</f>
        <v>0</v>
      </c>
      <c r="AM32" s="207">
        <f>+IF($B32&gt;Coverage,0,ROUND(AL32*(1+VLOOKUP(AL$3,Assumption!$H$35:$K$43,3,0))^0.5,0))</f>
        <v>0</v>
      </c>
      <c r="AN32" s="207">
        <f>+IF($B32="",0,(1-VLOOKUP(MIN($B32,6),Assumption!$M$10:$N$16,2))*AM32)</f>
        <v>0</v>
      </c>
      <c r="AO32" s="207">
        <f>+IF($B32&gt;Coverage,0,ROUND((AP31+($F32+$G32-$H32-$Q32)*PML_FI)*(1+VLOOKUP(AO$3,Assumption!$H$35:$K$43,3,0))^0.5-($M32+$R32)*PML_FI-($S32*PML_FI*AP31),0))</f>
        <v>0</v>
      </c>
      <c r="AP32" s="207">
        <f>+IF($B32&gt;Coverage,0,ROUND(AO32*(1+VLOOKUP(AO$3,Assumption!$H$35:$K$43,3,0))^0.5,0))</f>
        <v>0</v>
      </c>
      <c r="AQ32" s="207">
        <f>+IF($B32="",0,(1-VLOOKUP(MIN($B32,6),Assumption!$M$10:$N$16,2))*AP32)</f>
        <v>0</v>
      </c>
      <c r="AR32" s="207">
        <f>+IF($B32&gt;Coverage,0,ROUND((AS31+($F32+$G32-$H32-$Q32)*PML_LF)*(1+VLOOKUP(AR$3,Assumption!$H$35:$K$43,4,0))^0.5-($M32+$R32)*PML_LF-($S32*PML_LF*AS31),0))</f>
        <v>0</v>
      </c>
      <c r="AS32" s="207">
        <f>+IF($B32&gt;Coverage,0,ROUND(AR32*(1+VLOOKUP(AR$3,Assumption!$H$35:$K$43,4,0))^0.5,0))</f>
        <v>0</v>
      </c>
      <c r="AT32" s="207">
        <f>+IF($B32="",0,(1-VLOOKUP(MIN($B32,6),Assumption!$M$10:$N$16,2))*AS32)</f>
        <v>0</v>
      </c>
      <c r="AU32" s="207">
        <f>+IF($B32&gt;Coverage,0,ROUND((AV31+($F32+$G32-$H32-$Q32)*PML_BF)*(1+VLOOKUP(AU$3,Assumption!$H$35:$K$43,4,0))^0.5-($M32+$R32)*PML_BF-($S32*PML_BF*AV31),0))</f>
        <v>0</v>
      </c>
      <c r="AV32" s="207">
        <f>+IF($B32&gt;Coverage,0,ROUND(AU32*(1+VLOOKUP(AU$3,Assumption!$H$35:$K$43,4,0))^0.5,0))</f>
        <v>0</v>
      </c>
      <c r="AW32" s="207">
        <f>+IF($B32="",0,(1-VLOOKUP(MIN($B32,6),Assumption!$M$10:$N$16,2))*AV32)</f>
        <v>0</v>
      </c>
      <c r="AX32" s="207">
        <f>+IF($B32&gt;Coverage,0,ROUND((AY31+($F32+$G32-$H32-$Q32)*PML_EF)*(1+VLOOKUP(AX$3,Assumption!$H$35:$K$43,4,0))^0.5-($M32+$R32)*PML_EF-($S32*PML_EF*AY31),0))</f>
        <v>0</v>
      </c>
      <c r="AY32" s="207">
        <f>+IF($B32&gt;Coverage,0,ROUND(AX32*(1+VLOOKUP(AX$3,Assumption!$H$35:$K$43,4,0))^0.5,0))</f>
        <v>0</v>
      </c>
      <c r="AZ32" s="207">
        <f>+IF($B32="",0,(1-VLOOKUP(MIN($B32,6),Assumption!$M$10:$N$16,2))*AY32)</f>
        <v>0</v>
      </c>
      <c r="BA32" s="207">
        <f>+IF($B32&gt;Coverage,0,ROUND((BB31+($F32+$G32-$H32-$Q32)*PML_FI)*(1+VLOOKUP(BA$3,Assumption!$H$35:$K$43,4,0))^0.5-($M32+$R32)*PML_FI-($S32*PML_FI*BB31),0))</f>
        <v>0</v>
      </c>
      <c r="BB32" s="207">
        <f>+IF($B32&gt;Coverage,0,ROUND(BA32*(1+VLOOKUP(BA$3,Assumption!$H$35:$K$43,4,0))^0.5,0))</f>
        <v>0</v>
      </c>
      <c r="BC32" s="207">
        <f>+IF($B32="",0,(1-VLOOKUP(MIN($B32,6),Assumption!$M$10:$N$16,2))*BB32)</f>
        <v>0</v>
      </c>
    </row>
    <row r="33" ht="14.25" customHeight="1">
      <c r="A33" s="126">
        <v>26.0</v>
      </c>
      <c r="B33" s="129" t="str">
        <f>+IF(A33&gt;Coverage,"",A33)</f>
        <v/>
      </c>
      <c r="C33" s="134" t="str">
        <f>+IF(B33=1,Insured_Age,IF(B33="","",C32+1))</f>
        <v/>
      </c>
      <c r="D33" s="134" t="str">
        <f>+IF(B33&gt;Coverage,"",IF(B33=1,input!$H$11,D32+1))</f>
        <v/>
      </c>
      <c r="E33" s="134" t="str">
        <f>IF(B33=1,premi_dasar,IF(B33&gt;Coverage,"",0))</f>
        <v/>
      </c>
      <c r="F33" s="134" t="str">
        <f>IF(B33&gt;Coverage,"",SUM(E33))</f>
        <v/>
      </c>
      <c r="G33" s="134" t="str">
        <f>IF(B33&gt;Coverage,"",SUMIFS(input!$E$38:$E$50,input!$C$38:$C$50,$C33))</f>
        <v/>
      </c>
      <c r="H33" s="134" t="str">
        <f>IF(B33&gt;Coverage,"",SUMIFS(input!$E$53:$E$87,input!$C$53:$C$87,$C33))</f>
        <v/>
      </c>
      <c r="I33" s="66" t="str">
        <f>+IF(B33="","",Sum_Assured*VLOOKUP(MIN(C33,10),Assumption!$M$19:$N$28,2,0))</f>
        <v/>
      </c>
      <c r="J33" s="66" t="str">
        <f>IF(B33="","",input!$D$33)</f>
        <v/>
      </c>
      <c r="K33" s="66" t="str">
        <f>IF(B33&gt;Coverage,"",VLOOKUP($C33,COI_Tab[],IF(sex="Male",2,3),0)*I33*(1+EM_Basic)/1000)</f>
        <v/>
      </c>
      <c r="L33" s="66" t="str">
        <f>IF(B33&gt;Coverage,"",VLOOKUP($C33,COI_Tab[],4,0)*J33*(1+EM_Basic)/1000)</f>
        <v/>
      </c>
      <c r="M33" s="207" t="str">
        <f>IF(B33&gt;Coverage,"",ROUND(K33+L33,0))</f>
        <v/>
      </c>
      <c r="N33" s="134" t="str">
        <f>IF(B33&gt;Coverage,"",VLOOKUP($B33,Assumption!$H$11:$I$15,2)*E33)</f>
        <v/>
      </c>
      <c r="O33" s="134" t="str">
        <f>IF(B33&gt;Coverage,"",Assumption!$J$11*$G33)</f>
        <v/>
      </c>
      <c r="P33" s="134" t="str">
        <f>IF(B33&gt;Coverage,"",H33*VLOOKUP(MIN(B33,6),Assumption!$M$11:$N$16,2,0))</f>
        <v/>
      </c>
      <c r="Q33" s="134" t="str">
        <f>IF(B33&gt;Coverage,"",SUM(N33:P33))</f>
        <v/>
      </c>
      <c r="R33" s="207" t="str">
        <f>+IF($B33&gt;Coverage,"",Assumption!$I$18*12)</f>
        <v/>
      </c>
      <c r="S33" s="208" t="str">
        <f>+IF($B33&gt;Coverage,"",Assumption!$I$20)</f>
        <v/>
      </c>
      <c r="T33" s="207">
        <f>+IF($B33&gt;Coverage,0,ROUND((U32+($F33+$G33-$H33-$Q33)*PML_LF)*(1+VLOOKUP(T$3,Assumption!$H$35:$K$43,2,0))^0.5-($M33+$R33)*PML_LF-($S33*PML_LF*U32),0))</f>
        <v>0</v>
      </c>
      <c r="U33" s="207">
        <f>+IF($B33&gt;Coverage,0,ROUND(T33*(1+VLOOKUP(T$3,Assumption!$H$35:$K$43,2,0))^0.5,0))</f>
        <v>0</v>
      </c>
      <c r="V33" s="207">
        <f>+IF($B33="",0,(1-VLOOKUP(MIN($B33,6),Assumption!$M$10:$N$16,2))*U33)</f>
        <v>0</v>
      </c>
      <c r="W33" s="207">
        <f>+IF($B33&gt;Coverage,0,ROUND((X32+($F33+$G33-$H33-$Q33)*PML_BF)*(1+VLOOKUP(W$3,Assumption!$H$35:$K$43,2,0))^0.5-($M33+$R33)*PML_BF-($S33*PML_BF*X32),0))</f>
        <v>0</v>
      </c>
      <c r="X33" s="207">
        <f>+IF($B33&gt;Coverage,0,ROUND(W33*(1+VLOOKUP(W$3,Assumption!$H$35:$K$43,2,0))^0.5,0))</f>
        <v>0</v>
      </c>
      <c r="Y33" s="207">
        <f>+IF($B33="",0,(1-VLOOKUP(MIN($B33,6),Assumption!$M$10:$N$16,2))*X33)</f>
        <v>0</v>
      </c>
      <c r="Z33" s="207">
        <f>+IF($B33&gt;Coverage,0,ROUND((AA32+($F33+$G33-$H33-$Q33)*PML_EF)*(1+VLOOKUP(Z$3,Assumption!$H$35:$K$43,2,0))^0.5-($M33+$R33)*PML_EF-($S33*PML_EF*AA32),0))</f>
        <v>0</v>
      </c>
      <c r="AA33" s="207">
        <f>+IF($B33&gt;Coverage,0,ROUND(Z33*(1+VLOOKUP(Z$3,Assumption!$H$35:$K$43,2,0))^0.5,0))</f>
        <v>0</v>
      </c>
      <c r="AB33" s="207">
        <f>+IF($B33="",0,(1-VLOOKUP(MIN($B33,6),Assumption!$M$10:$N$16,2))*AA33)</f>
        <v>0</v>
      </c>
      <c r="AC33" s="207">
        <f>+IF($B33&gt;Coverage,0,ROUND((AD32+($F33+$G33-$H33-$Q33)*PML_FI)*(1+VLOOKUP(AC$3,Assumption!$H$35:$K$43,2,0))^0.5-($M33+$R33)*PML_FI-($S33*PML_FI*AD32),0))</f>
        <v>0</v>
      </c>
      <c r="AD33" s="207">
        <f>+IF($B33&gt;Coverage,0,ROUND(AC33*(1+VLOOKUP(AC$3,Assumption!$H$35:$K$43,2,0))^0.5,0))</f>
        <v>0</v>
      </c>
      <c r="AE33" s="207">
        <f>+IF($B33="",0,(1-VLOOKUP(MIN($B33,6),Assumption!$M$10:$N$16,2))*AD33)</f>
        <v>0</v>
      </c>
      <c r="AF33" s="207">
        <f>+IF($B33&gt;Coverage,0,ROUND((AG32+($F33+$G33-$H33-$Q33)*PML_LF)*(1+VLOOKUP(AF$3,Assumption!$H$35:$K$43,3,0))^0.5-($M33+$R33)*PML_LF-($S33*PML_LF*AG32),0))</f>
        <v>0</v>
      </c>
      <c r="AG33" s="207">
        <f>+IF($B33&gt;Coverage,0,ROUND(AF33*(1+VLOOKUP(AF$3,Assumption!$H$35:$K$43,3,0))^0.5,0))</f>
        <v>0</v>
      </c>
      <c r="AH33" s="207">
        <f>+IF($B33="",0,(1-VLOOKUP(MIN($B33,6),Assumption!$M$10:$N$16,2))*AG33)</f>
        <v>0</v>
      </c>
      <c r="AI33" s="207">
        <f>+IF($B33&gt;Coverage,0,ROUND((AJ32+($F33+$G33-$H33-$Q33)*PML_BF)*(1+VLOOKUP(AI$3,Assumption!$H$35:$K$43,3,0))^0.5-($M33+$R33)*PML_BF-($S33*PML_BF*AJ32),0))</f>
        <v>0</v>
      </c>
      <c r="AJ33" s="207">
        <f>+IF($B33&gt;Coverage,0,ROUND(AI33*(1+VLOOKUP(AI$3,Assumption!$H$35:$K$43,3,0))^0.5,0))</f>
        <v>0</v>
      </c>
      <c r="AK33" s="207">
        <f>+IF($B33="",0,(1-VLOOKUP(MIN($B33,6),Assumption!$M$10:$N$16,2))*AJ33)</f>
        <v>0</v>
      </c>
      <c r="AL33" s="207">
        <f>+IF($B33&gt;Coverage,0,ROUND((AM32+($F33+$G33-$H33-$Q33)*PML_EF)*(1+VLOOKUP(AL$3,Assumption!$H$35:$K$43,3,0))^0.5-($M33+$R33)*PML_EF-($S33*PML_EF*AM32),0))</f>
        <v>0</v>
      </c>
      <c r="AM33" s="207">
        <f>+IF($B33&gt;Coverage,0,ROUND(AL33*(1+VLOOKUP(AL$3,Assumption!$H$35:$K$43,3,0))^0.5,0))</f>
        <v>0</v>
      </c>
      <c r="AN33" s="207">
        <f>+IF($B33="",0,(1-VLOOKUP(MIN($B33,6),Assumption!$M$10:$N$16,2))*AM33)</f>
        <v>0</v>
      </c>
      <c r="AO33" s="207">
        <f>+IF($B33&gt;Coverage,0,ROUND((AP32+($F33+$G33-$H33-$Q33)*PML_FI)*(1+VLOOKUP(AO$3,Assumption!$H$35:$K$43,3,0))^0.5-($M33+$R33)*PML_FI-($S33*PML_FI*AP32),0))</f>
        <v>0</v>
      </c>
      <c r="AP33" s="207">
        <f>+IF($B33&gt;Coverage,0,ROUND(AO33*(1+VLOOKUP(AO$3,Assumption!$H$35:$K$43,3,0))^0.5,0))</f>
        <v>0</v>
      </c>
      <c r="AQ33" s="207">
        <f>+IF($B33="",0,(1-VLOOKUP(MIN($B33,6),Assumption!$M$10:$N$16,2))*AP33)</f>
        <v>0</v>
      </c>
      <c r="AR33" s="207">
        <f>+IF($B33&gt;Coverage,0,ROUND((AS32+($F33+$G33-$H33-$Q33)*PML_LF)*(1+VLOOKUP(AR$3,Assumption!$H$35:$K$43,4,0))^0.5-($M33+$R33)*PML_LF-($S33*PML_LF*AS32),0))</f>
        <v>0</v>
      </c>
      <c r="AS33" s="207">
        <f>+IF($B33&gt;Coverage,0,ROUND(AR33*(1+VLOOKUP(AR$3,Assumption!$H$35:$K$43,4,0))^0.5,0))</f>
        <v>0</v>
      </c>
      <c r="AT33" s="207">
        <f>+IF($B33="",0,(1-VLOOKUP(MIN($B33,6),Assumption!$M$10:$N$16,2))*AS33)</f>
        <v>0</v>
      </c>
      <c r="AU33" s="207">
        <f>+IF($B33&gt;Coverage,0,ROUND((AV32+($F33+$G33-$H33-$Q33)*PML_BF)*(1+VLOOKUP(AU$3,Assumption!$H$35:$K$43,4,0))^0.5-($M33+$R33)*PML_BF-($S33*PML_BF*AV32),0))</f>
        <v>0</v>
      </c>
      <c r="AV33" s="207">
        <f>+IF($B33&gt;Coverage,0,ROUND(AU33*(1+VLOOKUP(AU$3,Assumption!$H$35:$K$43,4,0))^0.5,0))</f>
        <v>0</v>
      </c>
      <c r="AW33" s="207">
        <f>+IF($B33="",0,(1-VLOOKUP(MIN($B33,6),Assumption!$M$10:$N$16,2))*AV33)</f>
        <v>0</v>
      </c>
      <c r="AX33" s="207">
        <f>+IF($B33&gt;Coverage,0,ROUND((AY32+($F33+$G33-$H33-$Q33)*PML_EF)*(1+VLOOKUP(AX$3,Assumption!$H$35:$K$43,4,0))^0.5-($M33+$R33)*PML_EF-($S33*PML_EF*AY32),0))</f>
        <v>0</v>
      </c>
      <c r="AY33" s="207">
        <f>+IF($B33&gt;Coverage,0,ROUND(AX33*(1+VLOOKUP(AX$3,Assumption!$H$35:$K$43,4,0))^0.5,0))</f>
        <v>0</v>
      </c>
      <c r="AZ33" s="207">
        <f>+IF($B33="",0,(1-VLOOKUP(MIN($B33,6),Assumption!$M$10:$N$16,2))*AY33)</f>
        <v>0</v>
      </c>
      <c r="BA33" s="207">
        <f>+IF($B33&gt;Coverage,0,ROUND((BB32+($F33+$G33-$H33-$Q33)*PML_FI)*(1+VLOOKUP(BA$3,Assumption!$H$35:$K$43,4,0))^0.5-($M33+$R33)*PML_FI-($S33*PML_FI*BB32),0))</f>
        <v>0</v>
      </c>
      <c r="BB33" s="207">
        <f>+IF($B33&gt;Coverage,0,ROUND(BA33*(1+VLOOKUP(BA$3,Assumption!$H$35:$K$43,4,0))^0.5,0))</f>
        <v>0</v>
      </c>
      <c r="BC33" s="207">
        <f>+IF($B33="",0,(1-VLOOKUP(MIN($B33,6),Assumption!$M$10:$N$16,2))*BB33)</f>
        <v>0</v>
      </c>
    </row>
    <row r="34" ht="14.25" customHeight="1">
      <c r="A34" s="126">
        <v>27.0</v>
      </c>
      <c r="B34" s="129" t="str">
        <f>+IF(A34&gt;Coverage,"",A34)</f>
        <v/>
      </c>
      <c r="C34" s="134" t="str">
        <f>+IF(B34=1,Insured_Age,IF(B34="","",C33+1))</f>
        <v/>
      </c>
      <c r="D34" s="134" t="str">
        <f>+IF(B34&gt;Coverage,"",IF(B34=1,input!$H$11,D33+1))</f>
        <v/>
      </c>
      <c r="E34" s="134" t="str">
        <f>IF(B34=1,premi_dasar,IF(B34&gt;Coverage,"",0))</f>
        <v/>
      </c>
      <c r="F34" s="134" t="str">
        <f>IF(B34&gt;Coverage,"",SUM(E34))</f>
        <v/>
      </c>
      <c r="G34" s="134" t="str">
        <f>IF(B34&gt;Coverage,"",SUMIFS(input!$E$38:$E$50,input!$C$38:$C$50,$C34))</f>
        <v/>
      </c>
      <c r="H34" s="134" t="str">
        <f>IF(B34&gt;Coverage,"",SUMIFS(input!$E$53:$E$87,input!$C$53:$C$87,$C34))</f>
        <v/>
      </c>
      <c r="I34" s="66" t="str">
        <f>+IF(B34="","",Sum_Assured*VLOOKUP(MIN(C34,10),Assumption!$M$19:$N$28,2,0))</f>
        <v/>
      </c>
      <c r="J34" s="66" t="str">
        <f>IF(B34="","",input!$D$33)</f>
        <v/>
      </c>
      <c r="K34" s="66" t="str">
        <f>IF(B34&gt;Coverage,"",VLOOKUP($C34,COI_Tab[],IF(sex="Male",2,3),0)*I34*(1+EM_Basic)/1000)</f>
        <v/>
      </c>
      <c r="L34" s="66" t="str">
        <f>IF(B34&gt;Coverage,"",VLOOKUP($C34,COI_Tab[],4,0)*J34*(1+EM_Basic)/1000)</f>
        <v/>
      </c>
      <c r="M34" s="207" t="str">
        <f>IF(B34&gt;Coverage,"",ROUND(K34+L34,0))</f>
        <v/>
      </c>
      <c r="N34" s="134" t="str">
        <f>IF(B34&gt;Coverage,"",VLOOKUP($B34,Assumption!$H$11:$I$15,2)*E34)</f>
        <v/>
      </c>
      <c r="O34" s="134" t="str">
        <f>IF(B34&gt;Coverage,"",Assumption!$J$11*$G34)</f>
        <v/>
      </c>
      <c r="P34" s="134" t="str">
        <f>IF(B34&gt;Coverage,"",H34*VLOOKUP(MIN(B34,6),Assumption!$M$11:$N$16,2,0))</f>
        <v/>
      </c>
      <c r="Q34" s="134" t="str">
        <f>IF(B34&gt;Coverage,"",SUM(N34:P34))</f>
        <v/>
      </c>
      <c r="R34" s="207" t="str">
        <f>+IF($B34&gt;Coverage,"",Assumption!$I$18*12)</f>
        <v/>
      </c>
      <c r="S34" s="208" t="str">
        <f>+IF($B34&gt;Coverage,"",Assumption!$I$20)</f>
        <v/>
      </c>
      <c r="T34" s="207">
        <f>+IF($B34&gt;Coverage,0,ROUND((U33+($F34+$G34-$H34-$Q34)*PML_LF)*(1+VLOOKUP(T$3,Assumption!$H$35:$K$43,2,0))^0.5-($M34+$R34)*PML_LF-($S34*PML_LF*U33),0))</f>
        <v>0</v>
      </c>
      <c r="U34" s="207">
        <f>+IF($B34&gt;Coverage,0,ROUND(T34*(1+VLOOKUP(T$3,Assumption!$H$35:$K$43,2,0))^0.5,0))</f>
        <v>0</v>
      </c>
      <c r="V34" s="207">
        <f>+IF($B34="",0,(1-VLOOKUP(MIN($B34,6),Assumption!$M$10:$N$16,2))*U34)</f>
        <v>0</v>
      </c>
      <c r="W34" s="207">
        <f>+IF($B34&gt;Coverage,0,ROUND((X33+($F34+$G34-$H34-$Q34)*PML_BF)*(1+VLOOKUP(W$3,Assumption!$H$35:$K$43,2,0))^0.5-($M34+$R34)*PML_BF-($S34*PML_BF*X33),0))</f>
        <v>0</v>
      </c>
      <c r="X34" s="207">
        <f>+IF($B34&gt;Coverage,0,ROUND(W34*(1+VLOOKUP(W$3,Assumption!$H$35:$K$43,2,0))^0.5,0))</f>
        <v>0</v>
      </c>
      <c r="Y34" s="207">
        <f>+IF($B34="",0,(1-VLOOKUP(MIN($B34,6),Assumption!$M$10:$N$16,2))*X34)</f>
        <v>0</v>
      </c>
      <c r="Z34" s="207">
        <f>+IF($B34&gt;Coverage,0,ROUND((AA33+($F34+$G34-$H34-$Q34)*PML_EF)*(1+VLOOKUP(Z$3,Assumption!$H$35:$K$43,2,0))^0.5-($M34+$R34)*PML_EF-($S34*PML_EF*AA33),0))</f>
        <v>0</v>
      </c>
      <c r="AA34" s="207">
        <f>+IF($B34&gt;Coverage,0,ROUND(Z34*(1+VLOOKUP(Z$3,Assumption!$H$35:$K$43,2,0))^0.5,0))</f>
        <v>0</v>
      </c>
      <c r="AB34" s="207">
        <f>+IF($B34="",0,(1-VLOOKUP(MIN($B34,6),Assumption!$M$10:$N$16,2))*AA34)</f>
        <v>0</v>
      </c>
      <c r="AC34" s="207">
        <f>+IF($B34&gt;Coverage,0,ROUND((AD33+($F34+$G34-$H34-$Q34)*PML_FI)*(1+VLOOKUP(AC$3,Assumption!$H$35:$K$43,2,0))^0.5-($M34+$R34)*PML_FI-($S34*PML_FI*AD33),0))</f>
        <v>0</v>
      </c>
      <c r="AD34" s="207">
        <f>+IF($B34&gt;Coverage,0,ROUND(AC34*(1+VLOOKUP(AC$3,Assumption!$H$35:$K$43,2,0))^0.5,0))</f>
        <v>0</v>
      </c>
      <c r="AE34" s="207">
        <f>+IF($B34="",0,(1-VLOOKUP(MIN($B34,6),Assumption!$M$10:$N$16,2))*AD34)</f>
        <v>0</v>
      </c>
      <c r="AF34" s="207">
        <f>+IF($B34&gt;Coverage,0,ROUND((AG33+($F34+$G34-$H34-$Q34)*PML_LF)*(1+VLOOKUP(AF$3,Assumption!$H$35:$K$43,3,0))^0.5-($M34+$R34)*PML_LF-($S34*PML_LF*AG33),0))</f>
        <v>0</v>
      </c>
      <c r="AG34" s="207">
        <f>+IF($B34&gt;Coverage,0,ROUND(AF34*(1+VLOOKUP(AF$3,Assumption!$H$35:$K$43,3,0))^0.5,0))</f>
        <v>0</v>
      </c>
      <c r="AH34" s="207">
        <f>+IF($B34="",0,(1-VLOOKUP(MIN($B34,6),Assumption!$M$10:$N$16,2))*AG34)</f>
        <v>0</v>
      </c>
      <c r="AI34" s="207">
        <f>+IF($B34&gt;Coverage,0,ROUND((AJ33+($F34+$G34-$H34-$Q34)*PML_BF)*(1+VLOOKUP(AI$3,Assumption!$H$35:$K$43,3,0))^0.5-($M34+$R34)*PML_BF-($S34*PML_BF*AJ33),0))</f>
        <v>0</v>
      </c>
      <c r="AJ34" s="207">
        <f>+IF($B34&gt;Coverage,0,ROUND(AI34*(1+VLOOKUP(AI$3,Assumption!$H$35:$K$43,3,0))^0.5,0))</f>
        <v>0</v>
      </c>
      <c r="AK34" s="207">
        <f>+IF($B34="",0,(1-VLOOKUP(MIN($B34,6),Assumption!$M$10:$N$16,2))*AJ34)</f>
        <v>0</v>
      </c>
      <c r="AL34" s="207">
        <f>+IF($B34&gt;Coverage,0,ROUND((AM33+($F34+$G34-$H34-$Q34)*PML_EF)*(1+VLOOKUP(AL$3,Assumption!$H$35:$K$43,3,0))^0.5-($M34+$R34)*PML_EF-($S34*PML_EF*AM33),0))</f>
        <v>0</v>
      </c>
      <c r="AM34" s="207">
        <f>+IF($B34&gt;Coverage,0,ROUND(AL34*(1+VLOOKUP(AL$3,Assumption!$H$35:$K$43,3,0))^0.5,0))</f>
        <v>0</v>
      </c>
      <c r="AN34" s="207">
        <f>+IF($B34="",0,(1-VLOOKUP(MIN($B34,6),Assumption!$M$10:$N$16,2))*AM34)</f>
        <v>0</v>
      </c>
      <c r="AO34" s="207">
        <f>+IF($B34&gt;Coverage,0,ROUND((AP33+($F34+$G34-$H34-$Q34)*PML_FI)*(1+VLOOKUP(AO$3,Assumption!$H$35:$K$43,3,0))^0.5-($M34+$R34)*PML_FI-($S34*PML_FI*AP33),0))</f>
        <v>0</v>
      </c>
      <c r="AP34" s="207">
        <f>+IF($B34&gt;Coverage,0,ROUND(AO34*(1+VLOOKUP(AO$3,Assumption!$H$35:$K$43,3,0))^0.5,0))</f>
        <v>0</v>
      </c>
      <c r="AQ34" s="207">
        <f>+IF($B34="",0,(1-VLOOKUP(MIN($B34,6),Assumption!$M$10:$N$16,2))*AP34)</f>
        <v>0</v>
      </c>
      <c r="AR34" s="207">
        <f>+IF($B34&gt;Coverage,0,ROUND((AS33+($F34+$G34-$H34-$Q34)*PML_LF)*(1+VLOOKUP(AR$3,Assumption!$H$35:$K$43,4,0))^0.5-($M34+$R34)*PML_LF-($S34*PML_LF*AS33),0))</f>
        <v>0</v>
      </c>
      <c r="AS34" s="207">
        <f>+IF($B34&gt;Coverage,0,ROUND(AR34*(1+VLOOKUP(AR$3,Assumption!$H$35:$K$43,4,0))^0.5,0))</f>
        <v>0</v>
      </c>
      <c r="AT34" s="207">
        <f>+IF($B34="",0,(1-VLOOKUP(MIN($B34,6),Assumption!$M$10:$N$16,2))*AS34)</f>
        <v>0</v>
      </c>
      <c r="AU34" s="207">
        <f>+IF($B34&gt;Coverage,0,ROUND((AV33+($F34+$G34-$H34-$Q34)*PML_BF)*(1+VLOOKUP(AU$3,Assumption!$H$35:$K$43,4,0))^0.5-($M34+$R34)*PML_BF-($S34*PML_BF*AV33),0))</f>
        <v>0</v>
      </c>
      <c r="AV34" s="207">
        <f>+IF($B34&gt;Coverage,0,ROUND(AU34*(1+VLOOKUP(AU$3,Assumption!$H$35:$K$43,4,0))^0.5,0))</f>
        <v>0</v>
      </c>
      <c r="AW34" s="207">
        <f>+IF($B34="",0,(1-VLOOKUP(MIN($B34,6),Assumption!$M$10:$N$16,2))*AV34)</f>
        <v>0</v>
      </c>
      <c r="AX34" s="207">
        <f>+IF($B34&gt;Coverage,0,ROUND((AY33+($F34+$G34-$H34-$Q34)*PML_EF)*(1+VLOOKUP(AX$3,Assumption!$H$35:$K$43,4,0))^0.5-($M34+$R34)*PML_EF-($S34*PML_EF*AY33),0))</f>
        <v>0</v>
      </c>
      <c r="AY34" s="207">
        <f>+IF($B34&gt;Coverage,0,ROUND(AX34*(1+VLOOKUP(AX$3,Assumption!$H$35:$K$43,4,0))^0.5,0))</f>
        <v>0</v>
      </c>
      <c r="AZ34" s="207">
        <f>+IF($B34="",0,(1-VLOOKUP(MIN($B34,6),Assumption!$M$10:$N$16,2))*AY34)</f>
        <v>0</v>
      </c>
      <c r="BA34" s="207">
        <f>+IF($B34&gt;Coverage,0,ROUND((BB33+($F34+$G34-$H34-$Q34)*PML_FI)*(1+VLOOKUP(BA$3,Assumption!$H$35:$K$43,4,0))^0.5-($M34+$R34)*PML_FI-($S34*PML_FI*BB33),0))</f>
        <v>0</v>
      </c>
      <c r="BB34" s="207">
        <f>+IF($B34&gt;Coverage,0,ROUND(BA34*(1+VLOOKUP(BA$3,Assumption!$H$35:$K$43,4,0))^0.5,0))</f>
        <v>0</v>
      </c>
      <c r="BC34" s="207">
        <f>+IF($B34="",0,(1-VLOOKUP(MIN($B34,6),Assumption!$M$10:$N$16,2))*BB34)</f>
        <v>0</v>
      </c>
    </row>
    <row r="35" ht="14.25" customHeight="1">
      <c r="A35" s="126">
        <v>28.0</v>
      </c>
      <c r="B35" s="129" t="str">
        <f>+IF(A35&gt;Coverage,"",A35)</f>
        <v/>
      </c>
      <c r="C35" s="134" t="str">
        <f>+IF(B35=1,Insured_Age,IF(B35="","",C34+1))</f>
        <v/>
      </c>
      <c r="D35" s="134" t="str">
        <f>+IF(B35&gt;Coverage,"",IF(B35=1,input!$H$11,D34+1))</f>
        <v/>
      </c>
      <c r="E35" s="134" t="str">
        <f>IF(B35=1,premi_dasar,IF(B35&gt;Coverage,"",0))</f>
        <v/>
      </c>
      <c r="F35" s="134" t="str">
        <f>IF(B35&gt;Coverage,"",SUM(E35))</f>
        <v/>
      </c>
      <c r="G35" s="134" t="str">
        <f>IF(B35&gt;Coverage,"",SUMIFS(input!$E$38:$E$50,input!$C$38:$C$50,$C35))</f>
        <v/>
      </c>
      <c r="H35" s="134" t="str">
        <f>IF(B35&gt;Coverage,"",SUMIFS(input!$E$53:$E$87,input!$C$53:$C$87,$C35))</f>
        <v/>
      </c>
      <c r="I35" s="66" t="str">
        <f>+IF(B35="","",Sum_Assured*VLOOKUP(MIN(C35,10),Assumption!$M$19:$N$28,2,0))</f>
        <v/>
      </c>
      <c r="J35" s="66" t="str">
        <f>IF(B35="","",input!$D$33)</f>
        <v/>
      </c>
      <c r="K35" s="66" t="str">
        <f>IF(B35&gt;Coverage,"",VLOOKUP($C35,COI_Tab[],IF(sex="Male",2,3),0)*I35*(1+EM_Basic)/1000)</f>
        <v/>
      </c>
      <c r="L35" s="66" t="str">
        <f>IF(B35&gt;Coverage,"",VLOOKUP($C35,COI_Tab[],4,0)*J35*(1+EM_Basic)/1000)</f>
        <v/>
      </c>
      <c r="M35" s="207" t="str">
        <f>IF(B35&gt;Coverage,"",ROUND(K35+L35,0))</f>
        <v/>
      </c>
      <c r="N35" s="134" t="str">
        <f>IF(B35&gt;Coverage,"",VLOOKUP($B35,Assumption!$H$11:$I$15,2)*E35)</f>
        <v/>
      </c>
      <c r="O35" s="134" t="str">
        <f>IF(B35&gt;Coverage,"",Assumption!$J$11*$G35)</f>
        <v/>
      </c>
      <c r="P35" s="134" t="str">
        <f>IF(B35&gt;Coverage,"",H35*VLOOKUP(MIN(B35,6),Assumption!$M$11:$N$16,2,0))</f>
        <v/>
      </c>
      <c r="Q35" s="134" t="str">
        <f>IF(B35&gt;Coverage,"",SUM(N35:P35))</f>
        <v/>
      </c>
      <c r="R35" s="207" t="str">
        <f>+IF($B35&gt;Coverage,"",Assumption!$I$18*12)</f>
        <v/>
      </c>
      <c r="S35" s="208" t="str">
        <f>+IF($B35&gt;Coverage,"",Assumption!$I$20)</f>
        <v/>
      </c>
      <c r="T35" s="207">
        <f>+IF($B35&gt;Coverage,0,ROUND((U34+($F35+$G35-$H35-$Q35)*PML_LF)*(1+VLOOKUP(T$3,Assumption!$H$35:$K$43,2,0))^0.5-($M35+$R35)*PML_LF-($S35*PML_LF*U34),0))</f>
        <v>0</v>
      </c>
      <c r="U35" s="207">
        <f>+IF($B35&gt;Coverage,0,ROUND(T35*(1+VLOOKUP(T$3,Assumption!$H$35:$K$43,2,0))^0.5,0))</f>
        <v>0</v>
      </c>
      <c r="V35" s="207">
        <f>+IF($B35="",0,(1-VLOOKUP(MIN($B35,6),Assumption!$M$10:$N$16,2))*U35)</f>
        <v>0</v>
      </c>
      <c r="W35" s="207">
        <f>+IF($B35&gt;Coverage,0,ROUND((X34+($F35+$G35-$H35-$Q35)*PML_BF)*(1+VLOOKUP(W$3,Assumption!$H$35:$K$43,2,0))^0.5-($M35+$R35)*PML_BF-($S35*PML_BF*X34),0))</f>
        <v>0</v>
      </c>
      <c r="X35" s="207">
        <f>+IF($B35&gt;Coverage,0,ROUND(W35*(1+VLOOKUP(W$3,Assumption!$H$35:$K$43,2,0))^0.5,0))</f>
        <v>0</v>
      </c>
      <c r="Y35" s="207">
        <f>+IF($B35="",0,(1-VLOOKUP(MIN($B35,6),Assumption!$M$10:$N$16,2))*X35)</f>
        <v>0</v>
      </c>
      <c r="Z35" s="207">
        <f>+IF($B35&gt;Coverage,0,ROUND((AA34+($F35+$G35-$H35-$Q35)*PML_EF)*(1+VLOOKUP(Z$3,Assumption!$H$35:$K$43,2,0))^0.5-($M35+$R35)*PML_EF-($S35*PML_EF*AA34),0))</f>
        <v>0</v>
      </c>
      <c r="AA35" s="207">
        <f>+IF($B35&gt;Coverage,0,ROUND(Z35*(1+VLOOKUP(Z$3,Assumption!$H$35:$K$43,2,0))^0.5,0))</f>
        <v>0</v>
      </c>
      <c r="AB35" s="207">
        <f>+IF($B35="",0,(1-VLOOKUP(MIN($B35,6),Assumption!$M$10:$N$16,2))*AA35)</f>
        <v>0</v>
      </c>
      <c r="AC35" s="207">
        <f>+IF($B35&gt;Coverage,0,ROUND((AD34+($F35+$G35-$H35-$Q35)*PML_FI)*(1+VLOOKUP(AC$3,Assumption!$H$35:$K$43,2,0))^0.5-($M35+$R35)*PML_FI-($S35*PML_FI*AD34),0))</f>
        <v>0</v>
      </c>
      <c r="AD35" s="207">
        <f>+IF($B35&gt;Coverage,0,ROUND(AC35*(1+VLOOKUP(AC$3,Assumption!$H$35:$K$43,2,0))^0.5,0))</f>
        <v>0</v>
      </c>
      <c r="AE35" s="207">
        <f>+IF($B35="",0,(1-VLOOKUP(MIN($B35,6),Assumption!$M$10:$N$16,2))*AD35)</f>
        <v>0</v>
      </c>
      <c r="AF35" s="207">
        <f>+IF($B35&gt;Coverage,0,ROUND((AG34+($F35+$G35-$H35-$Q35)*PML_LF)*(1+VLOOKUP(AF$3,Assumption!$H$35:$K$43,3,0))^0.5-($M35+$R35)*PML_LF-($S35*PML_LF*AG34),0))</f>
        <v>0</v>
      </c>
      <c r="AG35" s="207">
        <f>+IF($B35&gt;Coverage,0,ROUND(AF35*(1+VLOOKUP(AF$3,Assumption!$H$35:$K$43,3,0))^0.5,0))</f>
        <v>0</v>
      </c>
      <c r="AH35" s="207">
        <f>+IF($B35="",0,(1-VLOOKUP(MIN($B35,6),Assumption!$M$10:$N$16,2))*AG35)</f>
        <v>0</v>
      </c>
      <c r="AI35" s="207">
        <f>+IF($B35&gt;Coverage,0,ROUND((AJ34+($F35+$G35-$H35-$Q35)*PML_BF)*(1+VLOOKUP(AI$3,Assumption!$H$35:$K$43,3,0))^0.5-($M35+$R35)*PML_BF-($S35*PML_BF*AJ34),0))</f>
        <v>0</v>
      </c>
      <c r="AJ35" s="207">
        <f>+IF($B35&gt;Coverage,0,ROUND(AI35*(1+VLOOKUP(AI$3,Assumption!$H$35:$K$43,3,0))^0.5,0))</f>
        <v>0</v>
      </c>
      <c r="AK35" s="207">
        <f>+IF($B35="",0,(1-VLOOKUP(MIN($B35,6),Assumption!$M$10:$N$16,2))*AJ35)</f>
        <v>0</v>
      </c>
      <c r="AL35" s="207">
        <f>+IF($B35&gt;Coverage,0,ROUND((AM34+($F35+$G35-$H35-$Q35)*PML_EF)*(1+VLOOKUP(AL$3,Assumption!$H$35:$K$43,3,0))^0.5-($M35+$R35)*PML_EF-($S35*PML_EF*AM34),0))</f>
        <v>0</v>
      </c>
      <c r="AM35" s="207">
        <f>+IF($B35&gt;Coverage,0,ROUND(AL35*(1+VLOOKUP(AL$3,Assumption!$H$35:$K$43,3,0))^0.5,0))</f>
        <v>0</v>
      </c>
      <c r="AN35" s="207">
        <f>+IF($B35="",0,(1-VLOOKUP(MIN($B35,6),Assumption!$M$10:$N$16,2))*AM35)</f>
        <v>0</v>
      </c>
      <c r="AO35" s="207">
        <f>+IF($B35&gt;Coverage,0,ROUND((AP34+($F35+$G35-$H35-$Q35)*PML_FI)*(1+VLOOKUP(AO$3,Assumption!$H$35:$K$43,3,0))^0.5-($M35+$R35)*PML_FI-($S35*PML_FI*AP34),0))</f>
        <v>0</v>
      </c>
      <c r="AP35" s="207">
        <f>+IF($B35&gt;Coverage,0,ROUND(AO35*(1+VLOOKUP(AO$3,Assumption!$H$35:$K$43,3,0))^0.5,0))</f>
        <v>0</v>
      </c>
      <c r="AQ35" s="207">
        <f>+IF($B35="",0,(1-VLOOKUP(MIN($B35,6),Assumption!$M$10:$N$16,2))*AP35)</f>
        <v>0</v>
      </c>
      <c r="AR35" s="207">
        <f>+IF($B35&gt;Coverage,0,ROUND((AS34+($F35+$G35-$H35-$Q35)*PML_LF)*(1+VLOOKUP(AR$3,Assumption!$H$35:$K$43,4,0))^0.5-($M35+$R35)*PML_LF-($S35*PML_LF*AS34),0))</f>
        <v>0</v>
      </c>
      <c r="AS35" s="207">
        <f>+IF($B35&gt;Coverage,0,ROUND(AR35*(1+VLOOKUP(AR$3,Assumption!$H$35:$K$43,4,0))^0.5,0))</f>
        <v>0</v>
      </c>
      <c r="AT35" s="207">
        <f>+IF($B35="",0,(1-VLOOKUP(MIN($B35,6),Assumption!$M$10:$N$16,2))*AS35)</f>
        <v>0</v>
      </c>
      <c r="AU35" s="207">
        <f>+IF($B35&gt;Coverage,0,ROUND((AV34+($F35+$G35-$H35-$Q35)*PML_BF)*(1+VLOOKUP(AU$3,Assumption!$H$35:$K$43,4,0))^0.5-($M35+$R35)*PML_BF-($S35*PML_BF*AV34),0))</f>
        <v>0</v>
      </c>
      <c r="AV35" s="207">
        <f>+IF($B35&gt;Coverage,0,ROUND(AU35*(1+VLOOKUP(AU$3,Assumption!$H$35:$K$43,4,0))^0.5,0))</f>
        <v>0</v>
      </c>
      <c r="AW35" s="207">
        <f>+IF($B35="",0,(1-VLOOKUP(MIN($B35,6),Assumption!$M$10:$N$16,2))*AV35)</f>
        <v>0</v>
      </c>
      <c r="AX35" s="207">
        <f>+IF($B35&gt;Coverage,0,ROUND((AY34+($F35+$G35-$H35-$Q35)*PML_EF)*(1+VLOOKUP(AX$3,Assumption!$H$35:$K$43,4,0))^0.5-($M35+$R35)*PML_EF-($S35*PML_EF*AY34),0))</f>
        <v>0</v>
      </c>
      <c r="AY35" s="207">
        <f>+IF($B35&gt;Coverage,0,ROUND(AX35*(1+VLOOKUP(AX$3,Assumption!$H$35:$K$43,4,0))^0.5,0))</f>
        <v>0</v>
      </c>
      <c r="AZ35" s="207">
        <f>+IF($B35="",0,(1-VLOOKUP(MIN($B35,6),Assumption!$M$10:$N$16,2))*AY35)</f>
        <v>0</v>
      </c>
      <c r="BA35" s="207">
        <f>+IF($B35&gt;Coverage,0,ROUND((BB34+($F35+$G35-$H35-$Q35)*PML_FI)*(1+VLOOKUP(BA$3,Assumption!$H$35:$K$43,4,0))^0.5-($M35+$R35)*PML_FI-($S35*PML_FI*BB34),0))</f>
        <v>0</v>
      </c>
      <c r="BB35" s="207">
        <f>+IF($B35&gt;Coverage,0,ROUND(BA35*(1+VLOOKUP(BA$3,Assumption!$H$35:$K$43,4,0))^0.5,0))</f>
        <v>0</v>
      </c>
      <c r="BC35" s="207">
        <f>+IF($B35="",0,(1-VLOOKUP(MIN($B35,6),Assumption!$M$10:$N$16,2))*BB35)</f>
        <v>0</v>
      </c>
    </row>
    <row r="36" ht="14.25" customHeight="1">
      <c r="A36" s="126">
        <v>29.0</v>
      </c>
      <c r="B36" s="129" t="str">
        <f>+IF(A36&gt;Coverage,"",A36)</f>
        <v/>
      </c>
      <c r="C36" s="134" t="str">
        <f>+IF(B36=1,Insured_Age,IF(B36="","",C35+1))</f>
        <v/>
      </c>
      <c r="D36" s="134" t="str">
        <f>+IF(B36&gt;Coverage,"",IF(B36=1,input!$H$11,D35+1))</f>
        <v/>
      </c>
      <c r="E36" s="134" t="str">
        <f>IF(B36=1,premi_dasar,IF(B36&gt;Coverage,"",0))</f>
        <v/>
      </c>
      <c r="F36" s="134" t="str">
        <f>IF(B36&gt;Coverage,"",SUM(E36))</f>
        <v/>
      </c>
      <c r="G36" s="134" t="str">
        <f>IF(B36&gt;Coverage,"",SUMIFS(input!$E$38:$E$50,input!$C$38:$C$50,$C36))</f>
        <v/>
      </c>
      <c r="H36" s="134" t="str">
        <f>IF(B36&gt;Coverage,"",SUMIFS(input!$E$53:$E$87,input!$C$53:$C$87,$C36))</f>
        <v/>
      </c>
      <c r="I36" s="66" t="str">
        <f>+IF(B36="","",Sum_Assured*VLOOKUP(MIN(C36,10),Assumption!$M$19:$N$28,2,0))</f>
        <v/>
      </c>
      <c r="J36" s="66" t="str">
        <f>IF(B36="","",input!$D$33)</f>
        <v/>
      </c>
      <c r="K36" s="66" t="str">
        <f>IF(B36&gt;Coverage,"",VLOOKUP($C36,COI_Tab[],IF(sex="Male",2,3),0)*I36*(1+EM_Basic)/1000)</f>
        <v/>
      </c>
      <c r="L36" s="66" t="str">
        <f>IF(B36&gt;Coverage,"",VLOOKUP($C36,COI_Tab[],4,0)*J36*(1+EM_Basic)/1000)</f>
        <v/>
      </c>
      <c r="M36" s="207" t="str">
        <f>IF(B36&gt;Coverage,"",ROUND(K36+L36,0))</f>
        <v/>
      </c>
      <c r="N36" s="134" t="str">
        <f>IF(B36&gt;Coverage,"",VLOOKUP($B36,Assumption!$H$11:$I$15,2)*E36)</f>
        <v/>
      </c>
      <c r="O36" s="134" t="str">
        <f>IF(B36&gt;Coverage,"",Assumption!$J$11*$G36)</f>
        <v/>
      </c>
      <c r="P36" s="134" t="str">
        <f>IF(B36&gt;Coverage,"",H36*VLOOKUP(MIN(B36,6),Assumption!$M$11:$N$16,2,0))</f>
        <v/>
      </c>
      <c r="Q36" s="134" t="str">
        <f>IF(B36&gt;Coverage,"",SUM(N36:P36))</f>
        <v/>
      </c>
      <c r="R36" s="207" t="str">
        <f>+IF($B36&gt;Coverage,"",Assumption!$I$18*12)</f>
        <v/>
      </c>
      <c r="S36" s="208" t="str">
        <f>+IF($B36&gt;Coverage,"",Assumption!$I$20)</f>
        <v/>
      </c>
      <c r="T36" s="207">
        <f>+IF($B36&gt;Coverage,0,ROUND((U35+($F36+$G36-$H36-$Q36)*PML_LF)*(1+VLOOKUP(T$3,Assumption!$H$35:$K$43,2,0))^0.5-($M36+$R36)*PML_LF-($S36*PML_LF*U35),0))</f>
        <v>0</v>
      </c>
      <c r="U36" s="207">
        <f>+IF($B36&gt;Coverage,0,ROUND(T36*(1+VLOOKUP(T$3,Assumption!$H$35:$K$43,2,0))^0.5,0))</f>
        <v>0</v>
      </c>
      <c r="V36" s="207">
        <f>+IF($B36="",0,(1-VLOOKUP(MIN($B36,6),Assumption!$M$10:$N$16,2))*U36)</f>
        <v>0</v>
      </c>
      <c r="W36" s="207">
        <f>+IF($B36&gt;Coverage,0,ROUND((X35+($F36+$G36-$H36-$Q36)*PML_BF)*(1+VLOOKUP(W$3,Assumption!$H$35:$K$43,2,0))^0.5-($M36+$R36)*PML_BF-($S36*PML_BF*X35),0))</f>
        <v>0</v>
      </c>
      <c r="X36" s="207">
        <f>+IF($B36&gt;Coverage,0,ROUND(W36*(1+VLOOKUP(W$3,Assumption!$H$35:$K$43,2,0))^0.5,0))</f>
        <v>0</v>
      </c>
      <c r="Y36" s="207">
        <f>+IF($B36="",0,(1-VLOOKUP(MIN($B36,6),Assumption!$M$10:$N$16,2))*X36)</f>
        <v>0</v>
      </c>
      <c r="Z36" s="207">
        <f>+IF($B36&gt;Coverage,0,ROUND((AA35+($F36+$G36-$H36-$Q36)*PML_EF)*(1+VLOOKUP(Z$3,Assumption!$H$35:$K$43,2,0))^0.5-($M36+$R36)*PML_EF-($S36*PML_EF*AA35),0))</f>
        <v>0</v>
      </c>
      <c r="AA36" s="207">
        <f>+IF($B36&gt;Coverage,0,ROUND(Z36*(1+VLOOKUP(Z$3,Assumption!$H$35:$K$43,2,0))^0.5,0))</f>
        <v>0</v>
      </c>
      <c r="AB36" s="207">
        <f>+IF($B36="",0,(1-VLOOKUP(MIN($B36,6),Assumption!$M$10:$N$16,2))*AA36)</f>
        <v>0</v>
      </c>
      <c r="AC36" s="207">
        <f>+IF($B36&gt;Coverage,0,ROUND((AD35+($F36+$G36-$H36-$Q36)*PML_FI)*(1+VLOOKUP(AC$3,Assumption!$H$35:$K$43,2,0))^0.5-($M36+$R36)*PML_FI-($S36*PML_FI*AD35),0))</f>
        <v>0</v>
      </c>
      <c r="AD36" s="207">
        <f>+IF($B36&gt;Coverage,0,ROUND(AC36*(1+VLOOKUP(AC$3,Assumption!$H$35:$K$43,2,0))^0.5,0))</f>
        <v>0</v>
      </c>
      <c r="AE36" s="207">
        <f>+IF($B36="",0,(1-VLOOKUP(MIN($B36,6),Assumption!$M$10:$N$16,2))*AD36)</f>
        <v>0</v>
      </c>
      <c r="AF36" s="207">
        <f>+IF($B36&gt;Coverage,0,ROUND((AG35+($F36+$G36-$H36-$Q36)*PML_LF)*(1+VLOOKUP(AF$3,Assumption!$H$35:$K$43,3,0))^0.5-($M36+$R36)*PML_LF-($S36*PML_LF*AG35),0))</f>
        <v>0</v>
      </c>
      <c r="AG36" s="207">
        <f>+IF($B36&gt;Coverage,0,ROUND(AF36*(1+VLOOKUP(AF$3,Assumption!$H$35:$K$43,3,0))^0.5,0))</f>
        <v>0</v>
      </c>
      <c r="AH36" s="207">
        <f>+IF($B36="",0,(1-VLOOKUP(MIN($B36,6),Assumption!$M$10:$N$16,2))*AG36)</f>
        <v>0</v>
      </c>
      <c r="AI36" s="207">
        <f>+IF($B36&gt;Coverage,0,ROUND((AJ35+($F36+$G36-$H36-$Q36)*PML_BF)*(1+VLOOKUP(AI$3,Assumption!$H$35:$K$43,3,0))^0.5-($M36+$R36)*PML_BF-($S36*PML_BF*AJ35),0))</f>
        <v>0</v>
      </c>
      <c r="AJ36" s="207">
        <f>+IF($B36&gt;Coverage,0,ROUND(AI36*(1+VLOOKUP(AI$3,Assumption!$H$35:$K$43,3,0))^0.5,0))</f>
        <v>0</v>
      </c>
      <c r="AK36" s="207">
        <f>+IF($B36="",0,(1-VLOOKUP(MIN($B36,6),Assumption!$M$10:$N$16,2))*AJ36)</f>
        <v>0</v>
      </c>
      <c r="AL36" s="207">
        <f>+IF($B36&gt;Coverage,0,ROUND((AM35+($F36+$G36-$H36-$Q36)*PML_EF)*(1+VLOOKUP(AL$3,Assumption!$H$35:$K$43,3,0))^0.5-($M36+$R36)*PML_EF-($S36*PML_EF*AM35),0))</f>
        <v>0</v>
      </c>
      <c r="AM36" s="207">
        <f>+IF($B36&gt;Coverage,0,ROUND(AL36*(1+VLOOKUP(AL$3,Assumption!$H$35:$K$43,3,0))^0.5,0))</f>
        <v>0</v>
      </c>
      <c r="AN36" s="207">
        <f>+IF($B36="",0,(1-VLOOKUP(MIN($B36,6),Assumption!$M$10:$N$16,2))*AM36)</f>
        <v>0</v>
      </c>
      <c r="AO36" s="207">
        <f>+IF($B36&gt;Coverage,0,ROUND((AP35+($F36+$G36-$H36-$Q36)*PML_FI)*(1+VLOOKUP(AO$3,Assumption!$H$35:$K$43,3,0))^0.5-($M36+$R36)*PML_FI-($S36*PML_FI*AP35),0))</f>
        <v>0</v>
      </c>
      <c r="AP36" s="207">
        <f>+IF($B36&gt;Coverage,0,ROUND(AO36*(1+VLOOKUP(AO$3,Assumption!$H$35:$K$43,3,0))^0.5,0))</f>
        <v>0</v>
      </c>
      <c r="AQ36" s="207">
        <f>+IF($B36="",0,(1-VLOOKUP(MIN($B36,6),Assumption!$M$10:$N$16,2))*AP36)</f>
        <v>0</v>
      </c>
      <c r="AR36" s="207">
        <f>+IF($B36&gt;Coverage,0,ROUND((AS35+($F36+$G36-$H36-$Q36)*PML_LF)*(1+VLOOKUP(AR$3,Assumption!$H$35:$K$43,4,0))^0.5-($M36+$R36)*PML_LF-($S36*PML_LF*AS35),0))</f>
        <v>0</v>
      </c>
      <c r="AS36" s="207">
        <f>+IF($B36&gt;Coverage,0,ROUND(AR36*(1+VLOOKUP(AR$3,Assumption!$H$35:$K$43,4,0))^0.5,0))</f>
        <v>0</v>
      </c>
      <c r="AT36" s="207">
        <f>+IF($B36="",0,(1-VLOOKUP(MIN($B36,6),Assumption!$M$10:$N$16,2))*AS36)</f>
        <v>0</v>
      </c>
      <c r="AU36" s="207">
        <f>+IF($B36&gt;Coverage,0,ROUND((AV35+($F36+$G36-$H36-$Q36)*PML_BF)*(1+VLOOKUP(AU$3,Assumption!$H$35:$K$43,4,0))^0.5-($M36+$R36)*PML_BF-($S36*PML_BF*AV35),0))</f>
        <v>0</v>
      </c>
      <c r="AV36" s="207">
        <f>+IF($B36&gt;Coverage,0,ROUND(AU36*(1+VLOOKUP(AU$3,Assumption!$H$35:$K$43,4,0))^0.5,0))</f>
        <v>0</v>
      </c>
      <c r="AW36" s="207">
        <f>+IF($B36="",0,(1-VLOOKUP(MIN($B36,6),Assumption!$M$10:$N$16,2))*AV36)</f>
        <v>0</v>
      </c>
      <c r="AX36" s="207">
        <f>+IF($B36&gt;Coverage,0,ROUND((AY35+($F36+$G36-$H36-$Q36)*PML_EF)*(1+VLOOKUP(AX$3,Assumption!$H$35:$K$43,4,0))^0.5-($M36+$R36)*PML_EF-($S36*PML_EF*AY35),0))</f>
        <v>0</v>
      </c>
      <c r="AY36" s="207">
        <f>+IF($B36&gt;Coverage,0,ROUND(AX36*(1+VLOOKUP(AX$3,Assumption!$H$35:$K$43,4,0))^0.5,0))</f>
        <v>0</v>
      </c>
      <c r="AZ36" s="207">
        <f>+IF($B36="",0,(1-VLOOKUP(MIN($B36,6),Assumption!$M$10:$N$16,2))*AY36)</f>
        <v>0</v>
      </c>
      <c r="BA36" s="207">
        <f>+IF($B36&gt;Coverage,0,ROUND((BB35+($F36+$G36-$H36-$Q36)*PML_FI)*(1+VLOOKUP(BA$3,Assumption!$H$35:$K$43,4,0))^0.5-($M36+$R36)*PML_FI-($S36*PML_FI*BB35),0))</f>
        <v>0</v>
      </c>
      <c r="BB36" s="207">
        <f>+IF($B36&gt;Coverage,0,ROUND(BA36*(1+VLOOKUP(BA$3,Assumption!$H$35:$K$43,4,0))^0.5,0))</f>
        <v>0</v>
      </c>
      <c r="BC36" s="207">
        <f>+IF($B36="",0,(1-VLOOKUP(MIN($B36,6),Assumption!$M$10:$N$16,2))*BB36)</f>
        <v>0</v>
      </c>
    </row>
    <row r="37" ht="14.25" customHeight="1">
      <c r="A37" s="126">
        <v>30.0</v>
      </c>
      <c r="B37" s="129" t="str">
        <f>+IF(A37&gt;Coverage,"",A37)</f>
        <v/>
      </c>
      <c r="C37" s="134" t="str">
        <f>+IF(B37=1,Insured_Age,IF(B37="","",C36+1))</f>
        <v/>
      </c>
      <c r="D37" s="134" t="str">
        <f>+IF(B37&gt;Coverage,"",IF(B37=1,input!$H$11,D36+1))</f>
        <v/>
      </c>
      <c r="E37" s="134" t="str">
        <f>IF(B37=1,premi_dasar,IF(B37&gt;Coverage,"",0))</f>
        <v/>
      </c>
      <c r="F37" s="134" t="str">
        <f>IF(B37&gt;Coverage,"",SUM(E37))</f>
        <v/>
      </c>
      <c r="G37" s="134" t="str">
        <f>IF(B37&gt;Coverage,"",SUMIFS(input!$E$38:$E$50,input!$C$38:$C$50,$C37))</f>
        <v/>
      </c>
      <c r="H37" s="134" t="str">
        <f>IF(B37&gt;Coverage,"",SUMIFS(input!$E$53:$E$87,input!$C$53:$C$87,$C37))</f>
        <v/>
      </c>
      <c r="I37" s="66" t="str">
        <f>+IF(B37="","",Sum_Assured*VLOOKUP(MIN(C37,10),Assumption!$M$19:$N$28,2,0))</f>
        <v/>
      </c>
      <c r="J37" s="66" t="str">
        <f>IF(B37="","",input!$D$33)</f>
        <v/>
      </c>
      <c r="K37" s="66" t="str">
        <f>IF(B37&gt;Coverage,"",VLOOKUP($C37,COI_Tab[],IF(sex="Male",2,3),0)*I37*(1+EM_Basic)/1000)</f>
        <v/>
      </c>
      <c r="L37" s="66" t="str">
        <f>IF(B37&gt;Coverage,"",VLOOKUP($C37,COI_Tab[],4,0)*J37*(1+EM_Basic)/1000)</f>
        <v/>
      </c>
      <c r="M37" s="207" t="str">
        <f>IF(B37&gt;Coverage,"",ROUND(K37+L37,0))</f>
        <v/>
      </c>
      <c r="N37" s="134" t="str">
        <f>IF(B37&gt;Coverage,"",VLOOKUP($B37,Assumption!$H$11:$I$15,2)*E37)</f>
        <v/>
      </c>
      <c r="O37" s="134" t="str">
        <f>IF(B37&gt;Coverage,"",Assumption!$J$11*$G37)</f>
        <v/>
      </c>
      <c r="P37" s="134" t="str">
        <f>IF(B37&gt;Coverage,"",H37*VLOOKUP(MIN(B37,6),Assumption!$M$11:$N$16,2,0))</f>
        <v/>
      </c>
      <c r="Q37" s="134" t="str">
        <f>IF(B37&gt;Coverage,"",SUM(N37:P37))</f>
        <v/>
      </c>
      <c r="R37" s="207" t="str">
        <f>+IF($B37&gt;Coverage,"",Assumption!$I$18*12)</f>
        <v/>
      </c>
      <c r="S37" s="208" t="str">
        <f>+IF($B37&gt;Coverage,"",Assumption!$I$20)</f>
        <v/>
      </c>
      <c r="T37" s="207">
        <f>+IF($B37&gt;Coverage,0,ROUND((U36+($F37+$G37-$H37-$Q37)*PML_LF)*(1+VLOOKUP(T$3,Assumption!$H$35:$K$43,2,0))^0.5-($M37+$R37)*PML_LF-($S37*PML_LF*U36),0))</f>
        <v>0</v>
      </c>
      <c r="U37" s="207">
        <f>+IF($B37&gt;Coverage,0,ROUND(T37*(1+VLOOKUP(T$3,Assumption!$H$35:$K$43,2,0))^0.5,0))</f>
        <v>0</v>
      </c>
      <c r="V37" s="207">
        <f>+IF($B37="",0,(1-VLOOKUP(MIN($B37,6),Assumption!$M$10:$N$16,2))*U37)</f>
        <v>0</v>
      </c>
      <c r="W37" s="207">
        <f>+IF($B37&gt;Coverage,0,ROUND((X36+($F37+$G37-$H37-$Q37)*PML_BF)*(1+VLOOKUP(W$3,Assumption!$H$35:$K$43,2,0))^0.5-($M37+$R37)*PML_BF-($S37*PML_BF*X36),0))</f>
        <v>0</v>
      </c>
      <c r="X37" s="207">
        <f>+IF($B37&gt;Coverage,0,ROUND(W37*(1+VLOOKUP(W$3,Assumption!$H$35:$K$43,2,0))^0.5,0))</f>
        <v>0</v>
      </c>
      <c r="Y37" s="207">
        <f>+IF($B37="",0,(1-VLOOKUP(MIN($B37,6),Assumption!$M$10:$N$16,2))*X37)</f>
        <v>0</v>
      </c>
      <c r="Z37" s="207">
        <f>+IF($B37&gt;Coverage,0,ROUND((AA36+($F37+$G37-$H37-$Q37)*PML_EF)*(1+VLOOKUP(Z$3,Assumption!$H$35:$K$43,2,0))^0.5-($M37+$R37)*PML_EF-($S37*PML_EF*AA36),0))</f>
        <v>0</v>
      </c>
      <c r="AA37" s="207">
        <f>+IF($B37&gt;Coverage,0,ROUND(Z37*(1+VLOOKUP(Z$3,Assumption!$H$35:$K$43,2,0))^0.5,0))</f>
        <v>0</v>
      </c>
      <c r="AB37" s="207">
        <f>+IF($B37="",0,(1-VLOOKUP(MIN($B37,6),Assumption!$M$10:$N$16,2))*AA37)</f>
        <v>0</v>
      </c>
      <c r="AC37" s="207">
        <f>+IF($B37&gt;Coverage,0,ROUND((AD36+($F37+$G37-$H37-$Q37)*PML_FI)*(1+VLOOKUP(AC$3,Assumption!$H$35:$K$43,2,0))^0.5-($M37+$R37)*PML_FI-($S37*PML_FI*AD36),0))</f>
        <v>0</v>
      </c>
      <c r="AD37" s="207">
        <f>+IF($B37&gt;Coverage,0,ROUND(AC37*(1+VLOOKUP(AC$3,Assumption!$H$35:$K$43,2,0))^0.5,0))</f>
        <v>0</v>
      </c>
      <c r="AE37" s="207">
        <f>+IF($B37="",0,(1-VLOOKUP(MIN($B37,6),Assumption!$M$10:$N$16,2))*AD37)</f>
        <v>0</v>
      </c>
      <c r="AF37" s="207">
        <f>+IF($B37&gt;Coverage,0,ROUND((AG36+($F37+$G37-$H37-$Q37)*PML_LF)*(1+VLOOKUP(AF$3,Assumption!$H$35:$K$43,3,0))^0.5-($M37+$R37)*PML_LF-($S37*PML_LF*AG36),0))</f>
        <v>0</v>
      </c>
      <c r="AG37" s="207">
        <f>+IF($B37&gt;Coverage,0,ROUND(AF37*(1+VLOOKUP(AF$3,Assumption!$H$35:$K$43,3,0))^0.5,0))</f>
        <v>0</v>
      </c>
      <c r="AH37" s="207">
        <f>+IF($B37="",0,(1-VLOOKUP(MIN($B37,6),Assumption!$M$10:$N$16,2))*AG37)</f>
        <v>0</v>
      </c>
      <c r="AI37" s="207">
        <f>+IF($B37&gt;Coverage,0,ROUND((AJ36+($F37+$G37-$H37-$Q37)*PML_BF)*(1+VLOOKUP(AI$3,Assumption!$H$35:$K$43,3,0))^0.5-($M37+$R37)*PML_BF-($S37*PML_BF*AJ36),0))</f>
        <v>0</v>
      </c>
      <c r="AJ37" s="207">
        <f>+IF($B37&gt;Coverage,0,ROUND(AI37*(1+VLOOKUP(AI$3,Assumption!$H$35:$K$43,3,0))^0.5,0))</f>
        <v>0</v>
      </c>
      <c r="AK37" s="207">
        <f>+IF($B37="",0,(1-VLOOKUP(MIN($B37,6),Assumption!$M$10:$N$16,2))*AJ37)</f>
        <v>0</v>
      </c>
      <c r="AL37" s="207">
        <f>+IF($B37&gt;Coverage,0,ROUND((AM36+($F37+$G37-$H37-$Q37)*PML_EF)*(1+VLOOKUP(AL$3,Assumption!$H$35:$K$43,3,0))^0.5-($M37+$R37)*PML_EF-($S37*PML_EF*AM36),0))</f>
        <v>0</v>
      </c>
      <c r="AM37" s="207">
        <f>+IF($B37&gt;Coverage,0,ROUND(AL37*(1+VLOOKUP(AL$3,Assumption!$H$35:$K$43,3,0))^0.5,0))</f>
        <v>0</v>
      </c>
      <c r="AN37" s="207">
        <f>+IF($B37="",0,(1-VLOOKUP(MIN($B37,6),Assumption!$M$10:$N$16,2))*AM37)</f>
        <v>0</v>
      </c>
      <c r="AO37" s="207">
        <f>+IF($B37&gt;Coverage,0,ROUND((AP36+($F37+$G37-$H37-$Q37)*PML_FI)*(1+VLOOKUP(AO$3,Assumption!$H$35:$K$43,3,0))^0.5-($M37+$R37)*PML_FI-($S37*PML_FI*AP36),0))</f>
        <v>0</v>
      </c>
      <c r="AP37" s="207">
        <f>+IF($B37&gt;Coverage,0,ROUND(AO37*(1+VLOOKUP(AO$3,Assumption!$H$35:$K$43,3,0))^0.5,0))</f>
        <v>0</v>
      </c>
      <c r="AQ37" s="207">
        <f>+IF($B37="",0,(1-VLOOKUP(MIN($B37,6),Assumption!$M$10:$N$16,2))*AP37)</f>
        <v>0</v>
      </c>
      <c r="AR37" s="207">
        <f>+IF($B37&gt;Coverage,0,ROUND((AS36+($F37+$G37-$H37-$Q37)*PML_LF)*(1+VLOOKUP(AR$3,Assumption!$H$35:$K$43,4,0))^0.5-($M37+$R37)*PML_LF-($S37*PML_LF*AS36),0))</f>
        <v>0</v>
      </c>
      <c r="AS37" s="207">
        <f>+IF($B37&gt;Coverage,0,ROUND(AR37*(1+VLOOKUP(AR$3,Assumption!$H$35:$K$43,4,0))^0.5,0))</f>
        <v>0</v>
      </c>
      <c r="AT37" s="207">
        <f>+IF($B37="",0,(1-VLOOKUP(MIN($B37,6),Assumption!$M$10:$N$16,2))*AS37)</f>
        <v>0</v>
      </c>
      <c r="AU37" s="207">
        <f>+IF($B37&gt;Coverage,0,ROUND((AV36+($F37+$G37-$H37-$Q37)*PML_BF)*(1+VLOOKUP(AU$3,Assumption!$H$35:$K$43,4,0))^0.5-($M37+$R37)*PML_BF-($S37*PML_BF*AV36),0))</f>
        <v>0</v>
      </c>
      <c r="AV37" s="207">
        <f>+IF($B37&gt;Coverage,0,ROUND(AU37*(1+VLOOKUP(AU$3,Assumption!$H$35:$K$43,4,0))^0.5,0))</f>
        <v>0</v>
      </c>
      <c r="AW37" s="207">
        <f>+IF($B37="",0,(1-VLOOKUP(MIN($B37,6),Assumption!$M$10:$N$16,2))*AV37)</f>
        <v>0</v>
      </c>
      <c r="AX37" s="207">
        <f>+IF($B37&gt;Coverage,0,ROUND((AY36+($F37+$G37-$H37-$Q37)*PML_EF)*(1+VLOOKUP(AX$3,Assumption!$H$35:$K$43,4,0))^0.5-($M37+$R37)*PML_EF-($S37*PML_EF*AY36),0))</f>
        <v>0</v>
      </c>
      <c r="AY37" s="207">
        <f>+IF($B37&gt;Coverage,0,ROUND(AX37*(1+VLOOKUP(AX$3,Assumption!$H$35:$K$43,4,0))^0.5,0))</f>
        <v>0</v>
      </c>
      <c r="AZ37" s="207">
        <f>+IF($B37="",0,(1-VLOOKUP(MIN($B37,6),Assumption!$M$10:$N$16,2))*AY37)</f>
        <v>0</v>
      </c>
      <c r="BA37" s="207">
        <f>+IF($B37&gt;Coverage,0,ROUND((BB36+($F37+$G37-$H37-$Q37)*PML_FI)*(1+VLOOKUP(BA$3,Assumption!$H$35:$K$43,4,0))^0.5-($M37+$R37)*PML_FI-($S37*PML_FI*BB36),0))</f>
        <v>0</v>
      </c>
      <c r="BB37" s="207">
        <f>+IF($B37&gt;Coverage,0,ROUND(BA37*(1+VLOOKUP(BA$3,Assumption!$H$35:$K$43,4,0))^0.5,0))</f>
        <v>0</v>
      </c>
      <c r="BC37" s="207">
        <f>+IF($B37="",0,(1-VLOOKUP(MIN($B37,6),Assumption!$M$10:$N$16,2))*BB37)</f>
        <v>0</v>
      </c>
    </row>
    <row r="38" ht="14.25" customHeight="1">
      <c r="A38" s="126">
        <v>31.0</v>
      </c>
      <c r="B38" s="129" t="str">
        <f>+IF(A38&gt;Coverage,"",A38)</f>
        <v/>
      </c>
      <c r="C38" s="134" t="str">
        <f>+IF(B38=1,Insured_Age,IF(B38="","",C37+1))</f>
        <v/>
      </c>
      <c r="D38" s="134" t="str">
        <f>+IF(B38&gt;Coverage,"",IF(B38=1,input!$H$11,D37+1))</f>
        <v/>
      </c>
      <c r="E38" s="134" t="str">
        <f>IF(B38=1,premi_dasar,IF(B38&gt;Coverage,"",0))</f>
        <v/>
      </c>
      <c r="F38" s="134" t="str">
        <f>IF(B38&gt;Coverage,"",SUM(E38))</f>
        <v/>
      </c>
      <c r="G38" s="134" t="str">
        <f>IF(B38&gt;Coverage,"",SUMIFS(input!$E$38:$E$50,input!$C$38:$C$50,$C38))</f>
        <v/>
      </c>
      <c r="H38" s="134" t="str">
        <f>IF(B38&gt;Coverage,"",SUMIFS(input!$E$53:$E$87,input!$C$53:$C$87,$C38))</f>
        <v/>
      </c>
      <c r="I38" s="66" t="str">
        <f>+IF(B38="","",Sum_Assured*VLOOKUP(MIN(C38,10),Assumption!$M$19:$N$28,2,0))</f>
        <v/>
      </c>
      <c r="J38" s="66" t="str">
        <f>IF(B38="","",input!$D$33)</f>
        <v/>
      </c>
      <c r="K38" s="66" t="str">
        <f>IF(B38&gt;Coverage,"",VLOOKUP($C38,COI_Tab[],IF(sex="Male",2,3),0)*I38*(1+EM_Basic)/1000)</f>
        <v/>
      </c>
      <c r="L38" s="66" t="str">
        <f>IF(B38&gt;Coverage,"",VLOOKUP($C38,COI_Tab[],4,0)*J38*(1+EM_Basic)/1000)</f>
        <v/>
      </c>
      <c r="M38" s="207" t="str">
        <f>IF(B38&gt;Coverage,"",ROUND(K38+L38,0))</f>
        <v/>
      </c>
      <c r="N38" s="134" t="str">
        <f>IF(B38&gt;Coverage,"",VLOOKUP($B38,Assumption!$H$11:$I$15,2)*E38)</f>
        <v/>
      </c>
      <c r="O38" s="134" t="str">
        <f>IF(B38&gt;Coverage,"",Assumption!$J$11*$G38)</f>
        <v/>
      </c>
      <c r="P38" s="134" t="str">
        <f>IF(B38&gt;Coverage,"",H38*VLOOKUP(MIN(B38,6),Assumption!$M$11:$N$16,2,0))</f>
        <v/>
      </c>
      <c r="Q38" s="134" t="str">
        <f>IF(B38&gt;Coverage,"",SUM(N38:P38))</f>
        <v/>
      </c>
      <c r="R38" s="207" t="str">
        <f>+IF($B38&gt;Coverage,"",Assumption!$I$18*12)</f>
        <v/>
      </c>
      <c r="S38" s="208" t="str">
        <f>+IF($B38&gt;Coverage,"",Assumption!$I$20)</f>
        <v/>
      </c>
      <c r="T38" s="207">
        <f>+IF($B38&gt;Coverage,0,ROUND((U37+($F38+$G38-$H38-$Q38)*PML_LF)*(1+VLOOKUP(T$3,Assumption!$H$35:$K$43,2,0))^0.5-($M38+$R38)*PML_LF-($S38*PML_LF*U37),0))</f>
        <v>0</v>
      </c>
      <c r="U38" s="207">
        <f>+IF($B38&gt;Coverage,0,ROUND(T38*(1+VLOOKUP(T$3,Assumption!$H$35:$K$43,2,0))^0.5,0))</f>
        <v>0</v>
      </c>
      <c r="V38" s="207">
        <f>+IF($B38="",0,(1-VLOOKUP(MIN($B38,6),Assumption!$M$10:$N$16,2))*U38)</f>
        <v>0</v>
      </c>
      <c r="W38" s="207">
        <f>+IF($B38&gt;Coverage,0,ROUND((X37+($F38+$G38-$H38-$Q38)*PML_BF)*(1+VLOOKUP(W$3,Assumption!$H$35:$K$43,2,0))^0.5-($M38+$R38)*PML_BF-($S38*PML_BF*X37),0))</f>
        <v>0</v>
      </c>
      <c r="X38" s="207">
        <f>+IF($B38&gt;Coverage,0,ROUND(W38*(1+VLOOKUP(W$3,Assumption!$H$35:$K$43,2,0))^0.5,0))</f>
        <v>0</v>
      </c>
      <c r="Y38" s="207">
        <f>+IF($B38="",0,(1-VLOOKUP(MIN($B38,6),Assumption!$M$10:$N$16,2))*X38)</f>
        <v>0</v>
      </c>
      <c r="Z38" s="207">
        <f>+IF($B38&gt;Coverage,0,ROUND((AA37+($F38+$G38-$H38-$Q38)*PML_EF)*(1+VLOOKUP(Z$3,Assumption!$H$35:$K$43,2,0))^0.5-($M38+$R38)*PML_EF-($S38*PML_EF*AA37),0))</f>
        <v>0</v>
      </c>
      <c r="AA38" s="207">
        <f>+IF($B38&gt;Coverage,0,ROUND(Z38*(1+VLOOKUP(Z$3,Assumption!$H$35:$K$43,2,0))^0.5,0))</f>
        <v>0</v>
      </c>
      <c r="AB38" s="207">
        <f>+IF($B38="",0,(1-VLOOKUP(MIN($B38,6),Assumption!$M$10:$N$16,2))*AA38)</f>
        <v>0</v>
      </c>
      <c r="AC38" s="207">
        <f>+IF($B38&gt;Coverage,0,ROUND((AD37+($F38+$G38-$H38-$Q38)*PML_FI)*(1+VLOOKUP(AC$3,Assumption!$H$35:$K$43,2,0))^0.5-($M38+$R38)*PML_FI-($S38*PML_FI*AD37),0))</f>
        <v>0</v>
      </c>
      <c r="AD38" s="207">
        <f>+IF($B38&gt;Coverage,0,ROUND(AC38*(1+VLOOKUP(AC$3,Assumption!$H$35:$K$43,2,0))^0.5,0))</f>
        <v>0</v>
      </c>
      <c r="AE38" s="207">
        <f>+IF($B38="",0,(1-VLOOKUP(MIN($B38,6),Assumption!$M$10:$N$16,2))*AD38)</f>
        <v>0</v>
      </c>
      <c r="AF38" s="207">
        <f>+IF($B38&gt;Coverage,0,ROUND((AG37+($F38+$G38-$H38-$Q38)*PML_LF)*(1+VLOOKUP(AF$3,Assumption!$H$35:$K$43,3,0))^0.5-($M38+$R38)*PML_LF-($S38*PML_LF*AG37),0))</f>
        <v>0</v>
      </c>
      <c r="AG38" s="207">
        <f>+IF($B38&gt;Coverage,0,ROUND(AF38*(1+VLOOKUP(AF$3,Assumption!$H$35:$K$43,3,0))^0.5,0))</f>
        <v>0</v>
      </c>
      <c r="AH38" s="207">
        <f>+IF($B38="",0,(1-VLOOKUP(MIN($B38,6),Assumption!$M$10:$N$16,2))*AG38)</f>
        <v>0</v>
      </c>
      <c r="AI38" s="207">
        <f>+IF($B38&gt;Coverage,0,ROUND((AJ37+($F38+$G38-$H38-$Q38)*PML_BF)*(1+VLOOKUP(AI$3,Assumption!$H$35:$K$43,3,0))^0.5-($M38+$R38)*PML_BF-($S38*PML_BF*AJ37),0))</f>
        <v>0</v>
      </c>
      <c r="AJ38" s="207">
        <f>+IF($B38&gt;Coverage,0,ROUND(AI38*(1+VLOOKUP(AI$3,Assumption!$H$35:$K$43,3,0))^0.5,0))</f>
        <v>0</v>
      </c>
      <c r="AK38" s="207">
        <f>+IF($B38="",0,(1-VLOOKUP(MIN($B38,6),Assumption!$M$10:$N$16,2))*AJ38)</f>
        <v>0</v>
      </c>
      <c r="AL38" s="207">
        <f>+IF($B38&gt;Coverage,0,ROUND((AM37+($F38+$G38-$H38-$Q38)*PML_EF)*(1+VLOOKUP(AL$3,Assumption!$H$35:$K$43,3,0))^0.5-($M38+$R38)*PML_EF-($S38*PML_EF*AM37),0))</f>
        <v>0</v>
      </c>
      <c r="AM38" s="207">
        <f>+IF($B38&gt;Coverage,0,ROUND(AL38*(1+VLOOKUP(AL$3,Assumption!$H$35:$K$43,3,0))^0.5,0))</f>
        <v>0</v>
      </c>
      <c r="AN38" s="207">
        <f>+IF($B38="",0,(1-VLOOKUP(MIN($B38,6),Assumption!$M$10:$N$16,2))*AM38)</f>
        <v>0</v>
      </c>
      <c r="AO38" s="207">
        <f>+IF($B38&gt;Coverage,0,ROUND((AP37+($F38+$G38-$H38-$Q38)*PML_FI)*(1+VLOOKUP(AO$3,Assumption!$H$35:$K$43,3,0))^0.5-($M38+$R38)*PML_FI-($S38*PML_FI*AP37),0))</f>
        <v>0</v>
      </c>
      <c r="AP38" s="207">
        <f>+IF($B38&gt;Coverage,0,ROUND(AO38*(1+VLOOKUP(AO$3,Assumption!$H$35:$K$43,3,0))^0.5,0))</f>
        <v>0</v>
      </c>
      <c r="AQ38" s="207">
        <f>+IF($B38="",0,(1-VLOOKUP(MIN($B38,6),Assumption!$M$10:$N$16,2))*AP38)</f>
        <v>0</v>
      </c>
      <c r="AR38" s="207">
        <f>+IF($B38&gt;Coverage,0,ROUND((AS37+($F38+$G38-$H38-$Q38)*PML_LF)*(1+VLOOKUP(AR$3,Assumption!$H$35:$K$43,4,0))^0.5-($M38+$R38)*PML_LF-($S38*PML_LF*AS37),0))</f>
        <v>0</v>
      </c>
      <c r="AS38" s="207">
        <f>+IF($B38&gt;Coverage,0,ROUND(AR38*(1+VLOOKUP(AR$3,Assumption!$H$35:$K$43,4,0))^0.5,0))</f>
        <v>0</v>
      </c>
      <c r="AT38" s="207">
        <f>+IF($B38="",0,(1-VLOOKUP(MIN($B38,6),Assumption!$M$10:$N$16,2))*AS38)</f>
        <v>0</v>
      </c>
      <c r="AU38" s="207">
        <f>+IF($B38&gt;Coverage,0,ROUND((AV37+($F38+$G38-$H38-$Q38)*PML_BF)*(1+VLOOKUP(AU$3,Assumption!$H$35:$K$43,4,0))^0.5-($M38+$R38)*PML_BF-($S38*PML_BF*AV37),0))</f>
        <v>0</v>
      </c>
      <c r="AV38" s="207">
        <f>+IF($B38&gt;Coverage,0,ROUND(AU38*(1+VLOOKUP(AU$3,Assumption!$H$35:$K$43,4,0))^0.5,0))</f>
        <v>0</v>
      </c>
      <c r="AW38" s="207">
        <f>+IF($B38="",0,(1-VLOOKUP(MIN($B38,6),Assumption!$M$10:$N$16,2))*AV38)</f>
        <v>0</v>
      </c>
      <c r="AX38" s="207">
        <f>+IF($B38&gt;Coverage,0,ROUND((AY37+($F38+$G38-$H38-$Q38)*PML_EF)*(1+VLOOKUP(AX$3,Assumption!$H$35:$K$43,4,0))^0.5-($M38+$R38)*PML_EF-($S38*PML_EF*AY37),0))</f>
        <v>0</v>
      </c>
      <c r="AY38" s="207">
        <f>+IF($B38&gt;Coverage,0,ROUND(AX38*(1+VLOOKUP(AX$3,Assumption!$H$35:$K$43,4,0))^0.5,0))</f>
        <v>0</v>
      </c>
      <c r="AZ38" s="207">
        <f>+IF($B38="",0,(1-VLOOKUP(MIN($B38,6),Assumption!$M$10:$N$16,2))*AY38)</f>
        <v>0</v>
      </c>
      <c r="BA38" s="207">
        <f>+IF($B38&gt;Coverage,0,ROUND((BB37+($F38+$G38-$H38-$Q38)*PML_FI)*(1+VLOOKUP(BA$3,Assumption!$H$35:$K$43,4,0))^0.5-($M38+$R38)*PML_FI-($S38*PML_FI*BB37),0))</f>
        <v>0</v>
      </c>
      <c r="BB38" s="207">
        <f>+IF($B38&gt;Coverage,0,ROUND(BA38*(1+VLOOKUP(BA$3,Assumption!$H$35:$K$43,4,0))^0.5,0))</f>
        <v>0</v>
      </c>
      <c r="BC38" s="207">
        <f>+IF($B38="",0,(1-VLOOKUP(MIN($B38,6),Assumption!$M$10:$N$16,2))*BB38)</f>
        <v>0</v>
      </c>
    </row>
    <row r="39" ht="14.25" customHeight="1">
      <c r="A39" s="126">
        <v>32.0</v>
      </c>
      <c r="B39" s="129" t="str">
        <f>+IF(A39&gt;Coverage,"",A39)</f>
        <v/>
      </c>
      <c r="C39" s="134" t="str">
        <f>+IF(B39=1,Insured_Age,IF(B39="","",C38+1))</f>
        <v/>
      </c>
      <c r="D39" s="134" t="str">
        <f>+IF(B39&gt;Coverage,"",IF(B39=1,input!$H$11,D38+1))</f>
        <v/>
      </c>
      <c r="E39" s="134" t="str">
        <f>IF(B39=1,premi_dasar,IF(B39&gt;Coverage,"",0))</f>
        <v/>
      </c>
      <c r="F39" s="134" t="str">
        <f>IF(B39&gt;Coverage,"",SUM(E39))</f>
        <v/>
      </c>
      <c r="G39" s="134" t="str">
        <f>IF(B39&gt;Coverage,"",SUMIFS(input!$E$38:$E$50,input!$C$38:$C$50,$C39))</f>
        <v/>
      </c>
      <c r="H39" s="134" t="str">
        <f>IF(B39&gt;Coverage,"",SUMIFS(input!$E$53:$E$87,input!$C$53:$C$87,$C39))</f>
        <v/>
      </c>
      <c r="I39" s="66" t="str">
        <f>+IF(B39="","",Sum_Assured*VLOOKUP(MIN(C39,10),Assumption!$M$19:$N$28,2,0))</f>
        <v/>
      </c>
      <c r="J39" s="66" t="str">
        <f>IF(B39="","",input!$D$33)</f>
        <v/>
      </c>
      <c r="K39" s="66" t="str">
        <f>IF(B39&gt;Coverage,"",VLOOKUP($C39,COI_Tab[],IF(sex="Male",2,3),0)*I39*(1+EM_Basic)/1000)</f>
        <v/>
      </c>
      <c r="L39" s="66" t="str">
        <f>IF(B39&gt;Coverage,"",VLOOKUP($C39,COI_Tab[],4,0)*J39*(1+EM_Basic)/1000)</f>
        <v/>
      </c>
      <c r="M39" s="207" t="str">
        <f>IF(B39&gt;Coverage,"",ROUND(K39+L39,0))</f>
        <v/>
      </c>
      <c r="N39" s="134" t="str">
        <f>IF(B39&gt;Coverage,"",VLOOKUP($B39,Assumption!$H$11:$I$15,2)*E39)</f>
        <v/>
      </c>
      <c r="O39" s="134" t="str">
        <f>IF(B39&gt;Coverage,"",Assumption!$J$11*$G39)</f>
        <v/>
      </c>
      <c r="P39" s="134" t="str">
        <f>IF(B39&gt;Coverage,"",H39*VLOOKUP(MIN(B39,6),Assumption!$M$11:$N$16,2,0))</f>
        <v/>
      </c>
      <c r="Q39" s="134" t="str">
        <f>IF(B39&gt;Coverage,"",SUM(N39:P39))</f>
        <v/>
      </c>
      <c r="R39" s="207" t="str">
        <f>+IF($B39&gt;Coverage,"",Assumption!$I$18*12)</f>
        <v/>
      </c>
      <c r="S39" s="208" t="str">
        <f>+IF($B39&gt;Coverage,"",Assumption!$I$20)</f>
        <v/>
      </c>
      <c r="T39" s="207">
        <f>+IF($B39&gt;Coverage,0,ROUND((U38+($F39+$G39-$H39-$Q39)*PML_LF)*(1+VLOOKUP(T$3,Assumption!$H$35:$K$43,2,0))^0.5-($M39+$R39)*PML_LF-($S39*PML_LF*U38),0))</f>
        <v>0</v>
      </c>
      <c r="U39" s="207">
        <f>+IF($B39&gt;Coverage,0,ROUND(T39*(1+VLOOKUP(T$3,Assumption!$H$35:$K$43,2,0))^0.5,0))</f>
        <v>0</v>
      </c>
      <c r="V39" s="207">
        <f>+IF($B39="",0,(1-VLOOKUP(MIN($B39,6),Assumption!$M$10:$N$16,2))*U39)</f>
        <v>0</v>
      </c>
      <c r="W39" s="207">
        <f>+IF($B39&gt;Coverage,0,ROUND((X38+($F39+$G39-$H39-$Q39)*PML_BF)*(1+VLOOKUP(W$3,Assumption!$H$35:$K$43,2,0))^0.5-($M39+$R39)*PML_BF-($S39*PML_BF*X38),0))</f>
        <v>0</v>
      </c>
      <c r="X39" s="207">
        <f>+IF($B39&gt;Coverage,0,ROUND(W39*(1+VLOOKUP(W$3,Assumption!$H$35:$K$43,2,0))^0.5,0))</f>
        <v>0</v>
      </c>
      <c r="Y39" s="207">
        <f>+IF($B39="",0,(1-VLOOKUP(MIN($B39,6),Assumption!$M$10:$N$16,2))*X39)</f>
        <v>0</v>
      </c>
      <c r="Z39" s="207">
        <f>+IF($B39&gt;Coverage,0,ROUND((AA38+($F39+$G39-$H39-$Q39)*PML_EF)*(1+VLOOKUP(Z$3,Assumption!$H$35:$K$43,2,0))^0.5-($M39+$R39)*PML_EF-($S39*PML_EF*AA38),0))</f>
        <v>0</v>
      </c>
      <c r="AA39" s="207">
        <f>+IF($B39&gt;Coverage,0,ROUND(Z39*(1+VLOOKUP(Z$3,Assumption!$H$35:$K$43,2,0))^0.5,0))</f>
        <v>0</v>
      </c>
      <c r="AB39" s="207">
        <f>+IF($B39="",0,(1-VLOOKUP(MIN($B39,6),Assumption!$M$10:$N$16,2))*AA39)</f>
        <v>0</v>
      </c>
      <c r="AC39" s="207">
        <f>+IF($B39&gt;Coverage,0,ROUND((AD38+($F39+$G39-$H39-$Q39)*PML_FI)*(1+VLOOKUP(AC$3,Assumption!$H$35:$K$43,2,0))^0.5-($M39+$R39)*PML_FI-($S39*PML_FI*AD38),0))</f>
        <v>0</v>
      </c>
      <c r="AD39" s="207">
        <f>+IF($B39&gt;Coverage,0,ROUND(AC39*(1+VLOOKUP(AC$3,Assumption!$H$35:$K$43,2,0))^0.5,0))</f>
        <v>0</v>
      </c>
      <c r="AE39" s="207">
        <f>+IF($B39="",0,(1-VLOOKUP(MIN($B39,6),Assumption!$M$10:$N$16,2))*AD39)</f>
        <v>0</v>
      </c>
      <c r="AF39" s="207">
        <f>+IF($B39&gt;Coverage,0,ROUND((AG38+($F39+$G39-$H39-$Q39)*PML_LF)*(1+VLOOKUP(AF$3,Assumption!$H$35:$K$43,3,0))^0.5-($M39+$R39)*PML_LF-($S39*PML_LF*AG38),0))</f>
        <v>0</v>
      </c>
      <c r="AG39" s="207">
        <f>+IF($B39&gt;Coverage,0,ROUND(AF39*(1+VLOOKUP(AF$3,Assumption!$H$35:$K$43,3,0))^0.5,0))</f>
        <v>0</v>
      </c>
      <c r="AH39" s="207">
        <f>+IF($B39="",0,(1-VLOOKUP(MIN($B39,6),Assumption!$M$10:$N$16,2))*AG39)</f>
        <v>0</v>
      </c>
      <c r="AI39" s="207">
        <f>+IF($B39&gt;Coverage,0,ROUND((AJ38+($F39+$G39-$H39-$Q39)*PML_BF)*(1+VLOOKUP(AI$3,Assumption!$H$35:$K$43,3,0))^0.5-($M39+$R39)*PML_BF-($S39*PML_BF*AJ38),0))</f>
        <v>0</v>
      </c>
      <c r="AJ39" s="207">
        <f>+IF($B39&gt;Coverage,0,ROUND(AI39*(1+VLOOKUP(AI$3,Assumption!$H$35:$K$43,3,0))^0.5,0))</f>
        <v>0</v>
      </c>
      <c r="AK39" s="207">
        <f>+IF($B39="",0,(1-VLOOKUP(MIN($B39,6),Assumption!$M$10:$N$16,2))*AJ39)</f>
        <v>0</v>
      </c>
      <c r="AL39" s="207">
        <f>+IF($B39&gt;Coverage,0,ROUND((AM38+($F39+$G39-$H39-$Q39)*PML_EF)*(1+VLOOKUP(AL$3,Assumption!$H$35:$K$43,3,0))^0.5-($M39+$R39)*PML_EF-($S39*PML_EF*AM38),0))</f>
        <v>0</v>
      </c>
      <c r="AM39" s="207">
        <f>+IF($B39&gt;Coverage,0,ROUND(AL39*(1+VLOOKUP(AL$3,Assumption!$H$35:$K$43,3,0))^0.5,0))</f>
        <v>0</v>
      </c>
      <c r="AN39" s="207">
        <f>+IF($B39="",0,(1-VLOOKUP(MIN($B39,6),Assumption!$M$10:$N$16,2))*AM39)</f>
        <v>0</v>
      </c>
      <c r="AO39" s="207">
        <f>+IF($B39&gt;Coverage,0,ROUND((AP38+($F39+$G39-$H39-$Q39)*PML_FI)*(1+VLOOKUP(AO$3,Assumption!$H$35:$K$43,3,0))^0.5-($M39+$R39)*PML_FI-($S39*PML_FI*AP38),0))</f>
        <v>0</v>
      </c>
      <c r="AP39" s="207">
        <f>+IF($B39&gt;Coverage,0,ROUND(AO39*(1+VLOOKUP(AO$3,Assumption!$H$35:$K$43,3,0))^0.5,0))</f>
        <v>0</v>
      </c>
      <c r="AQ39" s="207">
        <f>+IF($B39="",0,(1-VLOOKUP(MIN($B39,6),Assumption!$M$10:$N$16,2))*AP39)</f>
        <v>0</v>
      </c>
      <c r="AR39" s="207">
        <f>+IF($B39&gt;Coverage,0,ROUND((AS38+($F39+$G39-$H39-$Q39)*PML_LF)*(1+VLOOKUP(AR$3,Assumption!$H$35:$K$43,4,0))^0.5-($M39+$R39)*PML_LF-($S39*PML_LF*AS38),0))</f>
        <v>0</v>
      </c>
      <c r="AS39" s="207">
        <f>+IF($B39&gt;Coverage,0,ROUND(AR39*(1+VLOOKUP(AR$3,Assumption!$H$35:$K$43,4,0))^0.5,0))</f>
        <v>0</v>
      </c>
      <c r="AT39" s="207">
        <f>+IF($B39="",0,(1-VLOOKUP(MIN($B39,6),Assumption!$M$10:$N$16,2))*AS39)</f>
        <v>0</v>
      </c>
      <c r="AU39" s="207">
        <f>+IF($B39&gt;Coverage,0,ROUND((AV38+($F39+$G39-$H39-$Q39)*PML_BF)*(1+VLOOKUP(AU$3,Assumption!$H$35:$K$43,4,0))^0.5-($M39+$R39)*PML_BF-($S39*PML_BF*AV38),0))</f>
        <v>0</v>
      </c>
      <c r="AV39" s="207">
        <f>+IF($B39&gt;Coverage,0,ROUND(AU39*(1+VLOOKUP(AU$3,Assumption!$H$35:$K$43,4,0))^0.5,0))</f>
        <v>0</v>
      </c>
      <c r="AW39" s="207">
        <f>+IF($B39="",0,(1-VLOOKUP(MIN($B39,6),Assumption!$M$10:$N$16,2))*AV39)</f>
        <v>0</v>
      </c>
      <c r="AX39" s="207">
        <f>+IF($B39&gt;Coverage,0,ROUND((AY38+($F39+$G39-$H39-$Q39)*PML_EF)*(1+VLOOKUP(AX$3,Assumption!$H$35:$K$43,4,0))^0.5-($M39+$R39)*PML_EF-($S39*PML_EF*AY38),0))</f>
        <v>0</v>
      </c>
      <c r="AY39" s="207">
        <f>+IF($B39&gt;Coverage,0,ROUND(AX39*(1+VLOOKUP(AX$3,Assumption!$H$35:$K$43,4,0))^0.5,0))</f>
        <v>0</v>
      </c>
      <c r="AZ39" s="207">
        <f>+IF($B39="",0,(1-VLOOKUP(MIN($B39,6),Assumption!$M$10:$N$16,2))*AY39)</f>
        <v>0</v>
      </c>
      <c r="BA39" s="207">
        <f>+IF($B39&gt;Coverage,0,ROUND((BB38+($F39+$G39-$H39-$Q39)*PML_FI)*(1+VLOOKUP(BA$3,Assumption!$H$35:$K$43,4,0))^0.5-($M39+$R39)*PML_FI-($S39*PML_FI*BB38),0))</f>
        <v>0</v>
      </c>
      <c r="BB39" s="207">
        <f>+IF($B39&gt;Coverage,0,ROUND(BA39*(1+VLOOKUP(BA$3,Assumption!$H$35:$K$43,4,0))^0.5,0))</f>
        <v>0</v>
      </c>
      <c r="BC39" s="207">
        <f>+IF($B39="",0,(1-VLOOKUP(MIN($B39,6),Assumption!$M$10:$N$16,2))*BB39)</f>
        <v>0</v>
      </c>
    </row>
    <row r="40" ht="14.25" customHeight="1">
      <c r="A40" s="126">
        <v>33.0</v>
      </c>
      <c r="B40" s="129" t="str">
        <f>+IF(A40&gt;Coverage,"",A40)</f>
        <v/>
      </c>
      <c r="C40" s="134" t="str">
        <f>+IF(B40=1,Insured_Age,IF(B40="","",C39+1))</f>
        <v/>
      </c>
      <c r="D40" s="134" t="str">
        <f>+IF(B40&gt;Coverage,"",IF(B40=1,input!$H$11,D39+1))</f>
        <v/>
      </c>
      <c r="E40" s="134" t="str">
        <f>IF(B40=1,premi_dasar,IF(B40&gt;Coverage,"",0))</f>
        <v/>
      </c>
      <c r="F40" s="134" t="str">
        <f>IF(B40&gt;Coverage,"",SUM(E40))</f>
        <v/>
      </c>
      <c r="G40" s="134" t="str">
        <f>IF(B40&gt;Coverage,"",SUMIFS(input!$E$38:$E$50,input!$C$38:$C$50,$C40))</f>
        <v/>
      </c>
      <c r="H40" s="134" t="str">
        <f>IF(B40&gt;Coverage,"",SUMIFS(input!$E$53:$E$87,input!$C$53:$C$87,$C40))</f>
        <v/>
      </c>
      <c r="I40" s="66" t="str">
        <f>+IF(B40="","",Sum_Assured*VLOOKUP(MIN(C40,10),Assumption!$M$19:$N$28,2,0))</f>
        <v/>
      </c>
      <c r="J40" s="66" t="str">
        <f>IF(B40="","",input!$D$33)</f>
        <v/>
      </c>
      <c r="K40" s="66" t="str">
        <f>IF(B40&gt;Coverage,"",VLOOKUP($C40,COI_Tab[],IF(sex="Male",2,3),0)*I40*(1+EM_Basic)/1000)</f>
        <v/>
      </c>
      <c r="L40" s="66" t="str">
        <f>IF(B40&gt;Coverage,"",VLOOKUP($C40,COI_Tab[],4,0)*J40*(1+EM_Basic)/1000)</f>
        <v/>
      </c>
      <c r="M40" s="207" t="str">
        <f>IF(B40&gt;Coverage,"",ROUND(K40+L40,0))</f>
        <v/>
      </c>
      <c r="N40" s="134" t="str">
        <f>IF(B40&gt;Coverage,"",VLOOKUP($B40,Assumption!$H$11:$I$15,2)*E40)</f>
        <v/>
      </c>
      <c r="O40" s="134" t="str">
        <f>IF(B40&gt;Coverage,"",Assumption!$J$11*$G40)</f>
        <v/>
      </c>
      <c r="P40" s="134" t="str">
        <f>IF(B40&gt;Coverage,"",H40*VLOOKUP(MIN(B40,6),Assumption!$M$11:$N$16,2,0))</f>
        <v/>
      </c>
      <c r="Q40" s="134" t="str">
        <f>IF(B40&gt;Coverage,"",SUM(N40:P40))</f>
        <v/>
      </c>
      <c r="R40" s="207" t="str">
        <f>+IF($B40&gt;Coverage,"",Assumption!$I$18*12)</f>
        <v/>
      </c>
      <c r="S40" s="208" t="str">
        <f>+IF($B40&gt;Coverage,"",Assumption!$I$20)</f>
        <v/>
      </c>
      <c r="T40" s="207">
        <f>+IF($B40&gt;Coverage,0,ROUND((U39+($F40+$G40-$H40-$Q40)*PML_LF)*(1+VLOOKUP(T$3,Assumption!$H$35:$K$43,2,0))^0.5-($M40+$R40)*PML_LF-($S40*PML_LF*U39),0))</f>
        <v>0</v>
      </c>
      <c r="U40" s="207">
        <f>+IF($B40&gt;Coverage,0,ROUND(T40*(1+VLOOKUP(T$3,Assumption!$H$35:$K$43,2,0))^0.5,0))</f>
        <v>0</v>
      </c>
      <c r="V40" s="207">
        <f>+IF($B40="",0,(1-VLOOKUP(MIN($B40,6),Assumption!$M$10:$N$16,2))*U40)</f>
        <v>0</v>
      </c>
      <c r="W40" s="207">
        <f>+IF($B40&gt;Coverage,0,ROUND((X39+($F40+$G40-$H40-$Q40)*PML_BF)*(1+VLOOKUP(W$3,Assumption!$H$35:$K$43,2,0))^0.5-($M40+$R40)*PML_BF-($S40*PML_BF*X39),0))</f>
        <v>0</v>
      </c>
      <c r="X40" s="207">
        <f>+IF($B40&gt;Coverage,0,ROUND(W40*(1+VLOOKUP(W$3,Assumption!$H$35:$K$43,2,0))^0.5,0))</f>
        <v>0</v>
      </c>
      <c r="Y40" s="207">
        <f>+IF($B40="",0,(1-VLOOKUP(MIN($B40,6),Assumption!$M$10:$N$16,2))*X40)</f>
        <v>0</v>
      </c>
      <c r="Z40" s="207">
        <f>+IF($B40&gt;Coverage,0,ROUND((AA39+($F40+$G40-$H40-$Q40)*PML_EF)*(1+VLOOKUP(Z$3,Assumption!$H$35:$K$43,2,0))^0.5-($M40+$R40)*PML_EF-($S40*PML_EF*AA39),0))</f>
        <v>0</v>
      </c>
      <c r="AA40" s="207">
        <f>+IF($B40&gt;Coverage,0,ROUND(Z40*(1+VLOOKUP(Z$3,Assumption!$H$35:$K$43,2,0))^0.5,0))</f>
        <v>0</v>
      </c>
      <c r="AB40" s="207">
        <f>+IF($B40="",0,(1-VLOOKUP(MIN($B40,6),Assumption!$M$10:$N$16,2))*AA40)</f>
        <v>0</v>
      </c>
      <c r="AC40" s="207">
        <f>+IF($B40&gt;Coverage,0,ROUND((AD39+($F40+$G40-$H40-$Q40)*PML_FI)*(1+VLOOKUP(AC$3,Assumption!$H$35:$K$43,2,0))^0.5-($M40+$R40)*PML_FI-($S40*PML_FI*AD39),0))</f>
        <v>0</v>
      </c>
      <c r="AD40" s="207">
        <f>+IF($B40&gt;Coverage,0,ROUND(AC40*(1+VLOOKUP(AC$3,Assumption!$H$35:$K$43,2,0))^0.5,0))</f>
        <v>0</v>
      </c>
      <c r="AE40" s="207">
        <f>+IF($B40="",0,(1-VLOOKUP(MIN($B40,6),Assumption!$M$10:$N$16,2))*AD40)</f>
        <v>0</v>
      </c>
      <c r="AF40" s="207">
        <f>+IF($B40&gt;Coverage,0,ROUND((AG39+($F40+$G40-$H40-$Q40)*PML_LF)*(1+VLOOKUP(AF$3,Assumption!$H$35:$K$43,3,0))^0.5-($M40+$R40)*PML_LF-($S40*PML_LF*AG39),0))</f>
        <v>0</v>
      </c>
      <c r="AG40" s="207">
        <f>+IF($B40&gt;Coverage,0,ROUND(AF40*(1+VLOOKUP(AF$3,Assumption!$H$35:$K$43,3,0))^0.5,0))</f>
        <v>0</v>
      </c>
      <c r="AH40" s="207">
        <f>+IF($B40="",0,(1-VLOOKUP(MIN($B40,6),Assumption!$M$10:$N$16,2))*AG40)</f>
        <v>0</v>
      </c>
      <c r="AI40" s="207">
        <f>+IF($B40&gt;Coverage,0,ROUND((AJ39+($F40+$G40-$H40-$Q40)*PML_BF)*(1+VLOOKUP(AI$3,Assumption!$H$35:$K$43,3,0))^0.5-($M40+$R40)*PML_BF-($S40*PML_BF*AJ39),0))</f>
        <v>0</v>
      </c>
      <c r="AJ40" s="207">
        <f>+IF($B40&gt;Coverage,0,ROUND(AI40*(1+VLOOKUP(AI$3,Assumption!$H$35:$K$43,3,0))^0.5,0))</f>
        <v>0</v>
      </c>
      <c r="AK40" s="207">
        <f>+IF($B40="",0,(1-VLOOKUP(MIN($B40,6),Assumption!$M$10:$N$16,2))*AJ40)</f>
        <v>0</v>
      </c>
      <c r="AL40" s="207">
        <f>+IF($B40&gt;Coverage,0,ROUND((AM39+($F40+$G40-$H40-$Q40)*PML_EF)*(1+VLOOKUP(AL$3,Assumption!$H$35:$K$43,3,0))^0.5-($M40+$R40)*PML_EF-($S40*PML_EF*AM39),0))</f>
        <v>0</v>
      </c>
      <c r="AM40" s="207">
        <f>+IF($B40&gt;Coverage,0,ROUND(AL40*(1+VLOOKUP(AL$3,Assumption!$H$35:$K$43,3,0))^0.5,0))</f>
        <v>0</v>
      </c>
      <c r="AN40" s="207">
        <f>+IF($B40="",0,(1-VLOOKUP(MIN($B40,6),Assumption!$M$10:$N$16,2))*AM40)</f>
        <v>0</v>
      </c>
      <c r="AO40" s="207">
        <f>+IF($B40&gt;Coverage,0,ROUND((AP39+($F40+$G40-$H40-$Q40)*PML_FI)*(1+VLOOKUP(AO$3,Assumption!$H$35:$K$43,3,0))^0.5-($M40+$R40)*PML_FI-($S40*PML_FI*AP39),0))</f>
        <v>0</v>
      </c>
      <c r="AP40" s="207">
        <f>+IF($B40&gt;Coverage,0,ROUND(AO40*(1+VLOOKUP(AO$3,Assumption!$H$35:$K$43,3,0))^0.5,0))</f>
        <v>0</v>
      </c>
      <c r="AQ40" s="207">
        <f>+IF($B40="",0,(1-VLOOKUP(MIN($B40,6),Assumption!$M$10:$N$16,2))*AP40)</f>
        <v>0</v>
      </c>
      <c r="AR40" s="207">
        <f>+IF($B40&gt;Coverage,0,ROUND((AS39+($F40+$G40-$H40-$Q40)*PML_LF)*(1+VLOOKUP(AR$3,Assumption!$H$35:$K$43,4,0))^0.5-($M40+$R40)*PML_LF-($S40*PML_LF*AS39),0))</f>
        <v>0</v>
      </c>
      <c r="AS40" s="207">
        <f>+IF($B40&gt;Coverage,0,ROUND(AR40*(1+VLOOKUP(AR$3,Assumption!$H$35:$K$43,4,0))^0.5,0))</f>
        <v>0</v>
      </c>
      <c r="AT40" s="207">
        <f>+IF($B40="",0,(1-VLOOKUP(MIN($B40,6),Assumption!$M$10:$N$16,2))*AS40)</f>
        <v>0</v>
      </c>
      <c r="AU40" s="207">
        <f>+IF($B40&gt;Coverage,0,ROUND((AV39+($F40+$G40-$H40-$Q40)*PML_BF)*(1+VLOOKUP(AU$3,Assumption!$H$35:$K$43,4,0))^0.5-($M40+$R40)*PML_BF-($S40*PML_BF*AV39),0))</f>
        <v>0</v>
      </c>
      <c r="AV40" s="207">
        <f>+IF($B40&gt;Coverage,0,ROUND(AU40*(1+VLOOKUP(AU$3,Assumption!$H$35:$K$43,4,0))^0.5,0))</f>
        <v>0</v>
      </c>
      <c r="AW40" s="207">
        <f>+IF($B40="",0,(1-VLOOKUP(MIN($B40,6),Assumption!$M$10:$N$16,2))*AV40)</f>
        <v>0</v>
      </c>
      <c r="AX40" s="207">
        <f>+IF($B40&gt;Coverage,0,ROUND((AY39+($F40+$G40-$H40-$Q40)*PML_EF)*(1+VLOOKUP(AX$3,Assumption!$H$35:$K$43,4,0))^0.5-($M40+$R40)*PML_EF-($S40*PML_EF*AY39),0))</f>
        <v>0</v>
      </c>
      <c r="AY40" s="207">
        <f>+IF($B40&gt;Coverage,0,ROUND(AX40*(1+VLOOKUP(AX$3,Assumption!$H$35:$K$43,4,0))^0.5,0))</f>
        <v>0</v>
      </c>
      <c r="AZ40" s="207">
        <f>+IF($B40="",0,(1-VLOOKUP(MIN($B40,6),Assumption!$M$10:$N$16,2))*AY40)</f>
        <v>0</v>
      </c>
      <c r="BA40" s="207">
        <f>+IF($B40&gt;Coverage,0,ROUND((BB39+($F40+$G40-$H40-$Q40)*PML_FI)*(1+VLOOKUP(BA$3,Assumption!$H$35:$K$43,4,0))^0.5-($M40+$R40)*PML_FI-($S40*PML_FI*BB39),0))</f>
        <v>0</v>
      </c>
      <c r="BB40" s="207">
        <f>+IF($B40&gt;Coverage,0,ROUND(BA40*(1+VLOOKUP(BA$3,Assumption!$H$35:$K$43,4,0))^0.5,0))</f>
        <v>0</v>
      </c>
      <c r="BC40" s="207">
        <f>+IF($B40="",0,(1-VLOOKUP(MIN($B40,6),Assumption!$M$10:$N$16,2))*BB40)</f>
        <v>0</v>
      </c>
    </row>
    <row r="41" ht="14.25" customHeight="1">
      <c r="A41" s="126">
        <v>34.0</v>
      </c>
      <c r="B41" s="129" t="str">
        <f>+IF(A41&gt;Coverage,"",A41)</f>
        <v/>
      </c>
      <c r="C41" s="134" t="str">
        <f>+IF(B41=1,Insured_Age,IF(B41="","",C40+1))</f>
        <v/>
      </c>
      <c r="D41" s="134" t="str">
        <f>+IF(B41&gt;Coverage,"",IF(B41=1,input!$H$11,D40+1))</f>
        <v/>
      </c>
      <c r="E41" s="134" t="str">
        <f>IF(B41=1,premi_dasar,IF(B41&gt;Coverage,"",0))</f>
        <v/>
      </c>
      <c r="F41" s="134" t="str">
        <f>IF(B41&gt;Coverage,"",SUM(E41))</f>
        <v/>
      </c>
      <c r="G41" s="134" t="str">
        <f>IF(B41&gt;Coverage,"",SUMIFS(input!$E$38:$E$50,input!$C$38:$C$50,$C41))</f>
        <v/>
      </c>
      <c r="H41" s="134" t="str">
        <f>IF(B41&gt;Coverage,"",SUMIFS(input!$E$53:$E$87,input!$C$53:$C$87,$C41))</f>
        <v/>
      </c>
      <c r="I41" s="66" t="str">
        <f>+IF(B41="","",Sum_Assured*VLOOKUP(MIN(C41,10),Assumption!$M$19:$N$28,2,0))</f>
        <v/>
      </c>
      <c r="J41" s="66" t="str">
        <f>IF(B41="","",input!$D$33)</f>
        <v/>
      </c>
      <c r="K41" s="66" t="str">
        <f>IF(B41&gt;Coverage,"",VLOOKUP($C41,COI_Tab[],IF(sex="Male",2,3),0)*I41*(1+EM_Basic)/1000)</f>
        <v/>
      </c>
      <c r="L41" s="66" t="str">
        <f>IF(B41&gt;Coverage,"",VLOOKUP($C41,COI_Tab[],4,0)*J41*(1+EM_Basic)/1000)</f>
        <v/>
      </c>
      <c r="M41" s="207" t="str">
        <f>IF(B41&gt;Coverage,"",ROUND(K41+L41,0))</f>
        <v/>
      </c>
      <c r="N41" s="134" t="str">
        <f>IF(B41&gt;Coverage,"",VLOOKUP($B41,Assumption!$H$11:$I$15,2)*E41)</f>
        <v/>
      </c>
      <c r="O41" s="134" t="str">
        <f>IF(B41&gt;Coverage,"",Assumption!$J$11*$G41)</f>
        <v/>
      </c>
      <c r="P41" s="134" t="str">
        <f>IF(B41&gt;Coverage,"",H41*VLOOKUP(MIN(B41,6),Assumption!$M$11:$N$16,2,0))</f>
        <v/>
      </c>
      <c r="Q41" s="134" t="str">
        <f>IF(B41&gt;Coverage,"",SUM(N41:P41))</f>
        <v/>
      </c>
      <c r="R41" s="207" t="str">
        <f>+IF($B41&gt;Coverage,"",Assumption!$I$18*12)</f>
        <v/>
      </c>
      <c r="S41" s="208" t="str">
        <f>+IF($B41&gt;Coverage,"",Assumption!$I$20)</f>
        <v/>
      </c>
      <c r="T41" s="207">
        <f>+IF($B41&gt;Coverage,0,ROUND((U40+($F41+$G41-$H41-$Q41)*PML_LF)*(1+VLOOKUP(T$3,Assumption!$H$35:$K$43,2,0))^0.5-($M41+$R41)*PML_LF-($S41*PML_LF*U40),0))</f>
        <v>0</v>
      </c>
      <c r="U41" s="207">
        <f>+IF($B41&gt;Coverage,0,ROUND(T41*(1+VLOOKUP(T$3,Assumption!$H$35:$K$43,2,0))^0.5,0))</f>
        <v>0</v>
      </c>
      <c r="V41" s="207">
        <f>+IF($B41="",0,(1-VLOOKUP(MIN($B41,6),Assumption!$M$10:$N$16,2))*U41)</f>
        <v>0</v>
      </c>
      <c r="W41" s="207">
        <f>+IF($B41&gt;Coverage,0,ROUND((X40+($F41+$G41-$H41-$Q41)*PML_BF)*(1+VLOOKUP(W$3,Assumption!$H$35:$K$43,2,0))^0.5-($M41+$R41)*PML_BF-($S41*PML_BF*X40),0))</f>
        <v>0</v>
      </c>
      <c r="X41" s="207">
        <f>+IF($B41&gt;Coverage,0,ROUND(W41*(1+VLOOKUP(W$3,Assumption!$H$35:$K$43,2,0))^0.5,0))</f>
        <v>0</v>
      </c>
      <c r="Y41" s="207">
        <f>+IF($B41="",0,(1-VLOOKUP(MIN($B41,6),Assumption!$M$10:$N$16,2))*X41)</f>
        <v>0</v>
      </c>
      <c r="Z41" s="207">
        <f>+IF($B41&gt;Coverage,0,ROUND((AA40+($F41+$G41-$H41-$Q41)*PML_EF)*(1+VLOOKUP(Z$3,Assumption!$H$35:$K$43,2,0))^0.5-($M41+$R41)*PML_EF-($S41*PML_EF*AA40),0))</f>
        <v>0</v>
      </c>
      <c r="AA41" s="207">
        <f>+IF($B41&gt;Coverage,0,ROUND(Z41*(1+VLOOKUP(Z$3,Assumption!$H$35:$K$43,2,0))^0.5,0))</f>
        <v>0</v>
      </c>
      <c r="AB41" s="207">
        <f>+IF($B41="",0,(1-VLOOKUP(MIN($B41,6),Assumption!$M$10:$N$16,2))*AA41)</f>
        <v>0</v>
      </c>
      <c r="AC41" s="207">
        <f>+IF($B41&gt;Coverage,0,ROUND((AD40+($F41+$G41-$H41-$Q41)*PML_FI)*(1+VLOOKUP(AC$3,Assumption!$H$35:$K$43,2,0))^0.5-($M41+$R41)*PML_FI-($S41*PML_FI*AD40),0))</f>
        <v>0</v>
      </c>
      <c r="AD41" s="207">
        <f>+IF($B41&gt;Coverage,0,ROUND(AC41*(1+VLOOKUP(AC$3,Assumption!$H$35:$K$43,2,0))^0.5,0))</f>
        <v>0</v>
      </c>
      <c r="AE41" s="207">
        <f>+IF($B41="",0,(1-VLOOKUP(MIN($B41,6),Assumption!$M$10:$N$16,2))*AD41)</f>
        <v>0</v>
      </c>
      <c r="AF41" s="207">
        <f>+IF($B41&gt;Coverage,0,ROUND((AG40+($F41+$G41-$H41-$Q41)*PML_LF)*(1+VLOOKUP(AF$3,Assumption!$H$35:$K$43,3,0))^0.5-($M41+$R41)*PML_LF-($S41*PML_LF*AG40),0))</f>
        <v>0</v>
      </c>
      <c r="AG41" s="207">
        <f>+IF($B41&gt;Coverage,0,ROUND(AF41*(1+VLOOKUP(AF$3,Assumption!$H$35:$K$43,3,0))^0.5,0))</f>
        <v>0</v>
      </c>
      <c r="AH41" s="207">
        <f>+IF($B41="",0,(1-VLOOKUP(MIN($B41,6),Assumption!$M$10:$N$16,2))*AG41)</f>
        <v>0</v>
      </c>
      <c r="AI41" s="207">
        <f>+IF($B41&gt;Coverage,0,ROUND((AJ40+($F41+$G41-$H41-$Q41)*PML_BF)*(1+VLOOKUP(AI$3,Assumption!$H$35:$K$43,3,0))^0.5-($M41+$R41)*PML_BF-($S41*PML_BF*AJ40),0))</f>
        <v>0</v>
      </c>
      <c r="AJ41" s="207">
        <f>+IF($B41&gt;Coverage,0,ROUND(AI41*(1+VLOOKUP(AI$3,Assumption!$H$35:$K$43,3,0))^0.5,0))</f>
        <v>0</v>
      </c>
      <c r="AK41" s="207">
        <f>+IF($B41="",0,(1-VLOOKUP(MIN($B41,6),Assumption!$M$10:$N$16,2))*AJ41)</f>
        <v>0</v>
      </c>
      <c r="AL41" s="207">
        <f>+IF($B41&gt;Coverage,0,ROUND((AM40+($F41+$G41-$H41-$Q41)*PML_EF)*(1+VLOOKUP(AL$3,Assumption!$H$35:$K$43,3,0))^0.5-($M41+$R41)*PML_EF-($S41*PML_EF*AM40),0))</f>
        <v>0</v>
      </c>
      <c r="AM41" s="207">
        <f>+IF($B41&gt;Coverage,0,ROUND(AL41*(1+VLOOKUP(AL$3,Assumption!$H$35:$K$43,3,0))^0.5,0))</f>
        <v>0</v>
      </c>
      <c r="AN41" s="207">
        <f>+IF($B41="",0,(1-VLOOKUP(MIN($B41,6),Assumption!$M$10:$N$16,2))*AM41)</f>
        <v>0</v>
      </c>
      <c r="AO41" s="207">
        <f>+IF($B41&gt;Coverage,0,ROUND((AP40+($F41+$G41-$H41-$Q41)*PML_FI)*(1+VLOOKUP(AO$3,Assumption!$H$35:$K$43,3,0))^0.5-($M41+$R41)*PML_FI-($S41*PML_FI*AP40),0))</f>
        <v>0</v>
      </c>
      <c r="AP41" s="207">
        <f>+IF($B41&gt;Coverage,0,ROUND(AO41*(1+VLOOKUP(AO$3,Assumption!$H$35:$K$43,3,0))^0.5,0))</f>
        <v>0</v>
      </c>
      <c r="AQ41" s="207">
        <f>+IF($B41="",0,(1-VLOOKUP(MIN($B41,6),Assumption!$M$10:$N$16,2))*AP41)</f>
        <v>0</v>
      </c>
      <c r="AR41" s="207">
        <f>+IF($B41&gt;Coverage,0,ROUND((AS40+($F41+$G41-$H41-$Q41)*PML_LF)*(1+VLOOKUP(AR$3,Assumption!$H$35:$K$43,4,0))^0.5-($M41+$R41)*PML_LF-($S41*PML_LF*AS40),0))</f>
        <v>0</v>
      </c>
      <c r="AS41" s="207">
        <f>+IF($B41&gt;Coverage,0,ROUND(AR41*(1+VLOOKUP(AR$3,Assumption!$H$35:$K$43,4,0))^0.5,0))</f>
        <v>0</v>
      </c>
      <c r="AT41" s="207">
        <f>+IF($B41="",0,(1-VLOOKUP(MIN($B41,6),Assumption!$M$10:$N$16,2))*AS41)</f>
        <v>0</v>
      </c>
      <c r="AU41" s="207">
        <f>+IF($B41&gt;Coverage,0,ROUND((AV40+($F41+$G41-$H41-$Q41)*PML_BF)*(1+VLOOKUP(AU$3,Assumption!$H$35:$K$43,4,0))^0.5-($M41+$R41)*PML_BF-($S41*PML_BF*AV40),0))</f>
        <v>0</v>
      </c>
      <c r="AV41" s="207">
        <f>+IF($B41&gt;Coverage,0,ROUND(AU41*(1+VLOOKUP(AU$3,Assumption!$H$35:$K$43,4,0))^0.5,0))</f>
        <v>0</v>
      </c>
      <c r="AW41" s="207">
        <f>+IF($B41="",0,(1-VLOOKUP(MIN($B41,6),Assumption!$M$10:$N$16,2))*AV41)</f>
        <v>0</v>
      </c>
      <c r="AX41" s="207">
        <f>+IF($B41&gt;Coverage,0,ROUND((AY40+($F41+$G41-$H41-$Q41)*PML_EF)*(1+VLOOKUP(AX$3,Assumption!$H$35:$K$43,4,0))^0.5-($M41+$R41)*PML_EF-($S41*PML_EF*AY40),0))</f>
        <v>0</v>
      </c>
      <c r="AY41" s="207">
        <f>+IF($B41&gt;Coverage,0,ROUND(AX41*(1+VLOOKUP(AX$3,Assumption!$H$35:$K$43,4,0))^0.5,0))</f>
        <v>0</v>
      </c>
      <c r="AZ41" s="207">
        <f>+IF($B41="",0,(1-VLOOKUP(MIN($B41,6),Assumption!$M$10:$N$16,2))*AY41)</f>
        <v>0</v>
      </c>
      <c r="BA41" s="207">
        <f>+IF($B41&gt;Coverage,0,ROUND((BB40+($F41+$G41-$H41-$Q41)*PML_FI)*(1+VLOOKUP(BA$3,Assumption!$H$35:$K$43,4,0))^0.5-($M41+$R41)*PML_FI-($S41*PML_FI*BB40),0))</f>
        <v>0</v>
      </c>
      <c r="BB41" s="207">
        <f>+IF($B41&gt;Coverage,0,ROUND(BA41*(1+VLOOKUP(BA$3,Assumption!$H$35:$K$43,4,0))^0.5,0))</f>
        <v>0</v>
      </c>
      <c r="BC41" s="207">
        <f>+IF($B41="",0,(1-VLOOKUP(MIN($B41,6),Assumption!$M$10:$N$16,2))*BB41)</f>
        <v>0</v>
      </c>
    </row>
    <row r="42" ht="14.25" customHeight="1">
      <c r="A42" s="126">
        <v>35.0</v>
      </c>
      <c r="B42" s="129" t="str">
        <f>+IF(A42&gt;Coverage,"",A42)</f>
        <v/>
      </c>
      <c r="C42" s="134" t="str">
        <f>+IF(B42=1,Insured_Age,IF(B42="","",C41+1))</f>
        <v/>
      </c>
      <c r="D42" s="134" t="str">
        <f>+IF(B42&gt;Coverage,"",IF(B42=1,input!$H$11,D41+1))</f>
        <v/>
      </c>
      <c r="E42" s="134" t="str">
        <f>IF(B42=1,premi_dasar,IF(B42&gt;Coverage,"",0))</f>
        <v/>
      </c>
      <c r="F42" s="134" t="str">
        <f>IF(B42&gt;Coverage,"",SUM(E42))</f>
        <v/>
      </c>
      <c r="G42" s="134" t="str">
        <f>IF(B42&gt;Coverage,"",SUMIFS(input!$E$38:$E$50,input!$C$38:$C$50,$C42))</f>
        <v/>
      </c>
      <c r="H42" s="134" t="str">
        <f>IF(B42&gt;Coverage,"",SUMIFS(input!$E$53:$E$87,input!$C$53:$C$87,$C42))</f>
        <v/>
      </c>
      <c r="I42" s="66" t="str">
        <f>+IF(B42="","",Sum_Assured*VLOOKUP(MIN(C42,10),Assumption!$M$19:$N$28,2,0))</f>
        <v/>
      </c>
      <c r="J42" s="66" t="str">
        <f>IF(B42="","",input!$D$33)</f>
        <v/>
      </c>
      <c r="K42" s="66" t="str">
        <f>IF(B42&gt;Coverage,"",VLOOKUP($C42,COI_Tab[],IF(sex="Male",2,3),0)*I42*(1+EM_Basic)/1000)</f>
        <v/>
      </c>
      <c r="L42" s="66" t="str">
        <f>IF(B42&gt;Coverage,"",VLOOKUP($C42,COI_Tab[],4,0)*J42*(1+EM_Basic)/1000)</f>
        <v/>
      </c>
      <c r="M42" s="207" t="str">
        <f>IF(B42&gt;Coverage,"",ROUND(K42+L42,0))</f>
        <v/>
      </c>
      <c r="N42" s="134" t="str">
        <f>IF(B42&gt;Coverage,"",VLOOKUP($B42,Assumption!$H$11:$I$15,2)*E42)</f>
        <v/>
      </c>
      <c r="O42" s="134" t="str">
        <f>IF(B42&gt;Coverage,"",Assumption!$J$11*$G42)</f>
        <v/>
      </c>
      <c r="P42" s="134" t="str">
        <f>IF(B42&gt;Coverage,"",H42*VLOOKUP(MIN(B42,6),Assumption!$M$11:$N$16,2,0))</f>
        <v/>
      </c>
      <c r="Q42" s="134" t="str">
        <f>IF(B42&gt;Coverage,"",SUM(N42:P42))</f>
        <v/>
      </c>
      <c r="R42" s="207" t="str">
        <f>+IF($B42&gt;Coverage,"",Assumption!$I$18*12)</f>
        <v/>
      </c>
      <c r="S42" s="208" t="str">
        <f>+IF($B42&gt;Coverage,"",Assumption!$I$20)</f>
        <v/>
      </c>
      <c r="T42" s="207">
        <f>+IF($B42&gt;Coverage,0,ROUND((U41+($F42+$G42-$H42-$Q42)*PML_LF)*(1+VLOOKUP(T$3,Assumption!$H$35:$K$43,2,0))^0.5-($M42+$R42)*PML_LF-($S42*PML_LF*U41),0))</f>
        <v>0</v>
      </c>
      <c r="U42" s="207">
        <f>+IF($B42&gt;Coverage,0,ROUND(T42*(1+VLOOKUP(T$3,Assumption!$H$35:$K$43,2,0))^0.5,0))</f>
        <v>0</v>
      </c>
      <c r="V42" s="207">
        <f>+IF($B42="",0,(1-VLOOKUP(MIN($B42,6),Assumption!$M$10:$N$16,2))*U42)</f>
        <v>0</v>
      </c>
      <c r="W42" s="207">
        <f>+IF($B42&gt;Coverage,0,ROUND((X41+($F42+$G42-$H42-$Q42)*PML_BF)*(1+VLOOKUP(W$3,Assumption!$H$35:$K$43,2,0))^0.5-($M42+$R42)*PML_BF-($S42*PML_BF*X41),0))</f>
        <v>0</v>
      </c>
      <c r="X42" s="207">
        <f>+IF($B42&gt;Coverage,0,ROUND(W42*(1+VLOOKUP(W$3,Assumption!$H$35:$K$43,2,0))^0.5,0))</f>
        <v>0</v>
      </c>
      <c r="Y42" s="207">
        <f>+IF($B42="",0,(1-VLOOKUP(MIN($B42,6),Assumption!$M$10:$N$16,2))*X42)</f>
        <v>0</v>
      </c>
      <c r="Z42" s="207">
        <f>+IF($B42&gt;Coverage,0,ROUND((AA41+($F42+$G42-$H42-$Q42)*PML_EF)*(1+VLOOKUP(Z$3,Assumption!$H$35:$K$43,2,0))^0.5-($M42+$R42)*PML_EF-($S42*PML_EF*AA41),0))</f>
        <v>0</v>
      </c>
      <c r="AA42" s="207">
        <f>+IF($B42&gt;Coverage,0,ROUND(Z42*(1+VLOOKUP(Z$3,Assumption!$H$35:$K$43,2,0))^0.5,0))</f>
        <v>0</v>
      </c>
      <c r="AB42" s="207">
        <f>+IF($B42="",0,(1-VLOOKUP(MIN($B42,6),Assumption!$M$10:$N$16,2))*AA42)</f>
        <v>0</v>
      </c>
      <c r="AC42" s="207">
        <f>+IF($B42&gt;Coverage,0,ROUND((AD41+($F42+$G42-$H42-$Q42)*PML_FI)*(1+VLOOKUP(AC$3,Assumption!$H$35:$K$43,2,0))^0.5-($M42+$R42)*PML_FI-($S42*PML_FI*AD41),0))</f>
        <v>0</v>
      </c>
      <c r="AD42" s="207">
        <f>+IF($B42&gt;Coverage,0,ROUND(AC42*(1+VLOOKUP(AC$3,Assumption!$H$35:$K$43,2,0))^0.5,0))</f>
        <v>0</v>
      </c>
      <c r="AE42" s="207">
        <f>+IF($B42="",0,(1-VLOOKUP(MIN($B42,6),Assumption!$M$10:$N$16,2))*AD42)</f>
        <v>0</v>
      </c>
      <c r="AF42" s="207">
        <f>+IF($B42&gt;Coverage,0,ROUND((AG41+($F42+$G42-$H42-$Q42)*PML_LF)*(1+VLOOKUP(AF$3,Assumption!$H$35:$K$43,3,0))^0.5-($M42+$R42)*PML_LF-($S42*PML_LF*AG41),0))</f>
        <v>0</v>
      </c>
      <c r="AG42" s="207">
        <f>+IF($B42&gt;Coverage,0,ROUND(AF42*(1+VLOOKUP(AF$3,Assumption!$H$35:$K$43,3,0))^0.5,0))</f>
        <v>0</v>
      </c>
      <c r="AH42" s="207">
        <f>+IF($B42="",0,(1-VLOOKUP(MIN($B42,6),Assumption!$M$10:$N$16,2))*AG42)</f>
        <v>0</v>
      </c>
      <c r="AI42" s="207">
        <f>+IF($B42&gt;Coverage,0,ROUND((AJ41+($F42+$G42-$H42-$Q42)*PML_BF)*(1+VLOOKUP(AI$3,Assumption!$H$35:$K$43,3,0))^0.5-($M42+$R42)*PML_BF-($S42*PML_BF*AJ41),0))</f>
        <v>0</v>
      </c>
      <c r="AJ42" s="207">
        <f>+IF($B42&gt;Coverage,0,ROUND(AI42*(1+VLOOKUP(AI$3,Assumption!$H$35:$K$43,3,0))^0.5,0))</f>
        <v>0</v>
      </c>
      <c r="AK42" s="207">
        <f>+IF($B42="",0,(1-VLOOKUP(MIN($B42,6),Assumption!$M$10:$N$16,2))*AJ42)</f>
        <v>0</v>
      </c>
      <c r="AL42" s="207">
        <f>+IF($B42&gt;Coverage,0,ROUND((AM41+($F42+$G42-$H42-$Q42)*PML_EF)*(1+VLOOKUP(AL$3,Assumption!$H$35:$K$43,3,0))^0.5-($M42+$R42)*PML_EF-($S42*PML_EF*AM41),0))</f>
        <v>0</v>
      </c>
      <c r="AM42" s="207">
        <f>+IF($B42&gt;Coverage,0,ROUND(AL42*(1+VLOOKUP(AL$3,Assumption!$H$35:$K$43,3,0))^0.5,0))</f>
        <v>0</v>
      </c>
      <c r="AN42" s="207">
        <f>+IF($B42="",0,(1-VLOOKUP(MIN($B42,6),Assumption!$M$10:$N$16,2))*AM42)</f>
        <v>0</v>
      </c>
      <c r="AO42" s="207">
        <f>+IF($B42&gt;Coverage,0,ROUND((AP41+($F42+$G42-$H42-$Q42)*PML_FI)*(1+VLOOKUP(AO$3,Assumption!$H$35:$K$43,3,0))^0.5-($M42+$R42)*PML_FI-($S42*PML_FI*AP41),0))</f>
        <v>0</v>
      </c>
      <c r="AP42" s="207">
        <f>+IF($B42&gt;Coverage,0,ROUND(AO42*(1+VLOOKUP(AO$3,Assumption!$H$35:$K$43,3,0))^0.5,0))</f>
        <v>0</v>
      </c>
      <c r="AQ42" s="207">
        <f>+IF($B42="",0,(1-VLOOKUP(MIN($B42,6),Assumption!$M$10:$N$16,2))*AP42)</f>
        <v>0</v>
      </c>
      <c r="AR42" s="207">
        <f>+IF($B42&gt;Coverage,0,ROUND((AS41+($F42+$G42-$H42-$Q42)*PML_LF)*(1+VLOOKUP(AR$3,Assumption!$H$35:$K$43,4,0))^0.5-($M42+$R42)*PML_LF-($S42*PML_LF*AS41),0))</f>
        <v>0</v>
      </c>
      <c r="AS42" s="207">
        <f>+IF($B42&gt;Coverage,0,ROUND(AR42*(1+VLOOKUP(AR$3,Assumption!$H$35:$K$43,4,0))^0.5,0))</f>
        <v>0</v>
      </c>
      <c r="AT42" s="207">
        <f>+IF($B42="",0,(1-VLOOKUP(MIN($B42,6),Assumption!$M$10:$N$16,2))*AS42)</f>
        <v>0</v>
      </c>
      <c r="AU42" s="207">
        <f>+IF($B42&gt;Coverage,0,ROUND((AV41+($F42+$G42-$H42-$Q42)*PML_BF)*(1+VLOOKUP(AU$3,Assumption!$H$35:$K$43,4,0))^0.5-($M42+$R42)*PML_BF-($S42*PML_BF*AV41),0))</f>
        <v>0</v>
      </c>
      <c r="AV42" s="207">
        <f>+IF($B42&gt;Coverage,0,ROUND(AU42*(1+VLOOKUP(AU$3,Assumption!$H$35:$K$43,4,0))^0.5,0))</f>
        <v>0</v>
      </c>
      <c r="AW42" s="207">
        <f>+IF($B42="",0,(1-VLOOKUP(MIN($B42,6),Assumption!$M$10:$N$16,2))*AV42)</f>
        <v>0</v>
      </c>
      <c r="AX42" s="207">
        <f>+IF($B42&gt;Coverage,0,ROUND((AY41+($F42+$G42-$H42-$Q42)*PML_EF)*(1+VLOOKUP(AX$3,Assumption!$H$35:$K$43,4,0))^0.5-($M42+$R42)*PML_EF-($S42*PML_EF*AY41),0))</f>
        <v>0</v>
      </c>
      <c r="AY42" s="207">
        <f>+IF($B42&gt;Coverage,0,ROUND(AX42*(1+VLOOKUP(AX$3,Assumption!$H$35:$K$43,4,0))^0.5,0))</f>
        <v>0</v>
      </c>
      <c r="AZ42" s="207">
        <f>+IF($B42="",0,(1-VLOOKUP(MIN($B42,6),Assumption!$M$10:$N$16,2))*AY42)</f>
        <v>0</v>
      </c>
      <c r="BA42" s="207">
        <f>+IF($B42&gt;Coverage,0,ROUND((BB41+($F42+$G42-$H42-$Q42)*PML_FI)*(1+VLOOKUP(BA$3,Assumption!$H$35:$K$43,4,0))^0.5-($M42+$R42)*PML_FI-($S42*PML_FI*BB41),0))</f>
        <v>0</v>
      </c>
      <c r="BB42" s="207">
        <f>+IF($B42&gt;Coverage,0,ROUND(BA42*(1+VLOOKUP(BA$3,Assumption!$H$35:$K$43,4,0))^0.5,0))</f>
        <v>0</v>
      </c>
      <c r="BC42" s="207">
        <f>+IF($B42="",0,(1-VLOOKUP(MIN($B42,6),Assumption!$M$10:$N$16,2))*BB42)</f>
        <v>0</v>
      </c>
    </row>
    <row r="43" ht="14.25" customHeight="1">
      <c r="A43" s="126">
        <v>36.0</v>
      </c>
      <c r="B43" s="129" t="str">
        <f>+IF(A43&gt;Coverage,"",A43)</f>
        <v/>
      </c>
      <c r="C43" s="134" t="str">
        <f>+IF(B43=1,Insured_Age,IF(B43="","",C42+1))</f>
        <v/>
      </c>
      <c r="D43" s="134" t="str">
        <f>+IF(B43&gt;Coverage,"",IF(B43=1,input!$H$11,D42+1))</f>
        <v/>
      </c>
      <c r="E43" s="134" t="str">
        <f>IF(B43=1,premi_dasar,IF(B43&gt;Coverage,"",0))</f>
        <v/>
      </c>
      <c r="F43" s="134" t="str">
        <f>IF(B43&gt;Coverage,"",SUM(E43))</f>
        <v/>
      </c>
      <c r="G43" s="134" t="str">
        <f>IF(B43&gt;Coverage,"",SUMIFS(input!$E$38:$E$50,input!$C$38:$C$50,$C43))</f>
        <v/>
      </c>
      <c r="H43" s="134" t="str">
        <f>IF(B43&gt;Coverage,"",SUMIFS(input!$E$53:$E$87,input!$C$53:$C$87,$C43))</f>
        <v/>
      </c>
      <c r="I43" s="66" t="str">
        <f>+IF(B43="","",Sum_Assured*VLOOKUP(MIN(C43,10),Assumption!$M$19:$N$28,2,0))</f>
        <v/>
      </c>
      <c r="J43" s="66" t="str">
        <f>IF(B43="","",input!$D$33)</f>
        <v/>
      </c>
      <c r="K43" s="66" t="str">
        <f>IF(B43&gt;Coverage,"",VLOOKUP($C43,COI_Tab[],IF(sex="Male",2,3),0)*I43*(1+EM_Basic)/1000)</f>
        <v/>
      </c>
      <c r="L43" s="66" t="str">
        <f>IF(B43&gt;Coverage,"",VLOOKUP($C43,COI_Tab[],4,0)*J43*(1+EM_Basic)/1000)</f>
        <v/>
      </c>
      <c r="M43" s="207" t="str">
        <f>IF(B43&gt;Coverage,"",ROUND(K43+L43,0))</f>
        <v/>
      </c>
      <c r="N43" s="134" t="str">
        <f>IF(B43&gt;Coverage,"",VLOOKUP($B43,Assumption!$H$11:$I$15,2)*E43)</f>
        <v/>
      </c>
      <c r="O43" s="134" t="str">
        <f>IF(B43&gt;Coverage,"",Assumption!$J$11*$G43)</f>
        <v/>
      </c>
      <c r="P43" s="134" t="str">
        <f>IF(B43&gt;Coverage,"",H43*VLOOKUP(MIN(B43,6),Assumption!$M$11:$N$16,2,0))</f>
        <v/>
      </c>
      <c r="Q43" s="134" t="str">
        <f>IF(B43&gt;Coverage,"",SUM(N43:P43))</f>
        <v/>
      </c>
      <c r="R43" s="207" t="str">
        <f>+IF($B43&gt;Coverage,"",Assumption!$I$18*12)</f>
        <v/>
      </c>
      <c r="S43" s="208" t="str">
        <f>+IF($B43&gt;Coverage,"",Assumption!$I$20)</f>
        <v/>
      </c>
      <c r="T43" s="207">
        <f>+IF($B43&gt;Coverage,0,ROUND((U42+($F43+$G43-$H43-$Q43)*PML_LF)*(1+VLOOKUP(T$3,Assumption!$H$35:$K$43,2,0))^0.5-($M43+$R43)*PML_LF-($S43*PML_LF*U42),0))</f>
        <v>0</v>
      </c>
      <c r="U43" s="207">
        <f>+IF($B43&gt;Coverage,0,ROUND(T43*(1+VLOOKUP(T$3,Assumption!$H$35:$K$43,2,0))^0.5,0))</f>
        <v>0</v>
      </c>
      <c r="V43" s="207">
        <f>+IF($B43="",0,(1-VLOOKUP(MIN($B43,6),Assumption!$M$10:$N$16,2))*U43)</f>
        <v>0</v>
      </c>
      <c r="W43" s="207">
        <f>+IF($B43&gt;Coverage,0,ROUND((X42+($F43+$G43-$H43-$Q43)*PML_BF)*(1+VLOOKUP(W$3,Assumption!$H$35:$K$43,2,0))^0.5-($M43+$R43)*PML_BF-($S43*PML_BF*X42),0))</f>
        <v>0</v>
      </c>
      <c r="X43" s="207">
        <f>+IF($B43&gt;Coverage,0,ROUND(W43*(1+VLOOKUP(W$3,Assumption!$H$35:$K$43,2,0))^0.5,0))</f>
        <v>0</v>
      </c>
      <c r="Y43" s="207">
        <f>+IF($B43="",0,(1-VLOOKUP(MIN($B43,6),Assumption!$M$10:$N$16,2))*X43)</f>
        <v>0</v>
      </c>
      <c r="Z43" s="207">
        <f>+IF($B43&gt;Coverage,0,ROUND((AA42+($F43+$G43-$H43-$Q43)*PML_EF)*(1+VLOOKUP(Z$3,Assumption!$H$35:$K$43,2,0))^0.5-($M43+$R43)*PML_EF-($S43*PML_EF*AA42),0))</f>
        <v>0</v>
      </c>
      <c r="AA43" s="207">
        <f>+IF($B43&gt;Coverage,0,ROUND(Z43*(1+VLOOKUP(Z$3,Assumption!$H$35:$K$43,2,0))^0.5,0))</f>
        <v>0</v>
      </c>
      <c r="AB43" s="207">
        <f>+IF($B43="",0,(1-VLOOKUP(MIN($B43,6),Assumption!$M$10:$N$16,2))*AA43)</f>
        <v>0</v>
      </c>
      <c r="AC43" s="207">
        <f>+IF($B43&gt;Coverage,0,ROUND((AD42+($F43+$G43-$H43-$Q43)*PML_FI)*(1+VLOOKUP(AC$3,Assumption!$H$35:$K$43,2,0))^0.5-($M43+$R43)*PML_FI-($S43*PML_FI*AD42),0))</f>
        <v>0</v>
      </c>
      <c r="AD43" s="207">
        <f>+IF($B43&gt;Coverage,0,ROUND(AC43*(1+VLOOKUP(AC$3,Assumption!$H$35:$K$43,2,0))^0.5,0))</f>
        <v>0</v>
      </c>
      <c r="AE43" s="207">
        <f>+IF($B43="",0,(1-VLOOKUP(MIN($B43,6),Assumption!$M$10:$N$16,2))*AD43)</f>
        <v>0</v>
      </c>
      <c r="AF43" s="207">
        <f>+IF($B43&gt;Coverage,0,ROUND((AG42+($F43+$G43-$H43-$Q43)*PML_LF)*(1+VLOOKUP(AF$3,Assumption!$H$35:$K$43,3,0))^0.5-($M43+$R43)*PML_LF-($S43*PML_LF*AG42),0))</f>
        <v>0</v>
      </c>
      <c r="AG43" s="207">
        <f>+IF($B43&gt;Coverage,0,ROUND(AF43*(1+VLOOKUP(AF$3,Assumption!$H$35:$K$43,3,0))^0.5,0))</f>
        <v>0</v>
      </c>
      <c r="AH43" s="207">
        <f>+IF($B43="",0,(1-VLOOKUP(MIN($B43,6),Assumption!$M$10:$N$16,2))*AG43)</f>
        <v>0</v>
      </c>
      <c r="AI43" s="207">
        <f>+IF($B43&gt;Coverage,0,ROUND((AJ42+($F43+$G43-$H43-$Q43)*PML_BF)*(1+VLOOKUP(AI$3,Assumption!$H$35:$K$43,3,0))^0.5-($M43+$R43)*PML_BF-($S43*PML_BF*AJ42),0))</f>
        <v>0</v>
      </c>
      <c r="AJ43" s="207">
        <f>+IF($B43&gt;Coverage,0,ROUND(AI43*(1+VLOOKUP(AI$3,Assumption!$H$35:$K$43,3,0))^0.5,0))</f>
        <v>0</v>
      </c>
      <c r="AK43" s="207">
        <f>+IF($B43="",0,(1-VLOOKUP(MIN($B43,6),Assumption!$M$10:$N$16,2))*AJ43)</f>
        <v>0</v>
      </c>
      <c r="AL43" s="207">
        <f>+IF($B43&gt;Coverage,0,ROUND((AM42+($F43+$G43-$H43-$Q43)*PML_EF)*(1+VLOOKUP(AL$3,Assumption!$H$35:$K$43,3,0))^0.5-($M43+$R43)*PML_EF-($S43*PML_EF*AM42),0))</f>
        <v>0</v>
      </c>
      <c r="AM43" s="207">
        <f>+IF($B43&gt;Coverage,0,ROUND(AL43*(1+VLOOKUP(AL$3,Assumption!$H$35:$K$43,3,0))^0.5,0))</f>
        <v>0</v>
      </c>
      <c r="AN43" s="207">
        <f>+IF($B43="",0,(1-VLOOKUP(MIN($B43,6),Assumption!$M$10:$N$16,2))*AM43)</f>
        <v>0</v>
      </c>
      <c r="AO43" s="207">
        <f>+IF($B43&gt;Coverage,0,ROUND((AP42+($F43+$G43-$H43-$Q43)*PML_FI)*(1+VLOOKUP(AO$3,Assumption!$H$35:$K$43,3,0))^0.5-($M43+$R43)*PML_FI-($S43*PML_FI*AP42),0))</f>
        <v>0</v>
      </c>
      <c r="AP43" s="207">
        <f>+IF($B43&gt;Coverage,0,ROUND(AO43*(1+VLOOKUP(AO$3,Assumption!$H$35:$K$43,3,0))^0.5,0))</f>
        <v>0</v>
      </c>
      <c r="AQ43" s="207">
        <f>+IF($B43="",0,(1-VLOOKUP(MIN($B43,6),Assumption!$M$10:$N$16,2))*AP43)</f>
        <v>0</v>
      </c>
      <c r="AR43" s="207">
        <f>+IF($B43&gt;Coverage,0,ROUND((AS42+($F43+$G43-$H43-$Q43)*PML_LF)*(1+VLOOKUP(AR$3,Assumption!$H$35:$K$43,4,0))^0.5-($M43+$R43)*PML_LF-($S43*PML_LF*AS42),0))</f>
        <v>0</v>
      </c>
      <c r="AS43" s="207">
        <f>+IF($B43&gt;Coverage,0,ROUND(AR43*(1+VLOOKUP(AR$3,Assumption!$H$35:$K$43,4,0))^0.5,0))</f>
        <v>0</v>
      </c>
      <c r="AT43" s="207">
        <f>+IF($B43="",0,(1-VLOOKUP(MIN($B43,6),Assumption!$M$10:$N$16,2))*AS43)</f>
        <v>0</v>
      </c>
      <c r="AU43" s="207">
        <f>+IF($B43&gt;Coverage,0,ROUND((AV42+($F43+$G43-$H43-$Q43)*PML_BF)*(1+VLOOKUP(AU$3,Assumption!$H$35:$K$43,4,0))^0.5-($M43+$R43)*PML_BF-($S43*PML_BF*AV42),0))</f>
        <v>0</v>
      </c>
      <c r="AV43" s="207">
        <f>+IF($B43&gt;Coverage,0,ROUND(AU43*(1+VLOOKUP(AU$3,Assumption!$H$35:$K$43,4,0))^0.5,0))</f>
        <v>0</v>
      </c>
      <c r="AW43" s="207">
        <f>+IF($B43="",0,(1-VLOOKUP(MIN($B43,6),Assumption!$M$10:$N$16,2))*AV43)</f>
        <v>0</v>
      </c>
      <c r="AX43" s="207">
        <f>+IF($B43&gt;Coverage,0,ROUND((AY42+($F43+$G43-$H43-$Q43)*PML_EF)*(1+VLOOKUP(AX$3,Assumption!$H$35:$K$43,4,0))^0.5-($M43+$R43)*PML_EF-($S43*PML_EF*AY42),0))</f>
        <v>0</v>
      </c>
      <c r="AY43" s="207">
        <f>+IF($B43&gt;Coverage,0,ROUND(AX43*(1+VLOOKUP(AX$3,Assumption!$H$35:$K$43,4,0))^0.5,0))</f>
        <v>0</v>
      </c>
      <c r="AZ43" s="207">
        <f>+IF($B43="",0,(1-VLOOKUP(MIN($B43,6),Assumption!$M$10:$N$16,2))*AY43)</f>
        <v>0</v>
      </c>
      <c r="BA43" s="207">
        <f>+IF($B43&gt;Coverage,0,ROUND((BB42+($F43+$G43-$H43-$Q43)*PML_FI)*(1+VLOOKUP(BA$3,Assumption!$H$35:$K$43,4,0))^0.5-($M43+$R43)*PML_FI-($S43*PML_FI*BB42),0))</f>
        <v>0</v>
      </c>
      <c r="BB43" s="207">
        <f>+IF($B43&gt;Coverage,0,ROUND(BA43*(1+VLOOKUP(BA$3,Assumption!$H$35:$K$43,4,0))^0.5,0))</f>
        <v>0</v>
      </c>
      <c r="BC43" s="207">
        <f>+IF($B43="",0,(1-VLOOKUP(MIN($B43,6),Assumption!$M$10:$N$16,2))*BB43)</f>
        <v>0</v>
      </c>
    </row>
    <row r="44" ht="14.25" customHeight="1">
      <c r="A44" s="126">
        <v>37.0</v>
      </c>
      <c r="B44" s="129" t="str">
        <f>+IF(A44&gt;Coverage,"",A44)</f>
        <v/>
      </c>
      <c r="C44" s="134" t="str">
        <f>+IF(B44=1,Insured_Age,IF(B44="","",C43+1))</f>
        <v/>
      </c>
      <c r="D44" s="134" t="str">
        <f>+IF(B44&gt;Coverage,"",IF(B44=1,input!$H$11,D43+1))</f>
        <v/>
      </c>
      <c r="E44" s="134" t="str">
        <f>IF(B44=1,premi_dasar,IF(B44&gt;Coverage,"",0))</f>
        <v/>
      </c>
      <c r="F44" s="134" t="str">
        <f>IF(B44&gt;Coverage,"",SUM(E44))</f>
        <v/>
      </c>
      <c r="G44" s="134" t="str">
        <f>IF(B44&gt;Coverage,"",SUMIFS(input!$E$38:$E$50,input!$C$38:$C$50,$C44))</f>
        <v/>
      </c>
      <c r="H44" s="134" t="str">
        <f>IF(B44&gt;Coverage,"",SUMIFS(input!$E$53:$E$87,input!$C$53:$C$87,$C44))</f>
        <v/>
      </c>
      <c r="I44" s="66" t="str">
        <f>+IF(B44="","",Sum_Assured*VLOOKUP(MIN(C44,10),Assumption!$M$19:$N$28,2,0))</f>
        <v/>
      </c>
      <c r="J44" s="66" t="str">
        <f>IF(B44="","",input!$D$33)</f>
        <v/>
      </c>
      <c r="K44" s="66" t="str">
        <f>IF(B44&gt;Coverage,"",VLOOKUP($C44,COI_Tab[],IF(sex="Male",2,3),0)*I44*(1+EM_Basic)/1000)</f>
        <v/>
      </c>
      <c r="L44" s="66" t="str">
        <f>IF(B44&gt;Coverage,"",VLOOKUP($C44,COI_Tab[],4,0)*J44*(1+EM_Basic)/1000)</f>
        <v/>
      </c>
      <c r="M44" s="207" t="str">
        <f>IF(B44&gt;Coverage,"",ROUND(K44+L44,0))</f>
        <v/>
      </c>
      <c r="N44" s="134" t="str">
        <f>IF(B44&gt;Coverage,"",VLOOKUP($B44,Assumption!$H$11:$I$15,2)*E44)</f>
        <v/>
      </c>
      <c r="O44" s="134" t="str">
        <f>IF(B44&gt;Coverage,"",Assumption!$J$11*$G44)</f>
        <v/>
      </c>
      <c r="P44" s="134" t="str">
        <f>IF(B44&gt;Coverage,"",H44*VLOOKUP(MIN(B44,6),Assumption!$M$11:$N$16,2,0))</f>
        <v/>
      </c>
      <c r="Q44" s="134" t="str">
        <f>IF(B44&gt;Coverage,"",SUM(N44:P44))</f>
        <v/>
      </c>
      <c r="R44" s="207" t="str">
        <f>+IF($B44&gt;Coverage,"",Assumption!$I$18*12)</f>
        <v/>
      </c>
      <c r="S44" s="208" t="str">
        <f>+IF($B44&gt;Coverage,"",Assumption!$I$20)</f>
        <v/>
      </c>
      <c r="T44" s="207">
        <f>+IF($B44&gt;Coverage,0,ROUND((U43+($F44+$G44-$H44-$Q44)*PML_LF)*(1+VLOOKUP(T$3,Assumption!$H$35:$K$43,2,0))^0.5-($M44+$R44)*PML_LF-($S44*PML_LF*U43),0))</f>
        <v>0</v>
      </c>
      <c r="U44" s="207">
        <f>+IF($B44&gt;Coverage,0,ROUND(T44*(1+VLOOKUP(T$3,Assumption!$H$35:$K$43,2,0))^0.5,0))</f>
        <v>0</v>
      </c>
      <c r="V44" s="207">
        <f>+IF($B44="",0,(1-VLOOKUP(MIN($B44,6),Assumption!$M$10:$N$16,2))*U44)</f>
        <v>0</v>
      </c>
      <c r="W44" s="207">
        <f>+IF($B44&gt;Coverage,0,ROUND((X43+($F44+$G44-$H44-$Q44)*PML_BF)*(1+VLOOKUP(W$3,Assumption!$H$35:$K$43,2,0))^0.5-($M44+$R44)*PML_BF-($S44*PML_BF*X43),0))</f>
        <v>0</v>
      </c>
      <c r="X44" s="207">
        <f>+IF($B44&gt;Coverage,0,ROUND(W44*(1+VLOOKUP(W$3,Assumption!$H$35:$K$43,2,0))^0.5,0))</f>
        <v>0</v>
      </c>
      <c r="Y44" s="207">
        <f>+IF($B44="",0,(1-VLOOKUP(MIN($B44,6),Assumption!$M$10:$N$16,2))*X44)</f>
        <v>0</v>
      </c>
      <c r="Z44" s="207">
        <f>+IF($B44&gt;Coverage,0,ROUND((AA43+($F44+$G44-$H44-$Q44)*PML_EF)*(1+VLOOKUP(Z$3,Assumption!$H$35:$K$43,2,0))^0.5-($M44+$R44)*PML_EF-($S44*PML_EF*AA43),0))</f>
        <v>0</v>
      </c>
      <c r="AA44" s="207">
        <f>+IF($B44&gt;Coverage,0,ROUND(Z44*(1+VLOOKUP(Z$3,Assumption!$H$35:$K$43,2,0))^0.5,0))</f>
        <v>0</v>
      </c>
      <c r="AB44" s="207">
        <f>+IF($B44="",0,(1-VLOOKUP(MIN($B44,6),Assumption!$M$10:$N$16,2))*AA44)</f>
        <v>0</v>
      </c>
      <c r="AC44" s="207">
        <f>+IF($B44&gt;Coverage,0,ROUND((AD43+($F44+$G44-$H44-$Q44)*PML_FI)*(1+VLOOKUP(AC$3,Assumption!$H$35:$K$43,2,0))^0.5-($M44+$R44)*PML_FI-($S44*PML_FI*AD43),0))</f>
        <v>0</v>
      </c>
      <c r="AD44" s="207">
        <f>+IF($B44&gt;Coverage,0,ROUND(AC44*(1+VLOOKUP(AC$3,Assumption!$H$35:$K$43,2,0))^0.5,0))</f>
        <v>0</v>
      </c>
      <c r="AE44" s="207">
        <f>+IF($B44="",0,(1-VLOOKUP(MIN($B44,6),Assumption!$M$10:$N$16,2))*AD44)</f>
        <v>0</v>
      </c>
      <c r="AF44" s="207">
        <f>+IF($B44&gt;Coverage,0,ROUND((AG43+($F44+$G44-$H44-$Q44)*PML_LF)*(1+VLOOKUP(AF$3,Assumption!$H$35:$K$43,3,0))^0.5-($M44+$R44)*PML_LF-($S44*PML_LF*AG43),0))</f>
        <v>0</v>
      </c>
      <c r="AG44" s="207">
        <f>+IF($B44&gt;Coverage,0,ROUND(AF44*(1+VLOOKUP(AF$3,Assumption!$H$35:$K$43,3,0))^0.5,0))</f>
        <v>0</v>
      </c>
      <c r="AH44" s="207">
        <f>+IF($B44="",0,(1-VLOOKUP(MIN($B44,6),Assumption!$M$10:$N$16,2))*AG44)</f>
        <v>0</v>
      </c>
      <c r="AI44" s="207">
        <f>+IF($B44&gt;Coverage,0,ROUND((AJ43+($F44+$G44-$H44-$Q44)*PML_BF)*(1+VLOOKUP(AI$3,Assumption!$H$35:$K$43,3,0))^0.5-($M44+$R44)*PML_BF-($S44*PML_BF*AJ43),0))</f>
        <v>0</v>
      </c>
      <c r="AJ44" s="207">
        <f>+IF($B44&gt;Coverage,0,ROUND(AI44*(1+VLOOKUP(AI$3,Assumption!$H$35:$K$43,3,0))^0.5,0))</f>
        <v>0</v>
      </c>
      <c r="AK44" s="207">
        <f>+IF($B44="",0,(1-VLOOKUP(MIN($B44,6),Assumption!$M$10:$N$16,2))*AJ44)</f>
        <v>0</v>
      </c>
      <c r="AL44" s="207">
        <f>+IF($B44&gt;Coverage,0,ROUND((AM43+($F44+$G44-$H44-$Q44)*PML_EF)*(1+VLOOKUP(AL$3,Assumption!$H$35:$K$43,3,0))^0.5-($M44+$R44)*PML_EF-($S44*PML_EF*AM43),0))</f>
        <v>0</v>
      </c>
      <c r="AM44" s="207">
        <f>+IF($B44&gt;Coverage,0,ROUND(AL44*(1+VLOOKUP(AL$3,Assumption!$H$35:$K$43,3,0))^0.5,0))</f>
        <v>0</v>
      </c>
      <c r="AN44" s="207">
        <f>+IF($B44="",0,(1-VLOOKUP(MIN($B44,6),Assumption!$M$10:$N$16,2))*AM44)</f>
        <v>0</v>
      </c>
      <c r="AO44" s="207">
        <f>+IF($B44&gt;Coverage,0,ROUND((AP43+($F44+$G44-$H44-$Q44)*PML_FI)*(1+VLOOKUP(AO$3,Assumption!$H$35:$K$43,3,0))^0.5-($M44+$R44)*PML_FI-($S44*PML_FI*AP43),0))</f>
        <v>0</v>
      </c>
      <c r="AP44" s="207">
        <f>+IF($B44&gt;Coverage,0,ROUND(AO44*(1+VLOOKUP(AO$3,Assumption!$H$35:$K$43,3,0))^0.5,0))</f>
        <v>0</v>
      </c>
      <c r="AQ44" s="207">
        <f>+IF($B44="",0,(1-VLOOKUP(MIN($B44,6),Assumption!$M$10:$N$16,2))*AP44)</f>
        <v>0</v>
      </c>
      <c r="AR44" s="207">
        <f>+IF($B44&gt;Coverage,0,ROUND((AS43+($F44+$G44-$H44-$Q44)*PML_LF)*(1+VLOOKUP(AR$3,Assumption!$H$35:$K$43,4,0))^0.5-($M44+$R44)*PML_LF-($S44*PML_LF*AS43),0))</f>
        <v>0</v>
      </c>
      <c r="AS44" s="207">
        <f>+IF($B44&gt;Coverage,0,ROUND(AR44*(1+VLOOKUP(AR$3,Assumption!$H$35:$K$43,4,0))^0.5,0))</f>
        <v>0</v>
      </c>
      <c r="AT44" s="207">
        <f>+IF($B44="",0,(1-VLOOKUP(MIN($B44,6),Assumption!$M$10:$N$16,2))*AS44)</f>
        <v>0</v>
      </c>
      <c r="AU44" s="207">
        <f>+IF($B44&gt;Coverage,0,ROUND((AV43+($F44+$G44-$H44-$Q44)*PML_BF)*(1+VLOOKUP(AU$3,Assumption!$H$35:$K$43,4,0))^0.5-($M44+$R44)*PML_BF-($S44*PML_BF*AV43),0))</f>
        <v>0</v>
      </c>
      <c r="AV44" s="207">
        <f>+IF($B44&gt;Coverage,0,ROUND(AU44*(1+VLOOKUP(AU$3,Assumption!$H$35:$K$43,4,0))^0.5,0))</f>
        <v>0</v>
      </c>
      <c r="AW44" s="207">
        <f>+IF($B44="",0,(1-VLOOKUP(MIN($B44,6),Assumption!$M$10:$N$16,2))*AV44)</f>
        <v>0</v>
      </c>
      <c r="AX44" s="207">
        <f>+IF($B44&gt;Coverage,0,ROUND((AY43+($F44+$G44-$H44-$Q44)*PML_EF)*(1+VLOOKUP(AX$3,Assumption!$H$35:$K$43,4,0))^0.5-($M44+$R44)*PML_EF-($S44*PML_EF*AY43),0))</f>
        <v>0</v>
      </c>
      <c r="AY44" s="207">
        <f>+IF($B44&gt;Coverage,0,ROUND(AX44*(1+VLOOKUP(AX$3,Assumption!$H$35:$K$43,4,0))^0.5,0))</f>
        <v>0</v>
      </c>
      <c r="AZ44" s="207">
        <f>+IF($B44="",0,(1-VLOOKUP(MIN($B44,6),Assumption!$M$10:$N$16,2))*AY44)</f>
        <v>0</v>
      </c>
      <c r="BA44" s="207">
        <f>+IF($B44&gt;Coverage,0,ROUND((BB43+($F44+$G44-$H44-$Q44)*PML_FI)*(1+VLOOKUP(BA$3,Assumption!$H$35:$K$43,4,0))^0.5-($M44+$R44)*PML_FI-($S44*PML_FI*BB43),0))</f>
        <v>0</v>
      </c>
      <c r="BB44" s="207">
        <f>+IF($B44&gt;Coverage,0,ROUND(BA44*(1+VLOOKUP(BA$3,Assumption!$H$35:$K$43,4,0))^0.5,0))</f>
        <v>0</v>
      </c>
      <c r="BC44" s="207">
        <f>+IF($B44="",0,(1-VLOOKUP(MIN($B44,6),Assumption!$M$10:$N$16,2))*BB44)</f>
        <v>0</v>
      </c>
    </row>
    <row r="45" ht="14.25" customHeight="1">
      <c r="A45" s="126">
        <v>38.0</v>
      </c>
      <c r="B45" s="129" t="str">
        <f>+IF(A45&gt;Coverage,"",A45)</f>
        <v/>
      </c>
      <c r="C45" s="134" t="str">
        <f>+IF(B45=1,Insured_Age,IF(B45="","",C44+1))</f>
        <v/>
      </c>
      <c r="D45" s="134" t="str">
        <f>+IF(B45&gt;Coverage,"",IF(B45=1,input!$H$11,D44+1))</f>
        <v/>
      </c>
      <c r="E45" s="134" t="str">
        <f>IF(B45=1,premi_dasar,IF(B45&gt;Coverage,"",0))</f>
        <v/>
      </c>
      <c r="F45" s="134" t="str">
        <f>IF(B45&gt;Coverage,"",SUM(E45))</f>
        <v/>
      </c>
      <c r="G45" s="134" t="str">
        <f>IF(B45&gt;Coverage,"",SUMIFS(input!$E$38:$E$50,input!$C$38:$C$50,$C45))</f>
        <v/>
      </c>
      <c r="H45" s="134" t="str">
        <f>IF(B45&gt;Coverage,"",SUMIFS(input!$E$53:$E$87,input!$C$53:$C$87,$C45))</f>
        <v/>
      </c>
      <c r="I45" s="66" t="str">
        <f>+IF(B45="","",Sum_Assured*VLOOKUP(MIN(C45,10),Assumption!$M$19:$N$28,2,0))</f>
        <v/>
      </c>
      <c r="J45" s="66" t="str">
        <f>IF(B45="","",input!$D$33)</f>
        <v/>
      </c>
      <c r="K45" s="66" t="str">
        <f>IF(B45&gt;Coverage,"",VLOOKUP($C45,COI_Tab[],IF(sex="Male",2,3),0)*I45*(1+EM_Basic)/1000)</f>
        <v/>
      </c>
      <c r="L45" s="66" t="str">
        <f>IF(B45&gt;Coverage,"",VLOOKUP($C45,COI_Tab[],4,0)*J45*(1+EM_Basic)/1000)</f>
        <v/>
      </c>
      <c r="M45" s="207" t="str">
        <f>IF(B45&gt;Coverage,"",ROUND(K45+L45,0))</f>
        <v/>
      </c>
      <c r="N45" s="134" t="str">
        <f>IF(B45&gt;Coverage,"",VLOOKUP($B45,Assumption!$H$11:$I$15,2)*E45)</f>
        <v/>
      </c>
      <c r="O45" s="134" t="str">
        <f>IF(B45&gt;Coverage,"",Assumption!$J$11*$G45)</f>
        <v/>
      </c>
      <c r="P45" s="134" t="str">
        <f>IF(B45&gt;Coverage,"",H45*VLOOKUP(MIN(B45,6),Assumption!$M$11:$N$16,2,0))</f>
        <v/>
      </c>
      <c r="Q45" s="134" t="str">
        <f>IF(B45&gt;Coverage,"",SUM(N45:P45))</f>
        <v/>
      </c>
      <c r="R45" s="207" t="str">
        <f>+IF($B45&gt;Coverage,"",Assumption!$I$18*12)</f>
        <v/>
      </c>
      <c r="S45" s="208" t="str">
        <f>+IF($B45&gt;Coverage,"",Assumption!$I$20)</f>
        <v/>
      </c>
      <c r="T45" s="207">
        <f>+IF($B45&gt;Coverage,0,ROUND((U44+($F45+$G45-$H45-$Q45)*PML_LF)*(1+VLOOKUP(T$3,Assumption!$H$35:$K$43,2,0))^0.5-($M45+$R45)*PML_LF-($S45*PML_LF*U44),0))</f>
        <v>0</v>
      </c>
      <c r="U45" s="207">
        <f>+IF($B45&gt;Coverage,0,ROUND(T45*(1+VLOOKUP(T$3,Assumption!$H$35:$K$43,2,0))^0.5,0))</f>
        <v>0</v>
      </c>
      <c r="V45" s="207">
        <f>+IF($B45="",0,(1-VLOOKUP(MIN($B45,6),Assumption!$M$10:$N$16,2))*U45)</f>
        <v>0</v>
      </c>
      <c r="W45" s="207">
        <f>+IF($B45&gt;Coverage,0,ROUND((X44+($F45+$G45-$H45-$Q45)*PML_BF)*(1+VLOOKUP(W$3,Assumption!$H$35:$K$43,2,0))^0.5-($M45+$R45)*PML_BF-($S45*PML_BF*X44),0))</f>
        <v>0</v>
      </c>
      <c r="X45" s="207">
        <f>+IF($B45&gt;Coverage,0,ROUND(W45*(1+VLOOKUP(W$3,Assumption!$H$35:$K$43,2,0))^0.5,0))</f>
        <v>0</v>
      </c>
      <c r="Y45" s="207">
        <f>+IF($B45="",0,(1-VLOOKUP(MIN($B45,6),Assumption!$M$10:$N$16,2))*X45)</f>
        <v>0</v>
      </c>
      <c r="Z45" s="207">
        <f>+IF($B45&gt;Coverage,0,ROUND((AA44+($F45+$G45-$H45-$Q45)*PML_EF)*(1+VLOOKUP(Z$3,Assumption!$H$35:$K$43,2,0))^0.5-($M45+$R45)*PML_EF-($S45*PML_EF*AA44),0))</f>
        <v>0</v>
      </c>
      <c r="AA45" s="207">
        <f>+IF($B45&gt;Coverage,0,ROUND(Z45*(1+VLOOKUP(Z$3,Assumption!$H$35:$K$43,2,0))^0.5,0))</f>
        <v>0</v>
      </c>
      <c r="AB45" s="207">
        <f>+IF($B45="",0,(1-VLOOKUP(MIN($B45,6),Assumption!$M$10:$N$16,2))*AA45)</f>
        <v>0</v>
      </c>
      <c r="AC45" s="207">
        <f>+IF($B45&gt;Coverage,0,ROUND((AD44+($F45+$G45-$H45-$Q45)*PML_FI)*(1+VLOOKUP(AC$3,Assumption!$H$35:$K$43,2,0))^0.5-($M45+$R45)*PML_FI-($S45*PML_FI*AD44),0))</f>
        <v>0</v>
      </c>
      <c r="AD45" s="207">
        <f>+IF($B45&gt;Coverage,0,ROUND(AC45*(1+VLOOKUP(AC$3,Assumption!$H$35:$K$43,2,0))^0.5,0))</f>
        <v>0</v>
      </c>
      <c r="AE45" s="207">
        <f>+IF($B45="",0,(1-VLOOKUP(MIN($B45,6),Assumption!$M$10:$N$16,2))*AD45)</f>
        <v>0</v>
      </c>
      <c r="AF45" s="207">
        <f>+IF($B45&gt;Coverage,0,ROUND((AG44+($F45+$G45-$H45-$Q45)*PML_LF)*(1+VLOOKUP(AF$3,Assumption!$H$35:$K$43,3,0))^0.5-($M45+$R45)*PML_LF-($S45*PML_LF*AG44),0))</f>
        <v>0</v>
      </c>
      <c r="AG45" s="207">
        <f>+IF($B45&gt;Coverage,0,ROUND(AF45*(1+VLOOKUP(AF$3,Assumption!$H$35:$K$43,3,0))^0.5,0))</f>
        <v>0</v>
      </c>
      <c r="AH45" s="207">
        <f>+IF($B45="",0,(1-VLOOKUP(MIN($B45,6),Assumption!$M$10:$N$16,2))*AG45)</f>
        <v>0</v>
      </c>
      <c r="AI45" s="207">
        <f>+IF($B45&gt;Coverage,0,ROUND((AJ44+($F45+$G45-$H45-$Q45)*PML_BF)*(1+VLOOKUP(AI$3,Assumption!$H$35:$K$43,3,0))^0.5-($M45+$R45)*PML_BF-($S45*PML_BF*AJ44),0))</f>
        <v>0</v>
      </c>
      <c r="AJ45" s="207">
        <f>+IF($B45&gt;Coverage,0,ROUND(AI45*(1+VLOOKUP(AI$3,Assumption!$H$35:$K$43,3,0))^0.5,0))</f>
        <v>0</v>
      </c>
      <c r="AK45" s="207">
        <f>+IF($B45="",0,(1-VLOOKUP(MIN($B45,6),Assumption!$M$10:$N$16,2))*AJ45)</f>
        <v>0</v>
      </c>
      <c r="AL45" s="207">
        <f>+IF($B45&gt;Coverage,0,ROUND((AM44+($F45+$G45-$H45-$Q45)*PML_EF)*(1+VLOOKUP(AL$3,Assumption!$H$35:$K$43,3,0))^0.5-($M45+$R45)*PML_EF-($S45*PML_EF*AM44),0))</f>
        <v>0</v>
      </c>
      <c r="AM45" s="207">
        <f>+IF($B45&gt;Coverage,0,ROUND(AL45*(1+VLOOKUP(AL$3,Assumption!$H$35:$K$43,3,0))^0.5,0))</f>
        <v>0</v>
      </c>
      <c r="AN45" s="207">
        <f>+IF($B45="",0,(1-VLOOKUP(MIN($B45,6),Assumption!$M$10:$N$16,2))*AM45)</f>
        <v>0</v>
      </c>
      <c r="AO45" s="207">
        <f>+IF($B45&gt;Coverage,0,ROUND((AP44+($F45+$G45-$H45-$Q45)*PML_FI)*(1+VLOOKUP(AO$3,Assumption!$H$35:$K$43,3,0))^0.5-($M45+$R45)*PML_FI-($S45*PML_FI*AP44),0))</f>
        <v>0</v>
      </c>
      <c r="AP45" s="207">
        <f>+IF($B45&gt;Coverage,0,ROUND(AO45*(1+VLOOKUP(AO$3,Assumption!$H$35:$K$43,3,0))^0.5,0))</f>
        <v>0</v>
      </c>
      <c r="AQ45" s="207">
        <f>+IF($B45="",0,(1-VLOOKUP(MIN($B45,6),Assumption!$M$10:$N$16,2))*AP45)</f>
        <v>0</v>
      </c>
      <c r="AR45" s="207">
        <f>+IF($B45&gt;Coverage,0,ROUND((AS44+($F45+$G45-$H45-$Q45)*PML_LF)*(1+VLOOKUP(AR$3,Assumption!$H$35:$K$43,4,0))^0.5-($M45+$R45)*PML_LF-($S45*PML_LF*AS44),0))</f>
        <v>0</v>
      </c>
      <c r="AS45" s="207">
        <f>+IF($B45&gt;Coverage,0,ROUND(AR45*(1+VLOOKUP(AR$3,Assumption!$H$35:$K$43,4,0))^0.5,0))</f>
        <v>0</v>
      </c>
      <c r="AT45" s="207">
        <f>+IF($B45="",0,(1-VLOOKUP(MIN($B45,6),Assumption!$M$10:$N$16,2))*AS45)</f>
        <v>0</v>
      </c>
      <c r="AU45" s="207">
        <f>+IF($B45&gt;Coverage,0,ROUND((AV44+($F45+$G45-$H45-$Q45)*PML_BF)*(1+VLOOKUP(AU$3,Assumption!$H$35:$K$43,4,0))^0.5-($M45+$R45)*PML_BF-($S45*PML_BF*AV44),0))</f>
        <v>0</v>
      </c>
      <c r="AV45" s="207">
        <f>+IF($B45&gt;Coverage,0,ROUND(AU45*(1+VLOOKUP(AU$3,Assumption!$H$35:$K$43,4,0))^0.5,0))</f>
        <v>0</v>
      </c>
      <c r="AW45" s="207">
        <f>+IF($B45="",0,(1-VLOOKUP(MIN($B45,6),Assumption!$M$10:$N$16,2))*AV45)</f>
        <v>0</v>
      </c>
      <c r="AX45" s="207">
        <f>+IF($B45&gt;Coverage,0,ROUND((AY44+($F45+$G45-$H45-$Q45)*PML_EF)*(1+VLOOKUP(AX$3,Assumption!$H$35:$K$43,4,0))^0.5-($M45+$R45)*PML_EF-($S45*PML_EF*AY44),0))</f>
        <v>0</v>
      </c>
      <c r="AY45" s="207">
        <f>+IF($B45&gt;Coverage,0,ROUND(AX45*(1+VLOOKUP(AX$3,Assumption!$H$35:$K$43,4,0))^0.5,0))</f>
        <v>0</v>
      </c>
      <c r="AZ45" s="207">
        <f>+IF($B45="",0,(1-VLOOKUP(MIN($B45,6),Assumption!$M$10:$N$16,2))*AY45)</f>
        <v>0</v>
      </c>
      <c r="BA45" s="207">
        <f>+IF($B45&gt;Coverage,0,ROUND((BB44+($F45+$G45-$H45-$Q45)*PML_FI)*(1+VLOOKUP(BA$3,Assumption!$H$35:$K$43,4,0))^0.5-($M45+$R45)*PML_FI-($S45*PML_FI*BB44),0))</f>
        <v>0</v>
      </c>
      <c r="BB45" s="207">
        <f>+IF($B45&gt;Coverage,0,ROUND(BA45*(1+VLOOKUP(BA$3,Assumption!$H$35:$K$43,4,0))^0.5,0))</f>
        <v>0</v>
      </c>
      <c r="BC45" s="207">
        <f>+IF($B45="",0,(1-VLOOKUP(MIN($B45,6),Assumption!$M$10:$N$16,2))*BB45)</f>
        <v>0</v>
      </c>
    </row>
    <row r="46" ht="14.25" customHeight="1">
      <c r="A46" s="126">
        <v>39.0</v>
      </c>
      <c r="B46" s="129" t="str">
        <f>+IF(A46&gt;Coverage,"",A46)</f>
        <v/>
      </c>
      <c r="C46" s="134" t="str">
        <f>+IF(B46=1,Insured_Age,IF(B46="","",C45+1))</f>
        <v/>
      </c>
      <c r="D46" s="134" t="str">
        <f>+IF(B46&gt;Coverage,"",IF(B46=1,input!$H$11,D45+1))</f>
        <v/>
      </c>
      <c r="E46" s="134" t="str">
        <f>IF(B46=1,premi_dasar,IF(B46&gt;Coverage,"",0))</f>
        <v/>
      </c>
      <c r="F46" s="134" t="str">
        <f>IF(B46&gt;Coverage,"",SUM(E46))</f>
        <v/>
      </c>
      <c r="G46" s="134" t="str">
        <f>IF(B46&gt;Coverage,"",SUMIFS(input!$E$38:$E$50,input!$C$38:$C$50,$C46))</f>
        <v/>
      </c>
      <c r="H46" s="134" t="str">
        <f>IF(B46&gt;Coverage,"",SUMIFS(input!$E$53:$E$87,input!$C$53:$C$87,$C46))</f>
        <v/>
      </c>
      <c r="I46" s="66" t="str">
        <f>+IF(B46="","",Sum_Assured*VLOOKUP(MIN(C46,10),Assumption!$M$19:$N$28,2,0))</f>
        <v/>
      </c>
      <c r="J46" s="66" t="str">
        <f>IF(B46="","",input!$D$33)</f>
        <v/>
      </c>
      <c r="K46" s="66" t="str">
        <f>IF(B46&gt;Coverage,"",VLOOKUP($C46,COI_Tab[],IF(sex="Male",2,3),0)*I46*(1+EM_Basic)/1000)</f>
        <v/>
      </c>
      <c r="L46" s="66" t="str">
        <f>IF(B46&gt;Coverage,"",VLOOKUP($C46,COI_Tab[],4,0)*J46*(1+EM_Basic)/1000)</f>
        <v/>
      </c>
      <c r="M46" s="207" t="str">
        <f>IF(B46&gt;Coverage,"",ROUND(K46+L46,0))</f>
        <v/>
      </c>
      <c r="N46" s="134" t="str">
        <f>IF(B46&gt;Coverage,"",VLOOKUP($B46,Assumption!$H$11:$I$15,2)*E46)</f>
        <v/>
      </c>
      <c r="O46" s="134" t="str">
        <f>IF(B46&gt;Coverage,"",Assumption!$J$11*$G46)</f>
        <v/>
      </c>
      <c r="P46" s="134" t="str">
        <f>IF(B46&gt;Coverage,"",H46*VLOOKUP(MIN(B46,6),Assumption!$M$11:$N$16,2,0))</f>
        <v/>
      </c>
      <c r="Q46" s="134" t="str">
        <f>IF(B46&gt;Coverage,"",SUM(N46:P46))</f>
        <v/>
      </c>
      <c r="R46" s="207" t="str">
        <f>+IF($B46&gt;Coverage,"",Assumption!$I$18*12)</f>
        <v/>
      </c>
      <c r="S46" s="208" t="str">
        <f>+IF($B46&gt;Coverage,"",Assumption!$I$20)</f>
        <v/>
      </c>
      <c r="T46" s="207">
        <f>+IF($B46&gt;Coverage,0,ROUND((U45+($F46+$G46-$H46-$Q46)*PML_LF)*(1+VLOOKUP(T$3,Assumption!$H$35:$K$43,2,0))^0.5-($M46+$R46)*PML_LF-($S46*PML_LF*U45),0))</f>
        <v>0</v>
      </c>
      <c r="U46" s="207">
        <f>+IF($B46&gt;Coverage,0,ROUND(T46*(1+VLOOKUP(T$3,Assumption!$H$35:$K$43,2,0))^0.5,0))</f>
        <v>0</v>
      </c>
      <c r="V46" s="207">
        <f>+IF($B46="",0,(1-VLOOKUP(MIN($B46,6),Assumption!$M$10:$N$16,2))*U46)</f>
        <v>0</v>
      </c>
      <c r="W46" s="207">
        <f>+IF($B46&gt;Coverage,0,ROUND((X45+($F46+$G46-$H46-$Q46)*PML_BF)*(1+VLOOKUP(W$3,Assumption!$H$35:$K$43,2,0))^0.5-($M46+$R46)*PML_BF-($S46*PML_BF*X45),0))</f>
        <v>0</v>
      </c>
      <c r="X46" s="207">
        <f>+IF($B46&gt;Coverage,0,ROUND(W46*(1+VLOOKUP(W$3,Assumption!$H$35:$K$43,2,0))^0.5,0))</f>
        <v>0</v>
      </c>
      <c r="Y46" s="207">
        <f>+IF($B46="",0,(1-VLOOKUP(MIN($B46,6),Assumption!$M$10:$N$16,2))*X46)</f>
        <v>0</v>
      </c>
      <c r="Z46" s="207">
        <f>+IF($B46&gt;Coverage,0,ROUND((AA45+($F46+$G46-$H46-$Q46)*PML_EF)*(1+VLOOKUP(Z$3,Assumption!$H$35:$K$43,2,0))^0.5-($M46+$R46)*PML_EF-($S46*PML_EF*AA45),0))</f>
        <v>0</v>
      </c>
      <c r="AA46" s="207">
        <f>+IF($B46&gt;Coverage,0,ROUND(Z46*(1+VLOOKUP(Z$3,Assumption!$H$35:$K$43,2,0))^0.5,0))</f>
        <v>0</v>
      </c>
      <c r="AB46" s="207">
        <f>+IF($B46="",0,(1-VLOOKUP(MIN($B46,6),Assumption!$M$10:$N$16,2))*AA46)</f>
        <v>0</v>
      </c>
      <c r="AC46" s="207">
        <f>+IF($B46&gt;Coverage,0,ROUND((AD45+($F46+$G46-$H46-$Q46)*PML_FI)*(1+VLOOKUP(AC$3,Assumption!$H$35:$K$43,2,0))^0.5-($M46+$R46)*PML_FI-($S46*PML_FI*AD45),0))</f>
        <v>0</v>
      </c>
      <c r="AD46" s="207">
        <f>+IF($B46&gt;Coverage,0,ROUND(AC46*(1+VLOOKUP(AC$3,Assumption!$H$35:$K$43,2,0))^0.5,0))</f>
        <v>0</v>
      </c>
      <c r="AE46" s="207">
        <f>+IF($B46="",0,(1-VLOOKUP(MIN($B46,6),Assumption!$M$10:$N$16,2))*AD46)</f>
        <v>0</v>
      </c>
      <c r="AF46" s="207">
        <f>+IF($B46&gt;Coverage,0,ROUND((AG45+($F46+$G46-$H46-$Q46)*PML_LF)*(1+VLOOKUP(AF$3,Assumption!$H$35:$K$43,3,0))^0.5-($M46+$R46)*PML_LF-($S46*PML_LF*AG45),0))</f>
        <v>0</v>
      </c>
      <c r="AG46" s="207">
        <f>+IF($B46&gt;Coverage,0,ROUND(AF46*(1+VLOOKUP(AF$3,Assumption!$H$35:$K$43,3,0))^0.5,0))</f>
        <v>0</v>
      </c>
      <c r="AH46" s="207">
        <f>+IF($B46="",0,(1-VLOOKUP(MIN($B46,6),Assumption!$M$10:$N$16,2))*AG46)</f>
        <v>0</v>
      </c>
      <c r="AI46" s="207">
        <f>+IF($B46&gt;Coverage,0,ROUND((AJ45+($F46+$G46-$H46-$Q46)*PML_BF)*(1+VLOOKUP(AI$3,Assumption!$H$35:$K$43,3,0))^0.5-($M46+$R46)*PML_BF-($S46*PML_BF*AJ45),0))</f>
        <v>0</v>
      </c>
      <c r="AJ46" s="207">
        <f>+IF($B46&gt;Coverage,0,ROUND(AI46*(1+VLOOKUP(AI$3,Assumption!$H$35:$K$43,3,0))^0.5,0))</f>
        <v>0</v>
      </c>
      <c r="AK46" s="207">
        <f>+IF($B46="",0,(1-VLOOKUP(MIN($B46,6),Assumption!$M$10:$N$16,2))*AJ46)</f>
        <v>0</v>
      </c>
      <c r="AL46" s="207">
        <f>+IF($B46&gt;Coverage,0,ROUND((AM45+($F46+$G46-$H46-$Q46)*PML_EF)*(1+VLOOKUP(AL$3,Assumption!$H$35:$K$43,3,0))^0.5-($M46+$R46)*PML_EF-($S46*PML_EF*AM45),0))</f>
        <v>0</v>
      </c>
      <c r="AM46" s="207">
        <f>+IF($B46&gt;Coverage,0,ROUND(AL46*(1+VLOOKUP(AL$3,Assumption!$H$35:$K$43,3,0))^0.5,0))</f>
        <v>0</v>
      </c>
      <c r="AN46" s="207">
        <f>+IF($B46="",0,(1-VLOOKUP(MIN($B46,6),Assumption!$M$10:$N$16,2))*AM46)</f>
        <v>0</v>
      </c>
      <c r="AO46" s="207">
        <f>+IF($B46&gt;Coverage,0,ROUND((AP45+($F46+$G46-$H46-$Q46)*PML_FI)*(1+VLOOKUP(AO$3,Assumption!$H$35:$K$43,3,0))^0.5-($M46+$R46)*PML_FI-($S46*PML_FI*AP45),0))</f>
        <v>0</v>
      </c>
      <c r="AP46" s="207">
        <f>+IF($B46&gt;Coverage,0,ROUND(AO46*(1+VLOOKUP(AO$3,Assumption!$H$35:$K$43,3,0))^0.5,0))</f>
        <v>0</v>
      </c>
      <c r="AQ46" s="207">
        <f>+IF($B46="",0,(1-VLOOKUP(MIN($B46,6),Assumption!$M$10:$N$16,2))*AP46)</f>
        <v>0</v>
      </c>
      <c r="AR46" s="207">
        <f>+IF($B46&gt;Coverage,0,ROUND((AS45+($F46+$G46-$H46-$Q46)*PML_LF)*(1+VLOOKUP(AR$3,Assumption!$H$35:$K$43,4,0))^0.5-($M46+$R46)*PML_LF-($S46*PML_LF*AS45),0))</f>
        <v>0</v>
      </c>
      <c r="AS46" s="207">
        <f>+IF($B46&gt;Coverage,0,ROUND(AR46*(1+VLOOKUP(AR$3,Assumption!$H$35:$K$43,4,0))^0.5,0))</f>
        <v>0</v>
      </c>
      <c r="AT46" s="207">
        <f>+IF($B46="",0,(1-VLOOKUP(MIN($B46,6),Assumption!$M$10:$N$16,2))*AS46)</f>
        <v>0</v>
      </c>
      <c r="AU46" s="207">
        <f>+IF($B46&gt;Coverage,0,ROUND((AV45+($F46+$G46-$H46-$Q46)*PML_BF)*(1+VLOOKUP(AU$3,Assumption!$H$35:$K$43,4,0))^0.5-($M46+$R46)*PML_BF-($S46*PML_BF*AV45),0))</f>
        <v>0</v>
      </c>
      <c r="AV46" s="207">
        <f>+IF($B46&gt;Coverage,0,ROUND(AU46*(1+VLOOKUP(AU$3,Assumption!$H$35:$K$43,4,0))^0.5,0))</f>
        <v>0</v>
      </c>
      <c r="AW46" s="207">
        <f>+IF($B46="",0,(1-VLOOKUP(MIN($B46,6),Assumption!$M$10:$N$16,2))*AV46)</f>
        <v>0</v>
      </c>
      <c r="AX46" s="207">
        <f>+IF($B46&gt;Coverage,0,ROUND((AY45+($F46+$G46-$H46-$Q46)*PML_EF)*(1+VLOOKUP(AX$3,Assumption!$H$35:$K$43,4,0))^0.5-($M46+$R46)*PML_EF-($S46*PML_EF*AY45),0))</f>
        <v>0</v>
      </c>
      <c r="AY46" s="207">
        <f>+IF($B46&gt;Coverage,0,ROUND(AX46*(1+VLOOKUP(AX$3,Assumption!$H$35:$K$43,4,0))^0.5,0))</f>
        <v>0</v>
      </c>
      <c r="AZ46" s="207">
        <f>+IF($B46="",0,(1-VLOOKUP(MIN($B46,6),Assumption!$M$10:$N$16,2))*AY46)</f>
        <v>0</v>
      </c>
      <c r="BA46" s="207">
        <f>+IF($B46&gt;Coverage,0,ROUND((BB45+($F46+$G46-$H46-$Q46)*PML_FI)*(1+VLOOKUP(BA$3,Assumption!$H$35:$K$43,4,0))^0.5-($M46+$R46)*PML_FI-($S46*PML_FI*BB45),0))</f>
        <v>0</v>
      </c>
      <c r="BB46" s="207">
        <f>+IF($B46&gt;Coverage,0,ROUND(BA46*(1+VLOOKUP(BA$3,Assumption!$H$35:$K$43,4,0))^0.5,0))</f>
        <v>0</v>
      </c>
      <c r="BC46" s="207">
        <f>+IF($B46="",0,(1-VLOOKUP(MIN($B46,6),Assumption!$M$10:$N$16,2))*BB46)</f>
        <v>0</v>
      </c>
    </row>
    <row r="47" ht="14.25" customHeight="1">
      <c r="A47" s="126">
        <v>40.0</v>
      </c>
      <c r="B47" s="129" t="str">
        <f>+IF(A47&gt;Coverage,"",A47)</f>
        <v/>
      </c>
      <c r="C47" s="134" t="str">
        <f>+IF(B47=1,Insured_Age,IF(B47="","",C46+1))</f>
        <v/>
      </c>
      <c r="D47" s="134" t="str">
        <f>+IF(B47&gt;Coverage,"",IF(B47=1,input!$H$11,D46+1))</f>
        <v/>
      </c>
      <c r="E47" s="134" t="str">
        <f>IF(B47=1,premi_dasar,IF(B47&gt;Coverage,"",0))</f>
        <v/>
      </c>
      <c r="F47" s="134" t="str">
        <f>IF(B47&gt;Coverage,"",SUM(E47))</f>
        <v/>
      </c>
      <c r="G47" s="134" t="str">
        <f>IF(B47&gt;Coverage,"",SUMIFS(input!$E$38:$E$50,input!$C$38:$C$50,$C47))</f>
        <v/>
      </c>
      <c r="H47" s="134" t="str">
        <f>IF(B47&gt;Coverage,"",SUMIFS(input!$E$53:$E$87,input!$C$53:$C$87,$C47))</f>
        <v/>
      </c>
      <c r="I47" s="66" t="str">
        <f>+IF(B47="","",Sum_Assured*VLOOKUP(MIN(C47,10),Assumption!$M$19:$N$28,2,0))</f>
        <v/>
      </c>
      <c r="J47" s="66" t="str">
        <f>IF(B47="","",input!$D$33)</f>
        <v/>
      </c>
      <c r="K47" s="66" t="str">
        <f>IF(B47&gt;Coverage,"",VLOOKUP($C47,COI_Tab[],IF(sex="Male",2,3),0)*I47*(1+EM_Basic)/1000)</f>
        <v/>
      </c>
      <c r="L47" s="66" t="str">
        <f>IF(B47&gt;Coverage,"",VLOOKUP($C47,COI_Tab[],4,0)*J47*(1+EM_Basic)/1000)</f>
        <v/>
      </c>
      <c r="M47" s="207" t="str">
        <f>IF(B47&gt;Coverage,"",ROUND(K47+L47,0))</f>
        <v/>
      </c>
      <c r="N47" s="134" t="str">
        <f>IF(B47&gt;Coverage,"",VLOOKUP($B47,Assumption!$H$11:$I$15,2)*E47)</f>
        <v/>
      </c>
      <c r="O47" s="134" t="str">
        <f>IF(B47&gt;Coverage,"",Assumption!$J$11*$G47)</f>
        <v/>
      </c>
      <c r="P47" s="134" t="str">
        <f>IF(B47&gt;Coverage,"",H47*VLOOKUP(MIN(B47,6),Assumption!$M$11:$N$16,2,0))</f>
        <v/>
      </c>
      <c r="Q47" s="134" t="str">
        <f>IF(B47&gt;Coverage,"",SUM(N47:P47))</f>
        <v/>
      </c>
      <c r="R47" s="207" t="str">
        <f>+IF($B47&gt;Coverage,"",Assumption!$I$18*12)</f>
        <v/>
      </c>
      <c r="S47" s="208" t="str">
        <f>+IF($B47&gt;Coverage,"",Assumption!$I$20)</f>
        <v/>
      </c>
      <c r="T47" s="207">
        <f>+IF($B47&gt;Coverage,0,ROUND((U46+($F47+$G47-$H47-$Q47)*PML_LF)*(1+VLOOKUP(T$3,Assumption!$H$35:$K$43,2,0))^0.5-($M47+$R47)*PML_LF-($S47*PML_LF*U46),0))</f>
        <v>0</v>
      </c>
      <c r="U47" s="207">
        <f>+IF($B47&gt;Coverage,0,ROUND(T47*(1+VLOOKUP(T$3,Assumption!$H$35:$K$43,2,0))^0.5,0))</f>
        <v>0</v>
      </c>
      <c r="V47" s="207">
        <f>+IF($B47="",0,(1-VLOOKUP(MIN($B47,6),Assumption!$M$10:$N$16,2))*U47)</f>
        <v>0</v>
      </c>
      <c r="W47" s="207">
        <f>+IF($B47&gt;Coverage,0,ROUND((X46+($F47+$G47-$H47-$Q47)*PML_BF)*(1+VLOOKUP(W$3,Assumption!$H$35:$K$43,2,0))^0.5-($M47+$R47)*PML_BF-($S47*PML_BF*X46),0))</f>
        <v>0</v>
      </c>
      <c r="X47" s="207">
        <f>+IF($B47&gt;Coverage,0,ROUND(W47*(1+VLOOKUP(W$3,Assumption!$H$35:$K$43,2,0))^0.5,0))</f>
        <v>0</v>
      </c>
      <c r="Y47" s="207">
        <f>+IF($B47="",0,(1-VLOOKUP(MIN($B47,6),Assumption!$M$10:$N$16,2))*X47)</f>
        <v>0</v>
      </c>
      <c r="Z47" s="207">
        <f>+IF($B47&gt;Coverage,0,ROUND((AA46+($F47+$G47-$H47-$Q47)*PML_EF)*(1+VLOOKUP(Z$3,Assumption!$H$35:$K$43,2,0))^0.5-($M47+$R47)*PML_EF-($S47*PML_EF*AA46),0))</f>
        <v>0</v>
      </c>
      <c r="AA47" s="207">
        <f>+IF($B47&gt;Coverage,0,ROUND(Z47*(1+VLOOKUP(Z$3,Assumption!$H$35:$K$43,2,0))^0.5,0))</f>
        <v>0</v>
      </c>
      <c r="AB47" s="207">
        <f>+IF($B47="",0,(1-VLOOKUP(MIN($B47,6),Assumption!$M$10:$N$16,2))*AA47)</f>
        <v>0</v>
      </c>
      <c r="AC47" s="207">
        <f>+IF($B47&gt;Coverage,0,ROUND((AD46+($F47+$G47-$H47-$Q47)*PML_FI)*(1+VLOOKUP(AC$3,Assumption!$H$35:$K$43,2,0))^0.5-($M47+$R47)*PML_FI-($S47*PML_FI*AD46),0))</f>
        <v>0</v>
      </c>
      <c r="AD47" s="207">
        <f>+IF($B47&gt;Coverage,0,ROUND(AC47*(1+VLOOKUP(AC$3,Assumption!$H$35:$K$43,2,0))^0.5,0))</f>
        <v>0</v>
      </c>
      <c r="AE47" s="207">
        <f>+IF($B47="",0,(1-VLOOKUP(MIN($B47,6),Assumption!$M$10:$N$16,2))*AD47)</f>
        <v>0</v>
      </c>
      <c r="AF47" s="207">
        <f>+IF($B47&gt;Coverage,0,ROUND((AG46+($F47+$G47-$H47-$Q47)*PML_LF)*(1+VLOOKUP(AF$3,Assumption!$H$35:$K$43,3,0))^0.5-($M47+$R47)*PML_LF-($S47*PML_LF*AG46),0))</f>
        <v>0</v>
      </c>
      <c r="AG47" s="207">
        <f>+IF($B47&gt;Coverage,0,ROUND(AF47*(1+VLOOKUP(AF$3,Assumption!$H$35:$K$43,3,0))^0.5,0))</f>
        <v>0</v>
      </c>
      <c r="AH47" s="207">
        <f>+IF($B47="",0,(1-VLOOKUP(MIN($B47,6),Assumption!$M$10:$N$16,2))*AG47)</f>
        <v>0</v>
      </c>
      <c r="AI47" s="207">
        <f>+IF($B47&gt;Coverage,0,ROUND((AJ46+($F47+$G47-$H47-$Q47)*PML_BF)*(1+VLOOKUP(AI$3,Assumption!$H$35:$K$43,3,0))^0.5-($M47+$R47)*PML_BF-($S47*PML_BF*AJ46),0))</f>
        <v>0</v>
      </c>
      <c r="AJ47" s="207">
        <f>+IF($B47&gt;Coverage,0,ROUND(AI47*(1+VLOOKUP(AI$3,Assumption!$H$35:$K$43,3,0))^0.5,0))</f>
        <v>0</v>
      </c>
      <c r="AK47" s="207">
        <f>+IF($B47="",0,(1-VLOOKUP(MIN($B47,6),Assumption!$M$10:$N$16,2))*AJ47)</f>
        <v>0</v>
      </c>
      <c r="AL47" s="207">
        <f>+IF($B47&gt;Coverage,0,ROUND((AM46+($F47+$G47-$H47-$Q47)*PML_EF)*(1+VLOOKUP(AL$3,Assumption!$H$35:$K$43,3,0))^0.5-($M47+$R47)*PML_EF-($S47*PML_EF*AM46),0))</f>
        <v>0</v>
      </c>
      <c r="AM47" s="207">
        <f>+IF($B47&gt;Coverage,0,ROUND(AL47*(1+VLOOKUP(AL$3,Assumption!$H$35:$K$43,3,0))^0.5,0))</f>
        <v>0</v>
      </c>
      <c r="AN47" s="207">
        <f>+IF($B47="",0,(1-VLOOKUP(MIN($B47,6),Assumption!$M$10:$N$16,2))*AM47)</f>
        <v>0</v>
      </c>
      <c r="AO47" s="207">
        <f>+IF($B47&gt;Coverage,0,ROUND((AP46+($F47+$G47-$H47-$Q47)*PML_FI)*(1+VLOOKUP(AO$3,Assumption!$H$35:$K$43,3,0))^0.5-($M47+$R47)*PML_FI-($S47*PML_FI*AP46),0))</f>
        <v>0</v>
      </c>
      <c r="AP47" s="207">
        <f>+IF($B47&gt;Coverage,0,ROUND(AO47*(1+VLOOKUP(AO$3,Assumption!$H$35:$K$43,3,0))^0.5,0))</f>
        <v>0</v>
      </c>
      <c r="AQ47" s="207">
        <f>+IF($B47="",0,(1-VLOOKUP(MIN($B47,6),Assumption!$M$10:$N$16,2))*AP47)</f>
        <v>0</v>
      </c>
      <c r="AR47" s="207">
        <f>+IF($B47&gt;Coverage,0,ROUND((AS46+($F47+$G47-$H47-$Q47)*PML_LF)*(1+VLOOKUP(AR$3,Assumption!$H$35:$K$43,4,0))^0.5-($M47+$R47)*PML_LF-($S47*PML_LF*AS46),0))</f>
        <v>0</v>
      </c>
      <c r="AS47" s="207">
        <f>+IF($B47&gt;Coverage,0,ROUND(AR47*(1+VLOOKUP(AR$3,Assumption!$H$35:$K$43,4,0))^0.5,0))</f>
        <v>0</v>
      </c>
      <c r="AT47" s="207">
        <f>+IF($B47="",0,(1-VLOOKUP(MIN($B47,6),Assumption!$M$10:$N$16,2))*AS47)</f>
        <v>0</v>
      </c>
      <c r="AU47" s="207">
        <f>+IF($B47&gt;Coverage,0,ROUND((AV46+($F47+$G47-$H47-$Q47)*PML_BF)*(1+VLOOKUP(AU$3,Assumption!$H$35:$K$43,4,0))^0.5-($M47+$R47)*PML_BF-($S47*PML_BF*AV46),0))</f>
        <v>0</v>
      </c>
      <c r="AV47" s="207">
        <f>+IF($B47&gt;Coverage,0,ROUND(AU47*(1+VLOOKUP(AU$3,Assumption!$H$35:$K$43,4,0))^0.5,0))</f>
        <v>0</v>
      </c>
      <c r="AW47" s="207">
        <f>+IF($B47="",0,(1-VLOOKUP(MIN($B47,6),Assumption!$M$10:$N$16,2))*AV47)</f>
        <v>0</v>
      </c>
      <c r="AX47" s="207">
        <f>+IF($B47&gt;Coverage,0,ROUND((AY46+($F47+$G47-$H47-$Q47)*PML_EF)*(1+VLOOKUP(AX$3,Assumption!$H$35:$K$43,4,0))^0.5-($M47+$R47)*PML_EF-($S47*PML_EF*AY46),0))</f>
        <v>0</v>
      </c>
      <c r="AY47" s="207">
        <f>+IF($B47&gt;Coverage,0,ROUND(AX47*(1+VLOOKUP(AX$3,Assumption!$H$35:$K$43,4,0))^0.5,0))</f>
        <v>0</v>
      </c>
      <c r="AZ47" s="207">
        <f>+IF($B47="",0,(1-VLOOKUP(MIN($B47,6),Assumption!$M$10:$N$16,2))*AY47)</f>
        <v>0</v>
      </c>
      <c r="BA47" s="207">
        <f>+IF($B47&gt;Coverage,0,ROUND((BB46+($F47+$G47-$H47-$Q47)*PML_FI)*(1+VLOOKUP(BA$3,Assumption!$H$35:$K$43,4,0))^0.5-($M47+$R47)*PML_FI-($S47*PML_FI*BB46),0))</f>
        <v>0</v>
      </c>
      <c r="BB47" s="207">
        <f>+IF($B47&gt;Coverage,0,ROUND(BA47*(1+VLOOKUP(BA$3,Assumption!$H$35:$K$43,4,0))^0.5,0))</f>
        <v>0</v>
      </c>
      <c r="BC47" s="207">
        <f>+IF($B47="",0,(1-VLOOKUP(MIN($B47,6),Assumption!$M$10:$N$16,2))*BB47)</f>
        <v>0</v>
      </c>
    </row>
    <row r="48" ht="14.25" customHeight="1">
      <c r="A48" s="126">
        <v>41.0</v>
      </c>
      <c r="B48" s="129" t="str">
        <f>+IF(A48&gt;Coverage,"",A48)</f>
        <v/>
      </c>
      <c r="C48" s="134" t="str">
        <f>+IF(B48=1,Insured_Age,IF(B48="","",C47+1))</f>
        <v/>
      </c>
      <c r="D48" s="134" t="str">
        <f>+IF(B48&gt;Coverage,"",IF(B48=1,input!$H$11,D47+1))</f>
        <v/>
      </c>
      <c r="E48" s="134" t="str">
        <f>IF(B48=1,premi_dasar,IF(B48&gt;Coverage,"",0))</f>
        <v/>
      </c>
      <c r="F48" s="134" t="str">
        <f>IF(B48&gt;Coverage,"",SUM(E48))</f>
        <v/>
      </c>
      <c r="G48" s="134" t="str">
        <f>IF(B48&gt;Coverage,"",SUMIFS(input!$E$38:$E$50,input!$C$38:$C$50,$C48))</f>
        <v/>
      </c>
      <c r="H48" s="134" t="str">
        <f>IF(B48&gt;Coverage,"",SUMIFS(input!$E$53:$E$87,input!$C$53:$C$87,$C48))</f>
        <v/>
      </c>
      <c r="I48" s="66" t="str">
        <f>+IF(B48="","",Sum_Assured*VLOOKUP(MIN(C48,10),Assumption!$M$19:$N$28,2,0))</f>
        <v/>
      </c>
      <c r="J48" s="66" t="str">
        <f>IF(B48="","",input!$D$33)</f>
        <v/>
      </c>
      <c r="K48" s="66" t="str">
        <f>IF(B48&gt;Coverage,"",VLOOKUP($C48,COI_Tab[],IF(sex="Male",2,3),0)*I48*(1+EM_Basic)/1000)</f>
        <v/>
      </c>
      <c r="L48" s="66" t="str">
        <f>IF(B48&gt;Coverage,"",VLOOKUP($C48,COI_Tab[],4,0)*J48*(1+EM_Basic)/1000)</f>
        <v/>
      </c>
      <c r="M48" s="207" t="str">
        <f>IF(B48&gt;Coverage,"",ROUND(K48+L48,0))</f>
        <v/>
      </c>
      <c r="N48" s="134" t="str">
        <f>IF(B48&gt;Coverage,"",VLOOKUP($B48,Assumption!$H$11:$I$15,2)*E48)</f>
        <v/>
      </c>
      <c r="O48" s="134" t="str">
        <f>IF(B48&gt;Coverage,"",Assumption!$J$11*$G48)</f>
        <v/>
      </c>
      <c r="P48" s="134" t="str">
        <f>IF(B48&gt;Coverage,"",H48*VLOOKUP(MIN(B48,6),Assumption!$M$11:$N$16,2,0))</f>
        <v/>
      </c>
      <c r="Q48" s="134" t="str">
        <f>IF(B48&gt;Coverage,"",SUM(N48:P48))</f>
        <v/>
      </c>
      <c r="R48" s="207" t="str">
        <f>+IF($B48&gt;Coverage,"",Assumption!$I$18*12)</f>
        <v/>
      </c>
      <c r="S48" s="208" t="str">
        <f>+IF($B48&gt;Coverage,"",Assumption!$I$20)</f>
        <v/>
      </c>
      <c r="T48" s="207">
        <f>+IF($B48&gt;Coverage,0,ROUND((U47+($F48+$G48-$H48-$Q48)*PML_LF)*(1+VLOOKUP(T$3,Assumption!$H$35:$K$43,2,0))^0.5-($M48+$R48)*PML_LF-($S48*PML_LF*U47),0))</f>
        <v>0</v>
      </c>
      <c r="U48" s="207">
        <f>+IF($B48&gt;Coverage,0,ROUND(T48*(1+VLOOKUP(T$3,Assumption!$H$35:$K$43,2,0))^0.5,0))</f>
        <v>0</v>
      </c>
      <c r="V48" s="207">
        <f>+IF($B48="",0,(1-VLOOKUP(MIN($B48,6),Assumption!$M$10:$N$16,2))*U48)</f>
        <v>0</v>
      </c>
      <c r="W48" s="207">
        <f>+IF($B48&gt;Coverage,0,ROUND((X47+($F48+$G48-$H48-$Q48)*PML_BF)*(1+VLOOKUP(W$3,Assumption!$H$35:$K$43,2,0))^0.5-($M48+$R48)*PML_BF-($S48*PML_BF*X47),0))</f>
        <v>0</v>
      </c>
      <c r="X48" s="207">
        <f>+IF($B48&gt;Coverage,0,ROUND(W48*(1+VLOOKUP(W$3,Assumption!$H$35:$K$43,2,0))^0.5,0))</f>
        <v>0</v>
      </c>
      <c r="Y48" s="207">
        <f>+IF($B48="",0,(1-VLOOKUP(MIN($B48,6),Assumption!$M$10:$N$16,2))*X48)</f>
        <v>0</v>
      </c>
      <c r="Z48" s="207">
        <f>+IF($B48&gt;Coverage,0,ROUND((AA47+($F48+$G48-$H48-$Q48)*PML_EF)*(1+VLOOKUP(Z$3,Assumption!$H$35:$K$43,2,0))^0.5-($M48+$R48)*PML_EF-($S48*PML_EF*AA47),0))</f>
        <v>0</v>
      </c>
      <c r="AA48" s="207">
        <f>+IF($B48&gt;Coverage,0,ROUND(Z48*(1+VLOOKUP(Z$3,Assumption!$H$35:$K$43,2,0))^0.5,0))</f>
        <v>0</v>
      </c>
      <c r="AB48" s="207">
        <f>+IF($B48="",0,(1-VLOOKUP(MIN($B48,6),Assumption!$M$10:$N$16,2))*AA48)</f>
        <v>0</v>
      </c>
      <c r="AC48" s="207">
        <f>+IF($B48&gt;Coverage,0,ROUND((AD47+($F48+$G48-$H48-$Q48)*PML_FI)*(1+VLOOKUP(AC$3,Assumption!$H$35:$K$43,2,0))^0.5-($M48+$R48)*PML_FI-($S48*PML_FI*AD47),0))</f>
        <v>0</v>
      </c>
      <c r="AD48" s="207">
        <f>+IF($B48&gt;Coverage,0,ROUND(AC48*(1+VLOOKUP(AC$3,Assumption!$H$35:$K$43,2,0))^0.5,0))</f>
        <v>0</v>
      </c>
      <c r="AE48" s="207">
        <f>+IF($B48="",0,(1-VLOOKUP(MIN($B48,6),Assumption!$M$10:$N$16,2))*AD48)</f>
        <v>0</v>
      </c>
      <c r="AF48" s="207">
        <f>+IF($B48&gt;Coverage,0,ROUND((AG47+($F48+$G48-$H48-$Q48)*PML_LF)*(1+VLOOKUP(AF$3,Assumption!$H$35:$K$43,3,0))^0.5-($M48+$R48)*PML_LF-($S48*PML_LF*AG47),0))</f>
        <v>0</v>
      </c>
      <c r="AG48" s="207">
        <f>+IF($B48&gt;Coverage,0,ROUND(AF48*(1+VLOOKUP(AF$3,Assumption!$H$35:$K$43,3,0))^0.5,0))</f>
        <v>0</v>
      </c>
      <c r="AH48" s="207">
        <f>+IF($B48="",0,(1-VLOOKUP(MIN($B48,6),Assumption!$M$10:$N$16,2))*AG48)</f>
        <v>0</v>
      </c>
      <c r="AI48" s="207">
        <f>+IF($B48&gt;Coverage,0,ROUND((AJ47+($F48+$G48-$H48-$Q48)*PML_BF)*(1+VLOOKUP(AI$3,Assumption!$H$35:$K$43,3,0))^0.5-($M48+$R48)*PML_BF-($S48*PML_BF*AJ47),0))</f>
        <v>0</v>
      </c>
      <c r="AJ48" s="207">
        <f>+IF($B48&gt;Coverage,0,ROUND(AI48*(1+VLOOKUP(AI$3,Assumption!$H$35:$K$43,3,0))^0.5,0))</f>
        <v>0</v>
      </c>
      <c r="AK48" s="207">
        <f>+IF($B48="",0,(1-VLOOKUP(MIN($B48,6),Assumption!$M$10:$N$16,2))*AJ48)</f>
        <v>0</v>
      </c>
      <c r="AL48" s="207">
        <f>+IF($B48&gt;Coverage,0,ROUND((AM47+($F48+$G48-$H48-$Q48)*PML_EF)*(1+VLOOKUP(AL$3,Assumption!$H$35:$K$43,3,0))^0.5-($M48+$R48)*PML_EF-($S48*PML_EF*AM47),0))</f>
        <v>0</v>
      </c>
      <c r="AM48" s="207">
        <f>+IF($B48&gt;Coverage,0,ROUND(AL48*(1+VLOOKUP(AL$3,Assumption!$H$35:$K$43,3,0))^0.5,0))</f>
        <v>0</v>
      </c>
      <c r="AN48" s="207">
        <f>+IF($B48="",0,(1-VLOOKUP(MIN($B48,6),Assumption!$M$10:$N$16,2))*AM48)</f>
        <v>0</v>
      </c>
      <c r="AO48" s="207">
        <f>+IF($B48&gt;Coverage,0,ROUND((AP47+($F48+$G48-$H48-$Q48)*PML_FI)*(1+VLOOKUP(AO$3,Assumption!$H$35:$K$43,3,0))^0.5-($M48+$R48)*PML_FI-($S48*PML_FI*AP47),0))</f>
        <v>0</v>
      </c>
      <c r="AP48" s="207">
        <f>+IF($B48&gt;Coverage,0,ROUND(AO48*(1+VLOOKUP(AO$3,Assumption!$H$35:$K$43,3,0))^0.5,0))</f>
        <v>0</v>
      </c>
      <c r="AQ48" s="207">
        <f>+IF($B48="",0,(1-VLOOKUP(MIN($B48,6),Assumption!$M$10:$N$16,2))*AP48)</f>
        <v>0</v>
      </c>
      <c r="AR48" s="207">
        <f>+IF($B48&gt;Coverage,0,ROUND((AS47+($F48+$G48-$H48-$Q48)*PML_LF)*(1+VLOOKUP(AR$3,Assumption!$H$35:$K$43,4,0))^0.5-($M48+$R48)*PML_LF-($S48*PML_LF*AS47),0))</f>
        <v>0</v>
      </c>
      <c r="AS48" s="207">
        <f>+IF($B48&gt;Coverage,0,ROUND(AR48*(1+VLOOKUP(AR$3,Assumption!$H$35:$K$43,4,0))^0.5,0))</f>
        <v>0</v>
      </c>
      <c r="AT48" s="207">
        <f>+IF($B48="",0,(1-VLOOKUP(MIN($B48,6),Assumption!$M$10:$N$16,2))*AS48)</f>
        <v>0</v>
      </c>
      <c r="AU48" s="207">
        <f>+IF($B48&gt;Coverage,0,ROUND((AV47+($F48+$G48-$H48-$Q48)*PML_BF)*(1+VLOOKUP(AU$3,Assumption!$H$35:$K$43,4,0))^0.5-($M48+$R48)*PML_BF-($S48*PML_BF*AV47),0))</f>
        <v>0</v>
      </c>
      <c r="AV48" s="207">
        <f>+IF($B48&gt;Coverage,0,ROUND(AU48*(1+VLOOKUP(AU$3,Assumption!$H$35:$K$43,4,0))^0.5,0))</f>
        <v>0</v>
      </c>
      <c r="AW48" s="207">
        <f>+IF($B48="",0,(1-VLOOKUP(MIN($B48,6),Assumption!$M$10:$N$16,2))*AV48)</f>
        <v>0</v>
      </c>
      <c r="AX48" s="207">
        <f>+IF($B48&gt;Coverage,0,ROUND((AY47+($F48+$G48-$H48-$Q48)*PML_EF)*(1+VLOOKUP(AX$3,Assumption!$H$35:$K$43,4,0))^0.5-($M48+$R48)*PML_EF-($S48*PML_EF*AY47),0))</f>
        <v>0</v>
      </c>
      <c r="AY48" s="207">
        <f>+IF($B48&gt;Coverage,0,ROUND(AX48*(1+VLOOKUP(AX$3,Assumption!$H$35:$K$43,4,0))^0.5,0))</f>
        <v>0</v>
      </c>
      <c r="AZ48" s="207">
        <f>+IF($B48="",0,(1-VLOOKUP(MIN($B48,6),Assumption!$M$10:$N$16,2))*AY48)</f>
        <v>0</v>
      </c>
      <c r="BA48" s="207">
        <f>+IF($B48&gt;Coverage,0,ROUND((BB47+($F48+$G48-$H48-$Q48)*PML_FI)*(1+VLOOKUP(BA$3,Assumption!$H$35:$K$43,4,0))^0.5-($M48+$R48)*PML_FI-($S48*PML_FI*BB47),0))</f>
        <v>0</v>
      </c>
      <c r="BB48" s="207">
        <f>+IF($B48&gt;Coverage,0,ROUND(BA48*(1+VLOOKUP(BA$3,Assumption!$H$35:$K$43,4,0))^0.5,0))</f>
        <v>0</v>
      </c>
      <c r="BC48" s="207">
        <f>+IF($B48="",0,(1-VLOOKUP(MIN($B48,6),Assumption!$M$10:$N$16,2))*BB48)</f>
        <v>0</v>
      </c>
    </row>
    <row r="49" ht="14.25" customHeight="1">
      <c r="A49" s="126">
        <v>42.0</v>
      </c>
      <c r="B49" s="129" t="str">
        <f>+IF(A49&gt;Coverage,"",A49)</f>
        <v/>
      </c>
      <c r="C49" s="134" t="str">
        <f>+IF(B49=1,Insured_Age,IF(B49="","",C48+1))</f>
        <v/>
      </c>
      <c r="D49" s="134" t="str">
        <f>+IF(B49&gt;Coverage,"",IF(B49=1,input!$H$11,D48+1))</f>
        <v/>
      </c>
      <c r="E49" s="134" t="str">
        <f>IF(B49=1,premi_dasar,IF(B49&gt;Coverage,"",0))</f>
        <v/>
      </c>
      <c r="F49" s="134" t="str">
        <f>IF(B49&gt;Coverage,"",SUM(E49))</f>
        <v/>
      </c>
      <c r="G49" s="134" t="str">
        <f>IF(B49&gt;Coverage,"",SUMIFS(input!$E$38:$E$50,input!$C$38:$C$50,$C49))</f>
        <v/>
      </c>
      <c r="H49" s="134" t="str">
        <f>IF(B49&gt;Coverage,"",SUMIFS(input!$E$53:$E$87,input!$C$53:$C$87,$C49))</f>
        <v/>
      </c>
      <c r="I49" s="66" t="str">
        <f>+IF(B49="","",Sum_Assured*VLOOKUP(MIN(C49,10),Assumption!$M$19:$N$28,2,0))</f>
        <v/>
      </c>
      <c r="J49" s="66" t="str">
        <f>IF(B49="","",input!$D$33)</f>
        <v/>
      </c>
      <c r="K49" s="66" t="str">
        <f>IF(B49&gt;Coverage,"",VLOOKUP($C49,COI_Tab[],IF(sex="Male",2,3),0)*I49*(1+EM_Basic)/1000)</f>
        <v/>
      </c>
      <c r="L49" s="66" t="str">
        <f>IF(B49&gt;Coverage,"",VLOOKUP($C49,COI_Tab[],4,0)*J49*(1+EM_Basic)/1000)</f>
        <v/>
      </c>
      <c r="M49" s="207" t="str">
        <f>IF(B49&gt;Coverage,"",ROUND(K49+L49,0))</f>
        <v/>
      </c>
      <c r="N49" s="134" t="str">
        <f>IF(B49&gt;Coverage,"",VLOOKUP($B49,Assumption!$H$11:$I$15,2)*E49)</f>
        <v/>
      </c>
      <c r="O49" s="134" t="str">
        <f>IF(B49&gt;Coverage,"",Assumption!$J$11*$G49)</f>
        <v/>
      </c>
      <c r="P49" s="134" t="str">
        <f>IF(B49&gt;Coverage,"",H49*VLOOKUP(MIN(B49,6),Assumption!$M$11:$N$16,2,0))</f>
        <v/>
      </c>
      <c r="Q49" s="134" t="str">
        <f>IF(B49&gt;Coverage,"",SUM(N49:P49))</f>
        <v/>
      </c>
      <c r="R49" s="207" t="str">
        <f>+IF($B49&gt;Coverage,"",Assumption!$I$18*12)</f>
        <v/>
      </c>
      <c r="S49" s="208" t="str">
        <f>+IF($B49&gt;Coverage,"",Assumption!$I$20)</f>
        <v/>
      </c>
      <c r="T49" s="207">
        <f>+IF($B49&gt;Coverage,0,ROUND((U48+($F49+$G49-$H49-$Q49)*PML_LF)*(1+VLOOKUP(T$3,Assumption!$H$35:$K$43,2,0))^0.5-($M49+$R49)*PML_LF-($S49*PML_LF*U48),0))</f>
        <v>0</v>
      </c>
      <c r="U49" s="207">
        <f>+IF($B49&gt;Coverage,0,ROUND(T49*(1+VLOOKUP(T$3,Assumption!$H$35:$K$43,2,0))^0.5,0))</f>
        <v>0</v>
      </c>
      <c r="V49" s="207">
        <f>+IF($B49="",0,(1-VLOOKUP(MIN($B49,6),Assumption!$M$10:$N$16,2))*U49)</f>
        <v>0</v>
      </c>
      <c r="W49" s="207">
        <f>+IF($B49&gt;Coverage,0,ROUND((X48+($F49+$G49-$H49-$Q49)*PML_BF)*(1+VLOOKUP(W$3,Assumption!$H$35:$K$43,2,0))^0.5-($M49+$R49)*PML_BF-($S49*PML_BF*X48),0))</f>
        <v>0</v>
      </c>
      <c r="X49" s="207">
        <f>+IF($B49&gt;Coverage,0,ROUND(W49*(1+VLOOKUP(W$3,Assumption!$H$35:$K$43,2,0))^0.5,0))</f>
        <v>0</v>
      </c>
      <c r="Y49" s="207">
        <f>+IF($B49="",0,(1-VLOOKUP(MIN($B49,6),Assumption!$M$10:$N$16,2))*X49)</f>
        <v>0</v>
      </c>
      <c r="Z49" s="207">
        <f>+IF($B49&gt;Coverage,0,ROUND((AA48+($F49+$G49-$H49-$Q49)*PML_EF)*(1+VLOOKUP(Z$3,Assumption!$H$35:$K$43,2,0))^0.5-($M49+$R49)*PML_EF-($S49*PML_EF*AA48),0))</f>
        <v>0</v>
      </c>
      <c r="AA49" s="207">
        <f>+IF($B49&gt;Coverage,0,ROUND(Z49*(1+VLOOKUP(Z$3,Assumption!$H$35:$K$43,2,0))^0.5,0))</f>
        <v>0</v>
      </c>
      <c r="AB49" s="207">
        <f>+IF($B49="",0,(1-VLOOKUP(MIN($B49,6),Assumption!$M$10:$N$16,2))*AA49)</f>
        <v>0</v>
      </c>
      <c r="AC49" s="207">
        <f>+IF($B49&gt;Coverage,0,ROUND((AD48+($F49+$G49-$H49-$Q49)*PML_FI)*(1+VLOOKUP(AC$3,Assumption!$H$35:$K$43,2,0))^0.5-($M49+$R49)*PML_FI-($S49*PML_FI*AD48),0))</f>
        <v>0</v>
      </c>
      <c r="AD49" s="207">
        <f>+IF($B49&gt;Coverage,0,ROUND(AC49*(1+VLOOKUP(AC$3,Assumption!$H$35:$K$43,2,0))^0.5,0))</f>
        <v>0</v>
      </c>
      <c r="AE49" s="207">
        <f>+IF($B49="",0,(1-VLOOKUP(MIN($B49,6),Assumption!$M$10:$N$16,2))*AD49)</f>
        <v>0</v>
      </c>
      <c r="AF49" s="207">
        <f>+IF($B49&gt;Coverage,0,ROUND((AG48+($F49+$G49-$H49-$Q49)*PML_LF)*(1+VLOOKUP(AF$3,Assumption!$H$35:$K$43,3,0))^0.5-($M49+$R49)*PML_LF-($S49*PML_LF*AG48),0))</f>
        <v>0</v>
      </c>
      <c r="AG49" s="207">
        <f>+IF($B49&gt;Coverage,0,ROUND(AF49*(1+VLOOKUP(AF$3,Assumption!$H$35:$K$43,3,0))^0.5,0))</f>
        <v>0</v>
      </c>
      <c r="AH49" s="207">
        <f>+IF($B49="",0,(1-VLOOKUP(MIN($B49,6),Assumption!$M$10:$N$16,2))*AG49)</f>
        <v>0</v>
      </c>
      <c r="AI49" s="207">
        <f>+IF($B49&gt;Coverage,0,ROUND((AJ48+($F49+$G49-$H49-$Q49)*PML_BF)*(1+VLOOKUP(AI$3,Assumption!$H$35:$K$43,3,0))^0.5-($M49+$R49)*PML_BF-($S49*PML_BF*AJ48),0))</f>
        <v>0</v>
      </c>
      <c r="AJ49" s="207">
        <f>+IF($B49&gt;Coverage,0,ROUND(AI49*(1+VLOOKUP(AI$3,Assumption!$H$35:$K$43,3,0))^0.5,0))</f>
        <v>0</v>
      </c>
      <c r="AK49" s="207">
        <f>+IF($B49="",0,(1-VLOOKUP(MIN($B49,6),Assumption!$M$10:$N$16,2))*AJ49)</f>
        <v>0</v>
      </c>
      <c r="AL49" s="207">
        <f>+IF($B49&gt;Coverage,0,ROUND((AM48+($F49+$G49-$H49-$Q49)*PML_EF)*(1+VLOOKUP(AL$3,Assumption!$H$35:$K$43,3,0))^0.5-($M49+$R49)*PML_EF-($S49*PML_EF*AM48),0))</f>
        <v>0</v>
      </c>
      <c r="AM49" s="207">
        <f>+IF($B49&gt;Coverage,0,ROUND(AL49*(1+VLOOKUP(AL$3,Assumption!$H$35:$K$43,3,0))^0.5,0))</f>
        <v>0</v>
      </c>
      <c r="AN49" s="207">
        <f>+IF($B49="",0,(1-VLOOKUP(MIN($B49,6),Assumption!$M$10:$N$16,2))*AM49)</f>
        <v>0</v>
      </c>
      <c r="AO49" s="207">
        <f>+IF($B49&gt;Coverage,0,ROUND((AP48+($F49+$G49-$H49-$Q49)*PML_FI)*(1+VLOOKUP(AO$3,Assumption!$H$35:$K$43,3,0))^0.5-($M49+$R49)*PML_FI-($S49*PML_FI*AP48),0))</f>
        <v>0</v>
      </c>
      <c r="AP49" s="207">
        <f>+IF($B49&gt;Coverage,0,ROUND(AO49*(1+VLOOKUP(AO$3,Assumption!$H$35:$K$43,3,0))^0.5,0))</f>
        <v>0</v>
      </c>
      <c r="AQ49" s="207">
        <f>+IF($B49="",0,(1-VLOOKUP(MIN($B49,6),Assumption!$M$10:$N$16,2))*AP49)</f>
        <v>0</v>
      </c>
      <c r="AR49" s="207">
        <f>+IF($B49&gt;Coverage,0,ROUND((AS48+($F49+$G49-$H49-$Q49)*PML_LF)*(1+VLOOKUP(AR$3,Assumption!$H$35:$K$43,4,0))^0.5-($M49+$R49)*PML_LF-($S49*PML_LF*AS48),0))</f>
        <v>0</v>
      </c>
      <c r="AS49" s="207">
        <f>+IF($B49&gt;Coverage,0,ROUND(AR49*(1+VLOOKUP(AR$3,Assumption!$H$35:$K$43,4,0))^0.5,0))</f>
        <v>0</v>
      </c>
      <c r="AT49" s="207">
        <f>+IF($B49="",0,(1-VLOOKUP(MIN($B49,6),Assumption!$M$10:$N$16,2))*AS49)</f>
        <v>0</v>
      </c>
      <c r="AU49" s="207">
        <f>+IF($B49&gt;Coverage,0,ROUND((AV48+($F49+$G49-$H49-$Q49)*PML_BF)*(1+VLOOKUP(AU$3,Assumption!$H$35:$K$43,4,0))^0.5-($M49+$R49)*PML_BF-($S49*PML_BF*AV48),0))</f>
        <v>0</v>
      </c>
      <c r="AV49" s="207">
        <f>+IF($B49&gt;Coverage,0,ROUND(AU49*(1+VLOOKUP(AU$3,Assumption!$H$35:$K$43,4,0))^0.5,0))</f>
        <v>0</v>
      </c>
      <c r="AW49" s="207">
        <f>+IF($B49="",0,(1-VLOOKUP(MIN($B49,6),Assumption!$M$10:$N$16,2))*AV49)</f>
        <v>0</v>
      </c>
      <c r="AX49" s="207">
        <f>+IF($B49&gt;Coverage,0,ROUND((AY48+($F49+$G49-$H49-$Q49)*PML_EF)*(1+VLOOKUP(AX$3,Assumption!$H$35:$K$43,4,0))^0.5-($M49+$R49)*PML_EF-($S49*PML_EF*AY48),0))</f>
        <v>0</v>
      </c>
      <c r="AY49" s="207">
        <f>+IF($B49&gt;Coverage,0,ROUND(AX49*(1+VLOOKUP(AX$3,Assumption!$H$35:$K$43,4,0))^0.5,0))</f>
        <v>0</v>
      </c>
      <c r="AZ49" s="207">
        <f>+IF($B49="",0,(1-VLOOKUP(MIN($B49,6),Assumption!$M$10:$N$16,2))*AY49)</f>
        <v>0</v>
      </c>
      <c r="BA49" s="207">
        <f>+IF($B49&gt;Coverage,0,ROUND((BB48+($F49+$G49-$H49-$Q49)*PML_FI)*(1+VLOOKUP(BA$3,Assumption!$H$35:$K$43,4,0))^0.5-($M49+$R49)*PML_FI-($S49*PML_FI*BB48),0))</f>
        <v>0</v>
      </c>
      <c r="BB49" s="207">
        <f>+IF($B49&gt;Coverage,0,ROUND(BA49*(1+VLOOKUP(BA$3,Assumption!$H$35:$K$43,4,0))^0.5,0))</f>
        <v>0</v>
      </c>
      <c r="BC49" s="207">
        <f>+IF($B49="",0,(1-VLOOKUP(MIN($B49,6),Assumption!$M$10:$N$16,2))*BB49)</f>
        <v>0</v>
      </c>
    </row>
    <row r="50" ht="14.25" customHeight="1">
      <c r="A50" s="126">
        <v>43.0</v>
      </c>
      <c r="B50" s="129" t="str">
        <f>+IF(A50&gt;Coverage,"",A50)</f>
        <v/>
      </c>
      <c r="C50" s="134" t="str">
        <f>+IF(B50=1,Insured_Age,IF(B50="","",C49+1))</f>
        <v/>
      </c>
      <c r="D50" s="134" t="str">
        <f>+IF(B50&gt;Coverage,"",IF(B50=1,input!$H$11,D49+1))</f>
        <v/>
      </c>
      <c r="E50" s="134" t="str">
        <f>IF(B50=1,premi_dasar,IF(B50&gt;Coverage,"",0))</f>
        <v/>
      </c>
      <c r="F50" s="134" t="str">
        <f>IF(B50&gt;Coverage,"",SUM(E50))</f>
        <v/>
      </c>
      <c r="G50" s="134" t="str">
        <f>IF(B50&gt;Coverage,"",SUMIFS(input!$E$38:$E$50,input!$C$38:$C$50,$C50))</f>
        <v/>
      </c>
      <c r="H50" s="134" t="str">
        <f>IF(B50&gt;Coverage,"",SUMIFS(input!$E$53:$E$87,input!$C$53:$C$87,$C50))</f>
        <v/>
      </c>
      <c r="I50" s="66" t="str">
        <f>+IF(B50="","",Sum_Assured*VLOOKUP(MIN(C50,10),Assumption!$M$19:$N$28,2,0))</f>
        <v/>
      </c>
      <c r="J50" s="66" t="str">
        <f>IF(B50="","",input!$D$33)</f>
        <v/>
      </c>
      <c r="K50" s="66" t="str">
        <f>IF(B50&gt;Coverage,"",VLOOKUP($C50,COI_Tab[],IF(sex="Male",2,3),0)*I50*(1+EM_Basic)/1000)</f>
        <v/>
      </c>
      <c r="L50" s="66" t="str">
        <f>IF(B50&gt;Coverage,"",VLOOKUP($C50,COI_Tab[],4,0)*J50*(1+EM_Basic)/1000)</f>
        <v/>
      </c>
      <c r="M50" s="207" t="str">
        <f>IF(B50&gt;Coverage,"",ROUND(K50+L50,0))</f>
        <v/>
      </c>
      <c r="N50" s="134" t="str">
        <f>IF(B50&gt;Coverage,"",VLOOKUP($B50,Assumption!$H$11:$I$15,2)*E50)</f>
        <v/>
      </c>
      <c r="O50" s="134" t="str">
        <f>IF(B50&gt;Coverage,"",Assumption!$J$11*$G50)</f>
        <v/>
      </c>
      <c r="P50" s="134" t="str">
        <f>IF(B50&gt;Coverage,"",H50*VLOOKUP(MIN(B50,6),Assumption!$M$11:$N$16,2,0))</f>
        <v/>
      </c>
      <c r="Q50" s="134" t="str">
        <f>IF(B50&gt;Coverage,"",SUM(N50:P50))</f>
        <v/>
      </c>
      <c r="R50" s="207" t="str">
        <f>+IF($B50&gt;Coverage,"",Assumption!$I$18*12)</f>
        <v/>
      </c>
      <c r="S50" s="208" t="str">
        <f>+IF($B50&gt;Coverage,"",Assumption!$I$20)</f>
        <v/>
      </c>
      <c r="T50" s="207">
        <f>+IF($B50&gt;Coverage,0,ROUND((U49+($F50+$G50-$H50-$Q50)*PML_LF)*(1+VLOOKUP(T$3,Assumption!$H$35:$K$43,2,0))^0.5-($M50+$R50)*PML_LF-($S50*PML_LF*U49),0))</f>
        <v>0</v>
      </c>
      <c r="U50" s="207">
        <f>+IF($B50&gt;Coverage,0,ROUND(T50*(1+VLOOKUP(T$3,Assumption!$H$35:$K$43,2,0))^0.5,0))</f>
        <v>0</v>
      </c>
      <c r="V50" s="207">
        <f>+IF($B50="",0,(1-VLOOKUP(MIN($B50,6),Assumption!$M$10:$N$16,2))*U50)</f>
        <v>0</v>
      </c>
      <c r="W50" s="207">
        <f>+IF($B50&gt;Coverage,0,ROUND((X49+($F50+$G50-$H50-$Q50)*PML_BF)*(1+VLOOKUP(W$3,Assumption!$H$35:$K$43,2,0))^0.5-($M50+$R50)*PML_BF-($S50*PML_BF*X49),0))</f>
        <v>0</v>
      </c>
      <c r="X50" s="207">
        <f>+IF($B50&gt;Coverage,0,ROUND(W50*(1+VLOOKUP(W$3,Assumption!$H$35:$K$43,2,0))^0.5,0))</f>
        <v>0</v>
      </c>
      <c r="Y50" s="207">
        <f>+IF($B50="",0,(1-VLOOKUP(MIN($B50,6),Assumption!$M$10:$N$16,2))*X50)</f>
        <v>0</v>
      </c>
      <c r="Z50" s="207">
        <f>+IF($B50&gt;Coverage,0,ROUND((AA49+($F50+$G50-$H50-$Q50)*PML_EF)*(1+VLOOKUP(Z$3,Assumption!$H$35:$K$43,2,0))^0.5-($M50+$R50)*PML_EF-($S50*PML_EF*AA49),0))</f>
        <v>0</v>
      </c>
      <c r="AA50" s="207">
        <f>+IF($B50&gt;Coverage,0,ROUND(Z50*(1+VLOOKUP(Z$3,Assumption!$H$35:$K$43,2,0))^0.5,0))</f>
        <v>0</v>
      </c>
      <c r="AB50" s="207">
        <f>+IF($B50="",0,(1-VLOOKUP(MIN($B50,6),Assumption!$M$10:$N$16,2))*AA50)</f>
        <v>0</v>
      </c>
      <c r="AC50" s="207">
        <f>+IF($B50&gt;Coverage,0,ROUND((AD49+($F50+$G50-$H50-$Q50)*PML_FI)*(1+VLOOKUP(AC$3,Assumption!$H$35:$K$43,2,0))^0.5-($M50+$R50)*PML_FI-($S50*PML_FI*AD49),0))</f>
        <v>0</v>
      </c>
      <c r="AD50" s="207">
        <f>+IF($B50&gt;Coverage,0,ROUND(AC50*(1+VLOOKUP(AC$3,Assumption!$H$35:$K$43,2,0))^0.5,0))</f>
        <v>0</v>
      </c>
      <c r="AE50" s="207">
        <f>+IF($B50="",0,(1-VLOOKUP(MIN($B50,6),Assumption!$M$10:$N$16,2))*AD50)</f>
        <v>0</v>
      </c>
      <c r="AF50" s="207">
        <f>+IF($B50&gt;Coverage,0,ROUND((AG49+($F50+$G50-$H50-$Q50)*PML_LF)*(1+VLOOKUP(AF$3,Assumption!$H$35:$K$43,3,0))^0.5-($M50+$R50)*PML_LF-($S50*PML_LF*AG49),0))</f>
        <v>0</v>
      </c>
      <c r="AG50" s="207">
        <f>+IF($B50&gt;Coverage,0,ROUND(AF50*(1+VLOOKUP(AF$3,Assumption!$H$35:$K$43,3,0))^0.5,0))</f>
        <v>0</v>
      </c>
      <c r="AH50" s="207">
        <f>+IF($B50="",0,(1-VLOOKUP(MIN($B50,6),Assumption!$M$10:$N$16,2))*AG50)</f>
        <v>0</v>
      </c>
      <c r="AI50" s="207">
        <f>+IF($B50&gt;Coverage,0,ROUND((AJ49+($F50+$G50-$H50-$Q50)*PML_BF)*(1+VLOOKUP(AI$3,Assumption!$H$35:$K$43,3,0))^0.5-($M50+$R50)*PML_BF-($S50*PML_BF*AJ49),0))</f>
        <v>0</v>
      </c>
      <c r="AJ50" s="207">
        <f>+IF($B50&gt;Coverage,0,ROUND(AI50*(1+VLOOKUP(AI$3,Assumption!$H$35:$K$43,3,0))^0.5,0))</f>
        <v>0</v>
      </c>
      <c r="AK50" s="207">
        <f>+IF($B50="",0,(1-VLOOKUP(MIN($B50,6),Assumption!$M$10:$N$16,2))*AJ50)</f>
        <v>0</v>
      </c>
      <c r="AL50" s="207">
        <f>+IF($B50&gt;Coverage,0,ROUND((AM49+($F50+$G50-$H50-$Q50)*PML_EF)*(1+VLOOKUP(AL$3,Assumption!$H$35:$K$43,3,0))^0.5-($M50+$R50)*PML_EF-($S50*PML_EF*AM49),0))</f>
        <v>0</v>
      </c>
      <c r="AM50" s="207">
        <f>+IF($B50&gt;Coverage,0,ROUND(AL50*(1+VLOOKUP(AL$3,Assumption!$H$35:$K$43,3,0))^0.5,0))</f>
        <v>0</v>
      </c>
      <c r="AN50" s="207">
        <f>+IF($B50="",0,(1-VLOOKUP(MIN($B50,6),Assumption!$M$10:$N$16,2))*AM50)</f>
        <v>0</v>
      </c>
      <c r="AO50" s="207">
        <f>+IF($B50&gt;Coverage,0,ROUND((AP49+($F50+$G50-$H50-$Q50)*PML_FI)*(1+VLOOKUP(AO$3,Assumption!$H$35:$K$43,3,0))^0.5-($M50+$R50)*PML_FI-($S50*PML_FI*AP49),0))</f>
        <v>0</v>
      </c>
      <c r="AP50" s="207">
        <f>+IF($B50&gt;Coverage,0,ROUND(AO50*(1+VLOOKUP(AO$3,Assumption!$H$35:$K$43,3,0))^0.5,0))</f>
        <v>0</v>
      </c>
      <c r="AQ50" s="207">
        <f>+IF($B50="",0,(1-VLOOKUP(MIN($B50,6),Assumption!$M$10:$N$16,2))*AP50)</f>
        <v>0</v>
      </c>
      <c r="AR50" s="207">
        <f>+IF($B50&gt;Coverage,0,ROUND((AS49+($F50+$G50-$H50-$Q50)*PML_LF)*(1+VLOOKUP(AR$3,Assumption!$H$35:$K$43,4,0))^0.5-($M50+$R50)*PML_LF-($S50*PML_LF*AS49),0))</f>
        <v>0</v>
      </c>
      <c r="AS50" s="207">
        <f>+IF($B50&gt;Coverage,0,ROUND(AR50*(1+VLOOKUP(AR$3,Assumption!$H$35:$K$43,4,0))^0.5,0))</f>
        <v>0</v>
      </c>
      <c r="AT50" s="207">
        <f>+IF($B50="",0,(1-VLOOKUP(MIN($B50,6),Assumption!$M$10:$N$16,2))*AS50)</f>
        <v>0</v>
      </c>
      <c r="AU50" s="207">
        <f>+IF($B50&gt;Coverage,0,ROUND((AV49+($F50+$G50-$H50-$Q50)*PML_BF)*(1+VLOOKUP(AU$3,Assumption!$H$35:$K$43,4,0))^0.5-($M50+$R50)*PML_BF-($S50*PML_BF*AV49),0))</f>
        <v>0</v>
      </c>
      <c r="AV50" s="207">
        <f>+IF($B50&gt;Coverage,0,ROUND(AU50*(1+VLOOKUP(AU$3,Assumption!$H$35:$K$43,4,0))^0.5,0))</f>
        <v>0</v>
      </c>
      <c r="AW50" s="207">
        <f>+IF($B50="",0,(1-VLOOKUP(MIN($B50,6),Assumption!$M$10:$N$16,2))*AV50)</f>
        <v>0</v>
      </c>
      <c r="AX50" s="207">
        <f>+IF($B50&gt;Coverage,0,ROUND((AY49+($F50+$G50-$H50-$Q50)*PML_EF)*(1+VLOOKUP(AX$3,Assumption!$H$35:$K$43,4,0))^0.5-($M50+$R50)*PML_EF-($S50*PML_EF*AY49),0))</f>
        <v>0</v>
      </c>
      <c r="AY50" s="207">
        <f>+IF($B50&gt;Coverage,0,ROUND(AX50*(1+VLOOKUP(AX$3,Assumption!$H$35:$K$43,4,0))^0.5,0))</f>
        <v>0</v>
      </c>
      <c r="AZ50" s="207">
        <f>+IF($B50="",0,(1-VLOOKUP(MIN($B50,6),Assumption!$M$10:$N$16,2))*AY50)</f>
        <v>0</v>
      </c>
      <c r="BA50" s="207">
        <f>+IF($B50&gt;Coverage,0,ROUND((BB49+($F50+$G50-$H50-$Q50)*PML_FI)*(1+VLOOKUP(BA$3,Assumption!$H$35:$K$43,4,0))^0.5-($M50+$R50)*PML_FI-($S50*PML_FI*BB49),0))</f>
        <v>0</v>
      </c>
      <c r="BB50" s="207">
        <f>+IF($B50&gt;Coverage,0,ROUND(BA50*(1+VLOOKUP(BA$3,Assumption!$H$35:$K$43,4,0))^0.5,0))</f>
        <v>0</v>
      </c>
      <c r="BC50" s="207">
        <f>+IF($B50="",0,(1-VLOOKUP(MIN($B50,6),Assumption!$M$10:$N$16,2))*BB50)</f>
        <v>0</v>
      </c>
    </row>
    <row r="51" ht="14.25" customHeight="1">
      <c r="A51" s="126">
        <v>44.0</v>
      </c>
      <c r="B51" s="129" t="str">
        <f>+IF(A51&gt;Coverage,"",A51)</f>
        <v/>
      </c>
      <c r="C51" s="134" t="str">
        <f>+IF(B51=1,Insured_Age,IF(B51="","",C50+1))</f>
        <v/>
      </c>
      <c r="D51" s="134" t="str">
        <f>+IF(B51&gt;Coverage,"",IF(B51=1,input!$H$11,D50+1))</f>
        <v/>
      </c>
      <c r="E51" s="134" t="str">
        <f>IF(B51=1,premi_dasar,IF(B51&gt;Coverage,"",0))</f>
        <v/>
      </c>
      <c r="F51" s="134" t="str">
        <f>IF(B51&gt;Coverage,"",SUM(E51))</f>
        <v/>
      </c>
      <c r="G51" s="134" t="str">
        <f>IF(B51&gt;Coverage,"",SUMIFS(input!$E$38:$E$50,input!$C$38:$C$50,$C51))</f>
        <v/>
      </c>
      <c r="H51" s="134" t="str">
        <f>IF(B51&gt;Coverage,"",SUMIFS(input!$E$53:$E$87,input!$C$53:$C$87,$C51))</f>
        <v/>
      </c>
      <c r="I51" s="66" t="str">
        <f>+IF(B51="","",Sum_Assured*VLOOKUP(MIN(C51,10),Assumption!$M$19:$N$28,2,0))</f>
        <v/>
      </c>
      <c r="J51" s="66" t="str">
        <f>IF(B51="","",input!$D$33)</f>
        <v/>
      </c>
      <c r="K51" s="66" t="str">
        <f>IF(B51&gt;Coverage,"",VLOOKUP($C51,COI_Tab[],IF(sex="Male",2,3),0)*I51*(1+EM_Basic)/1000)</f>
        <v/>
      </c>
      <c r="L51" s="66" t="str">
        <f>IF(B51&gt;Coverage,"",VLOOKUP($C51,COI_Tab[],4,0)*J51*(1+EM_Basic)/1000)</f>
        <v/>
      </c>
      <c r="M51" s="207" t="str">
        <f>IF(B51&gt;Coverage,"",ROUND(K51+L51,0))</f>
        <v/>
      </c>
      <c r="N51" s="134" t="str">
        <f>IF(B51&gt;Coverage,"",VLOOKUP($B51,Assumption!$H$11:$I$15,2)*E51)</f>
        <v/>
      </c>
      <c r="O51" s="134" t="str">
        <f>IF(B51&gt;Coverage,"",Assumption!$J$11*$G51)</f>
        <v/>
      </c>
      <c r="P51" s="134" t="str">
        <f>IF(B51&gt;Coverage,"",H51*VLOOKUP(MIN(B51,6),Assumption!$M$11:$N$16,2,0))</f>
        <v/>
      </c>
      <c r="Q51" s="134" t="str">
        <f>IF(B51&gt;Coverage,"",SUM(N51:P51))</f>
        <v/>
      </c>
      <c r="R51" s="207" t="str">
        <f>+IF($B51&gt;Coverage,"",Assumption!$I$18*12)</f>
        <v/>
      </c>
      <c r="S51" s="208" t="str">
        <f>+IF($B51&gt;Coverage,"",Assumption!$I$20)</f>
        <v/>
      </c>
      <c r="T51" s="207">
        <f>+IF($B51&gt;Coverage,0,ROUND((U50+($F51+$G51-$H51-$Q51)*PML_LF)*(1+VLOOKUP(T$3,Assumption!$H$35:$K$43,2,0))^0.5-($M51+$R51)*PML_LF-($S51*PML_LF*U50),0))</f>
        <v>0</v>
      </c>
      <c r="U51" s="207">
        <f>+IF($B51&gt;Coverage,0,ROUND(T51*(1+VLOOKUP(T$3,Assumption!$H$35:$K$43,2,0))^0.5,0))</f>
        <v>0</v>
      </c>
      <c r="V51" s="207">
        <f>+IF($B51="",0,(1-VLOOKUP(MIN($B51,6),Assumption!$M$10:$N$16,2))*U51)</f>
        <v>0</v>
      </c>
      <c r="W51" s="207">
        <f>+IF($B51&gt;Coverage,0,ROUND((X50+($F51+$G51-$H51-$Q51)*PML_BF)*(1+VLOOKUP(W$3,Assumption!$H$35:$K$43,2,0))^0.5-($M51+$R51)*PML_BF-($S51*PML_BF*X50),0))</f>
        <v>0</v>
      </c>
      <c r="X51" s="207">
        <f>+IF($B51&gt;Coverage,0,ROUND(W51*(1+VLOOKUP(W$3,Assumption!$H$35:$K$43,2,0))^0.5,0))</f>
        <v>0</v>
      </c>
      <c r="Y51" s="207">
        <f>+IF($B51="",0,(1-VLOOKUP(MIN($B51,6),Assumption!$M$10:$N$16,2))*X51)</f>
        <v>0</v>
      </c>
      <c r="Z51" s="207">
        <f>+IF($B51&gt;Coverage,0,ROUND((AA50+($F51+$G51-$H51-$Q51)*PML_EF)*(1+VLOOKUP(Z$3,Assumption!$H$35:$K$43,2,0))^0.5-($M51+$R51)*PML_EF-($S51*PML_EF*AA50),0))</f>
        <v>0</v>
      </c>
      <c r="AA51" s="207">
        <f>+IF($B51&gt;Coverage,0,ROUND(Z51*(1+VLOOKUP(Z$3,Assumption!$H$35:$K$43,2,0))^0.5,0))</f>
        <v>0</v>
      </c>
      <c r="AB51" s="207">
        <f>+IF($B51="",0,(1-VLOOKUP(MIN($B51,6),Assumption!$M$10:$N$16,2))*AA51)</f>
        <v>0</v>
      </c>
      <c r="AC51" s="207">
        <f>+IF($B51&gt;Coverage,0,ROUND((AD50+($F51+$G51-$H51-$Q51)*PML_FI)*(1+VLOOKUP(AC$3,Assumption!$H$35:$K$43,2,0))^0.5-($M51+$R51)*PML_FI-($S51*PML_FI*AD50),0))</f>
        <v>0</v>
      </c>
      <c r="AD51" s="207">
        <f>+IF($B51&gt;Coverage,0,ROUND(AC51*(1+VLOOKUP(AC$3,Assumption!$H$35:$K$43,2,0))^0.5,0))</f>
        <v>0</v>
      </c>
      <c r="AE51" s="207">
        <f>+IF($B51="",0,(1-VLOOKUP(MIN($B51,6),Assumption!$M$10:$N$16,2))*AD51)</f>
        <v>0</v>
      </c>
      <c r="AF51" s="207">
        <f>+IF($B51&gt;Coverage,0,ROUND((AG50+($F51+$G51-$H51-$Q51)*PML_LF)*(1+VLOOKUP(AF$3,Assumption!$H$35:$K$43,3,0))^0.5-($M51+$R51)*PML_LF-($S51*PML_LF*AG50),0))</f>
        <v>0</v>
      </c>
      <c r="AG51" s="207">
        <f>+IF($B51&gt;Coverage,0,ROUND(AF51*(1+VLOOKUP(AF$3,Assumption!$H$35:$K$43,3,0))^0.5,0))</f>
        <v>0</v>
      </c>
      <c r="AH51" s="207">
        <f>+IF($B51="",0,(1-VLOOKUP(MIN($B51,6),Assumption!$M$10:$N$16,2))*AG51)</f>
        <v>0</v>
      </c>
      <c r="AI51" s="207">
        <f>+IF($B51&gt;Coverage,0,ROUND((AJ50+($F51+$G51-$H51-$Q51)*PML_BF)*(1+VLOOKUP(AI$3,Assumption!$H$35:$K$43,3,0))^0.5-($M51+$R51)*PML_BF-($S51*PML_BF*AJ50),0))</f>
        <v>0</v>
      </c>
      <c r="AJ51" s="207">
        <f>+IF($B51&gt;Coverage,0,ROUND(AI51*(1+VLOOKUP(AI$3,Assumption!$H$35:$K$43,3,0))^0.5,0))</f>
        <v>0</v>
      </c>
      <c r="AK51" s="207">
        <f>+IF($B51="",0,(1-VLOOKUP(MIN($B51,6),Assumption!$M$10:$N$16,2))*AJ51)</f>
        <v>0</v>
      </c>
      <c r="AL51" s="207">
        <f>+IF($B51&gt;Coverage,0,ROUND((AM50+($F51+$G51-$H51-$Q51)*PML_EF)*(1+VLOOKUP(AL$3,Assumption!$H$35:$K$43,3,0))^0.5-($M51+$R51)*PML_EF-($S51*PML_EF*AM50),0))</f>
        <v>0</v>
      </c>
      <c r="AM51" s="207">
        <f>+IF($B51&gt;Coverage,0,ROUND(AL51*(1+VLOOKUP(AL$3,Assumption!$H$35:$K$43,3,0))^0.5,0))</f>
        <v>0</v>
      </c>
      <c r="AN51" s="207">
        <f>+IF($B51="",0,(1-VLOOKUP(MIN($B51,6),Assumption!$M$10:$N$16,2))*AM51)</f>
        <v>0</v>
      </c>
      <c r="AO51" s="207">
        <f>+IF($B51&gt;Coverage,0,ROUND((AP50+($F51+$G51-$H51-$Q51)*PML_FI)*(1+VLOOKUP(AO$3,Assumption!$H$35:$K$43,3,0))^0.5-($M51+$R51)*PML_FI-($S51*PML_FI*AP50),0))</f>
        <v>0</v>
      </c>
      <c r="AP51" s="207">
        <f>+IF($B51&gt;Coverage,0,ROUND(AO51*(1+VLOOKUP(AO$3,Assumption!$H$35:$K$43,3,0))^0.5,0))</f>
        <v>0</v>
      </c>
      <c r="AQ51" s="207">
        <f>+IF($B51="",0,(1-VLOOKUP(MIN($B51,6),Assumption!$M$10:$N$16,2))*AP51)</f>
        <v>0</v>
      </c>
      <c r="AR51" s="207">
        <f>+IF($B51&gt;Coverage,0,ROUND((AS50+($F51+$G51-$H51-$Q51)*PML_LF)*(1+VLOOKUP(AR$3,Assumption!$H$35:$K$43,4,0))^0.5-($M51+$R51)*PML_LF-($S51*PML_LF*AS50),0))</f>
        <v>0</v>
      </c>
      <c r="AS51" s="207">
        <f>+IF($B51&gt;Coverage,0,ROUND(AR51*(1+VLOOKUP(AR$3,Assumption!$H$35:$K$43,4,0))^0.5,0))</f>
        <v>0</v>
      </c>
      <c r="AT51" s="207">
        <f>+IF($B51="",0,(1-VLOOKUP(MIN($B51,6),Assumption!$M$10:$N$16,2))*AS51)</f>
        <v>0</v>
      </c>
      <c r="AU51" s="207">
        <f>+IF($B51&gt;Coverage,0,ROUND((AV50+($F51+$G51-$H51-$Q51)*PML_BF)*(1+VLOOKUP(AU$3,Assumption!$H$35:$K$43,4,0))^0.5-($M51+$R51)*PML_BF-($S51*PML_BF*AV50),0))</f>
        <v>0</v>
      </c>
      <c r="AV51" s="207">
        <f>+IF($B51&gt;Coverage,0,ROUND(AU51*(1+VLOOKUP(AU$3,Assumption!$H$35:$K$43,4,0))^0.5,0))</f>
        <v>0</v>
      </c>
      <c r="AW51" s="207">
        <f>+IF($B51="",0,(1-VLOOKUP(MIN($B51,6),Assumption!$M$10:$N$16,2))*AV51)</f>
        <v>0</v>
      </c>
      <c r="AX51" s="207">
        <f>+IF($B51&gt;Coverage,0,ROUND((AY50+($F51+$G51-$H51-$Q51)*PML_EF)*(1+VLOOKUP(AX$3,Assumption!$H$35:$K$43,4,0))^0.5-($M51+$R51)*PML_EF-($S51*PML_EF*AY50),0))</f>
        <v>0</v>
      </c>
      <c r="AY51" s="207">
        <f>+IF($B51&gt;Coverage,0,ROUND(AX51*(1+VLOOKUP(AX$3,Assumption!$H$35:$K$43,4,0))^0.5,0))</f>
        <v>0</v>
      </c>
      <c r="AZ51" s="207">
        <f>+IF($B51="",0,(1-VLOOKUP(MIN($B51,6),Assumption!$M$10:$N$16,2))*AY51)</f>
        <v>0</v>
      </c>
      <c r="BA51" s="207">
        <f>+IF($B51&gt;Coverage,0,ROUND((BB50+($F51+$G51-$H51-$Q51)*PML_FI)*(1+VLOOKUP(BA$3,Assumption!$H$35:$K$43,4,0))^0.5-($M51+$R51)*PML_FI-($S51*PML_FI*BB50),0))</f>
        <v>0</v>
      </c>
      <c r="BB51" s="207">
        <f>+IF($B51&gt;Coverage,0,ROUND(BA51*(1+VLOOKUP(BA$3,Assumption!$H$35:$K$43,4,0))^0.5,0))</f>
        <v>0</v>
      </c>
      <c r="BC51" s="207">
        <f>+IF($B51="",0,(1-VLOOKUP(MIN($B51,6),Assumption!$M$10:$N$16,2))*BB51)</f>
        <v>0</v>
      </c>
    </row>
    <row r="52" ht="14.25" customHeight="1">
      <c r="A52" s="126">
        <v>45.0</v>
      </c>
      <c r="B52" s="129" t="str">
        <f>+IF(A52&gt;Coverage,"",A52)</f>
        <v/>
      </c>
      <c r="C52" s="134" t="str">
        <f>+IF(B52=1,Insured_Age,IF(B52="","",C51+1))</f>
        <v/>
      </c>
      <c r="D52" s="134" t="str">
        <f>+IF(B52&gt;Coverage,"",IF(B52=1,input!$H$11,D51+1))</f>
        <v/>
      </c>
      <c r="E52" s="134" t="str">
        <f>IF(B52=1,premi_dasar,IF(B52&gt;Coverage,"",0))</f>
        <v/>
      </c>
      <c r="F52" s="134" t="str">
        <f>IF(B52&gt;Coverage,"",SUM(E52))</f>
        <v/>
      </c>
      <c r="G52" s="134" t="str">
        <f>IF(B52&gt;Coverage,"",SUMIFS(input!$E$38:$E$50,input!$C$38:$C$50,$C52))</f>
        <v/>
      </c>
      <c r="H52" s="134" t="str">
        <f>IF(B52&gt;Coverage,"",SUMIFS(input!$E$53:$E$87,input!$C$53:$C$87,$C52))</f>
        <v/>
      </c>
      <c r="I52" s="66" t="str">
        <f>+IF(B52="","",Sum_Assured*VLOOKUP(MIN(C52,10),Assumption!$M$19:$N$28,2,0))</f>
        <v/>
      </c>
      <c r="J52" s="66" t="str">
        <f>IF(B52="","",input!$D$33)</f>
        <v/>
      </c>
      <c r="K52" s="66" t="str">
        <f>IF(B52&gt;Coverage,"",VLOOKUP($C52,COI_Tab[],IF(sex="Male",2,3),0)*I52*(1+EM_Basic)/1000)</f>
        <v/>
      </c>
      <c r="L52" s="66" t="str">
        <f>IF(B52&gt;Coverage,"",VLOOKUP($C52,COI_Tab[],4,0)*J52*(1+EM_Basic)/1000)</f>
        <v/>
      </c>
      <c r="M52" s="207" t="str">
        <f>IF(B52&gt;Coverage,"",ROUND(K52+L52,0))</f>
        <v/>
      </c>
      <c r="N52" s="134" t="str">
        <f>IF(B52&gt;Coverage,"",VLOOKUP($B52,Assumption!$H$11:$I$15,2)*E52)</f>
        <v/>
      </c>
      <c r="O52" s="134" t="str">
        <f>IF(B52&gt;Coverage,"",Assumption!$J$11*$G52)</f>
        <v/>
      </c>
      <c r="P52" s="134" t="str">
        <f>IF(B52&gt;Coverage,"",H52*VLOOKUP(MIN(B52,6),Assumption!$M$11:$N$16,2,0))</f>
        <v/>
      </c>
      <c r="Q52" s="134" t="str">
        <f>IF(B52&gt;Coverage,"",SUM(N52:P52))</f>
        <v/>
      </c>
      <c r="R52" s="207" t="str">
        <f>+IF($B52&gt;Coverage,"",Assumption!$I$18*12)</f>
        <v/>
      </c>
      <c r="S52" s="208" t="str">
        <f>+IF($B52&gt;Coverage,"",Assumption!$I$20)</f>
        <v/>
      </c>
      <c r="T52" s="207">
        <f>+IF($B52&gt;Coverage,0,ROUND((U51+($F52+$G52-$H52-$Q52)*PML_LF)*(1+VLOOKUP(T$3,Assumption!$H$35:$K$43,2,0))^0.5-($M52+$R52)*PML_LF-($S52*PML_LF*U51),0))</f>
        <v>0</v>
      </c>
      <c r="U52" s="207">
        <f>+IF($B52&gt;Coverage,0,ROUND(T52*(1+VLOOKUP(T$3,Assumption!$H$35:$K$43,2,0))^0.5,0))</f>
        <v>0</v>
      </c>
      <c r="V52" s="207">
        <f>+IF($B52="",0,(1-VLOOKUP(MIN($B52,6),Assumption!$M$10:$N$16,2))*U52)</f>
        <v>0</v>
      </c>
      <c r="W52" s="207">
        <f>+IF($B52&gt;Coverage,0,ROUND((X51+($F52+$G52-$H52-$Q52)*PML_BF)*(1+VLOOKUP(W$3,Assumption!$H$35:$K$43,2,0))^0.5-($M52+$R52)*PML_BF-($S52*PML_BF*X51),0))</f>
        <v>0</v>
      </c>
      <c r="X52" s="207">
        <f>+IF($B52&gt;Coverage,0,ROUND(W52*(1+VLOOKUP(W$3,Assumption!$H$35:$K$43,2,0))^0.5,0))</f>
        <v>0</v>
      </c>
      <c r="Y52" s="207">
        <f>+IF($B52="",0,(1-VLOOKUP(MIN($B52,6),Assumption!$M$10:$N$16,2))*X52)</f>
        <v>0</v>
      </c>
      <c r="Z52" s="207">
        <f>+IF($B52&gt;Coverage,0,ROUND((AA51+($F52+$G52-$H52-$Q52)*PML_EF)*(1+VLOOKUP(Z$3,Assumption!$H$35:$K$43,2,0))^0.5-($M52+$R52)*PML_EF-($S52*PML_EF*AA51),0))</f>
        <v>0</v>
      </c>
      <c r="AA52" s="207">
        <f>+IF($B52&gt;Coverage,0,ROUND(Z52*(1+VLOOKUP(Z$3,Assumption!$H$35:$K$43,2,0))^0.5,0))</f>
        <v>0</v>
      </c>
      <c r="AB52" s="207">
        <f>+IF($B52="",0,(1-VLOOKUP(MIN($B52,6),Assumption!$M$10:$N$16,2))*AA52)</f>
        <v>0</v>
      </c>
      <c r="AC52" s="207">
        <f>+IF($B52&gt;Coverage,0,ROUND((AD51+($F52+$G52-$H52-$Q52)*PML_FI)*(1+VLOOKUP(AC$3,Assumption!$H$35:$K$43,2,0))^0.5-($M52+$R52)*PML_FI-($S52*PML_FI*AD51),0))</f>
        <v>0</v>
      </c>
      <c r="AD52" s="207">
        <f>+IF($B52&gt;Coverage,0,ROUND(AC52*(1+VLOOKUP(AC$3,Assumption!$H$35:$K$43,2,0))^0.5,0))</f>
        <v>0</v>
      </c>
      <c r="AE52" s="207">
        <f>+IF($B52="",0,(1-VLOOKUP(MIN($B52,6),Assumption!$M$10:$N$16,2))*AD52)</f>
        <v>0</v>
      </c>
      <c r="AF52" s="207">
        <f>+IF($B52&gt;Coverage,0,ROUND((AG51+($F52+$G52-$H52-$Q52)*PML_LF)*(1+VLOOKUP(AF$3,Assumption!$H$35:$K$43,3,0))^0.5-($M52+$R52)*PML_LF-($S52*PML_LF*AG51),0))</f>
        <v>0</v>
      </c>
      <c r="AG52" s="207">
        <f>+IF($B52&gt;Coverage,0,ROUND(AF52*(1+VLOOKUP(AF$3,Assumption!$H$35:$K$43,3,0))^0.5,0))</f>
        <v>0</v>
      </c>
      <c r="AH52" s="207">
        <f>+IF($B52="",0,(1-VLOOKUP(MIN($B52,6),Assumption!$M$10:$N$16,2))*AG52)</f>
        <v>0</v>
      </c>
      <c r="AI52" s="207">
        <f>+IF($B52&gt;Coverage,0,ROUND((AJ51+($F52+$G52-$H52-$Q52)*PML_BF)*(1+VLOOKUP(AI$3,Assumption!$H$35:$K$43,3,0))^0.5-($M52+$R52)*PML_BF-($S52*PML_BF*AJ51),0))</f>
        <v>0</v>
      </c>
      <c r="AJ52" s="207">
        <f>+IF($B52&gt;Coverage,0,ROUND(AI52*(1+VLOOKUP(AI$3,Assumption!$H$35:$K$43,3,0))^0.5,0))</f>
        <v>0</v>
      </c>
      <c r="AK52" s="207">
        <f>+IF($B52="",0,(1-VLOOKUP(MIN($B52,6),Assumption!$M$10:$N$16,2))*AJ52)</f>
        <v>0</v>
      </c>
      <c r="AL52" s="207">
        <f>+IF($B52&gt;Coverage,0,ROUND((AM51+($F52+$G52-$H52-$Q52)*PML_EF)*(1+VLOOKUP(AL$3,Assumption!$H$35:$K$43,3,0))^0.5-($M52+$R52)*PML_EF-($S52*PML_EF*AM51),0))</f>
        <v>0</v>
      </c>
      <c r="AM52" s="207">
        <f>+IF($B52&gt;Coverage,0,ROUND(AL52*(1+VLOOKUP(AL$3,Assumption!$H$35:$K$43,3,0))^0.5,0))</f>
        <v>0</v>
      </c>
      <c r="AN52" s="207">
        <f>+IF($B52="",0,(1-VLOOKUP(MIN($B52,6),Assumption!$M$10:$N$16,2))*AM52)</f>
        <v>0</v>
      </c>
      <c r="AO52" s="207">
        <f>+IF($B52&gt;Coverage,0,ROUND((AP51+($F52+$G52-$H52-$Q52)*PML_FI)*(1+VLOOKUP(AO$3,Assumption!$H$35:$K$43,3,0))^0.5-($M52+$R52)*PML_FI-($S52*PML_FI*AP51),0))</f>
        <v>0</v>
      </c>
      <c r="AP52" s="207">
        <f>+IF($B52&gt;Coverage,0,ROUND(AO52*(1+VLOOKUP(AO$3,Assumption!$H$35:$K$43,3,0))^0.5,0))</f>
        <v>0</v>
      </c>
      <c r="AQ52" s="207">
        <f>+IF($B52="",0,(1-VLOOKUP(MIN($B52,6),Assumption!$M$10:$N$16,2))*AP52)</f>
        <v>0</v>
      </c>
      <c r="AR52" s="207">
        <f>+IF($B52&gt;Coverage,0,ROUND((AS51+($F52+$G52-$H52-$Q52)*PML_LF)*(1+VLOOKUP(AR$3,Assumption!$H$35:$K$43,4,0))^0.5-($M52+$R52)*PML_LF-($S52*PML_LF*AS51),0))</f>
        <v>0</v>
      </c>
      <c r="AS52" s="207">
        <f>+IF($B52&gt;Coverage,0,ROUND(AR52*(1+VLOOKUP(AR$3,Assumption!$H$35:$K$43,4,0))^0.5,0))</f>
        <v>0</v>
      </c>
      <c r="AT52" s="207">
        <f>+IF($B52="",0,(1-VLOOKUP(MIN($B52,6),Assumption!$M$10:$N$16,2))*AS52)</f>
        <v>0</v>
      </c>
      <c r="AU52" s="207">
        <f>+IF($B52&gt;Coverage,0,ROUND((AV51+($F52+$G52-$H52-$Q52)*PML_BF)*(1+VLOOKUP(AU$3,Assumption!$H$35:$K$43,4,0))^0.5-($M52+$R52)*PML_BF-($S52*PML_BF*AV51),0))</f>
        <v>0</v>
      </c>
      <c r="AV52" s="207">
        <f>+IF($B52&gt;Coverage,0,ROUND(AU52*(1+VLOOKUP(AU$3,Assumption!$H$35:$K$43,4,0))^0.5,0))</f>
        <v>0</v>
      </c>
      <c r="AW52" s="207">
        <f>+IF($B52="",0,(1-VLOOKUP(MIN($B52,6),Assumption!$M$10:$N$16,2))*AV52)</f>
        <v>0</v>
      </c>
      <c r="AX52" s="207">
        <f>+IF($B52&gt;Coverage,0,ROUND((AY51+($F52+$G52-$H52-$Q52)*PML_EF)*(1+VLOOKUP(AX$3,Assumption!$H$35:$K$43,4,0))^0.5-($M52+$R52)*PML_EF-($S52*PML_EF*AY51),0))</f>
        <v>0</v>
      </c>
      <c r="AY52" s="207">
        <f>+IF($B52&gt;Coverage,0,ROUND(AX52*(1+VLOOKUP(AX$3,Assumption!$H$35:$K$43,4,0))^0.5,0))</f>
        <v>0</v>
      </c>
      <c r="AZ52" s="207">
        <f>+IF($B52="",0,(1-VLOOKUP(MIN($B52,6),Assumption!$M$10:$N$16,2))*AY52)</f>
        <v>0</v>
      </c>
      <c r="BA52" s="207">
        <f>+IF($B52&gt;Coverage,0,ROUND((BB51+($F52+$G52-$H52-$Q52)*PML_FI)*(1+VLOOKUP(BA$3,Assumption!$H$35:$K$43,4,0))^0.5-($M52+$R52)*PML_FI-($S52*PML_FI*BB51),0))</f>
        <v>0</v>
      </c>
      <c r="BB52" s="207">
        <f>+IF($B52&gt;Coverage,0,ROUND(BA52*(1+VLOOKUP(BA$3,Assumption!$H$35:$K$43,4,0))^0.5,0))</f>
        <v>0</v>
      </c>
      <c r="BC52" s="207">
        <f>+IF($B52="",0,(1-VLOOKUP(MIN($B52,6),Assumption!$M$10:$N$16,2))*BB52)</f>
        <v>0</v>
      </c>
    </row>
    <row r="53" ht="14.25" customHeight="1">
      <c r="A53" s="126">
        <v>46.0</v>
      </c>
      <c r="B53" s="129" t="str">
        <f>+IF(A53&gt;Coverage,"",A53)</f>
        <v/>
      </c>
      <c r="C53" s="134" t="str">
        <f>+IF(B53=1,Insured_Age,IF(B53="","",C52+1))</f>
        <v/>
      </c>
      <c r="D53" s="134" t="str">
        <f>+IF(B53&gt;Coverage,"",IF(B53=1,input!$H$11,D52+1))</f>
        <v/>
      </c>
      <c r="E53" s="134" t="str">
        <f>IF(B53=1,premi_dasar,IF(B53&gt;Coverage,"",0))</f>
        <v/>
      </c>
      <c r="F53" s="134" t="str">
        <f>IF(B53&gt;Coverage,"",SUM(E53))</f>
        <v/>
      </c>
      <c r="G53" s="134" t="str">
        <f>IF(B53&gt;Coverage,"",SUMIFS(input!$E$38:$E$50,input!$C$38:$C$50,$C53))</f>
        <v/>
      </c>
      <c r="H53" s="134" t="str">
        <f>IF(B53&gt;Coverage,"",SUMIFS(input!$E$53:$E$87,input!$C$53:$C$87,$C53))</f>
        <v/>
      </c>
      <c r="I53" s="66" t="str">
        <f>+IF(B53="","",Sum_Assured*VLOOKUP(MIN(C53,10),Assumption!$M$19:$N$28,2,0))</f>
        <v/>
      </c>
      <c r="J53" s="66" t="str">
        <f>IF(B53="","",input!$D$33)</f>
        <v/>
      </c>
      <c r="K53" s="66" t="str">
        <f>IF(B53&gt;Coverage,"",VLOOKUP($C53,COI_Tab[],IF(sex="Male",2,3),0)*I53*(1+EM_Basic)/1000)</f>
        <v/>
      </c>
      <c r="L53" s="66" t="str">
        <f>IF(B53&gt;Coverage,"",VLOOKUP($C53,COI_Tab[],4,0)*J53*(1+EM_Basic)/1000)</f>
        <v/>
      </c>
      <c r="M53" s="207" t="str">
        <f>IF(B53&gt;Coverage,"",ROUND(K53+L53,0))</f>
        <v/>
      </c>
      <c r="N53" s="134" t="str">
        <f>IF(B53&gt;Coverage,"",VLOOKUP($B53,Assumption!$H$11:$I$15,2)*E53)</f>
        <v/>
      </c>
      <c r="O53" s="134" t="str">
        <f>IF(B53&gt;Coverage,"",Assumption!$J$11*$G53)</f>
        <v/>
      </c>
      <c r="P53" s="134" t="str">
        <f>IF(B53&gt;Coverage,"",H53*VLOOKUP(MIN(B53,6),Assumption!$M$11:$N$16,2,0))</f>
        <v/>
      </c>
      <c r="Q53" s="134" t="str">
        <f>IF(B53&gt;Coverage,"",SUM(N53:P53))</f>
        <v/>
      </c>
      <c r="R53" s="207" t="str">
        <f>+IF($B53&gt;Coverage,"",Assumption!$I$18*12)</f>
        <v/>
      </c>
      <c r="S53" s="208" t="str">
        <f>+IF($B53&gt;Coverage,"",Assumption!$I$20)</f>
        <v/>
      </c>
      <c r="T53" s="207">
        <f>+IF($B53&gt;Coverage,0,ROUND((U52+($F53+$G53-$H53-$Q53)*PML_LF)*(1+VLOOKUP(T$3,Assumption!$H$35:$K$43,2,0))^0.5-($M53+$R53)*PML_LF-($S53*PML_LF*U52),0))</f>
        <v>0</v>
      </c>
      <c r="U53" s="207">
        <f>+IF($B53&gt;Coverage,0,ROUND(T53*(1+VLOOKUP(T$3,Assumption!$H$35:$K$43,2,0))^0.5,0))</f>
        <v>0</v>
      </c>
      <c r="V53" s="207">
        <f>+IF($B53="",0,(1-VLOOKUP(MIN($B53,6),Assumption!$M$10:$N$16,2))*U53)</f>
        <v>0</v>
      </c>
      <c r="W53" s="207">
        <f>+IF($B53&gt;Coverage,0,ROUND((X52+($F53+$G53-$H53-$Q53)*PML_BF)*(1+VLOOKUP(W$3,Assumption!$H$35:$K$43,2,0))^0.5-($M53+$R53)*PML_BF-($S53*PML_BF*X52),0))</f>
        <v>0</v>
      </c>
      <c r="X53" s="207">
        <f>+IF($B53&gt;Coverage,0,ROUND(W53*(1+VLOOKUP(W$3,Assumption!$H$35:$K$43,2,0))^0.5,0))</f>
        <v>0</v>
      </c>
      <c r="Y53" s="207">
        <f>+IF($B53="",0,(1-VLOOKUP(MIN($B53,6),Assumption!$M$10:$N$16,2))*X53)</f>
        <v>0</v>
      </c>
      <c r="Z53" s="207">
        <f>+IF($B53&gt;Coverage,0,ROUND((AA52+($F53+$G53-$H53-$Q53)*PML_EF)*(1+VLOOKUP(Z$3,Assumption!$H$35:$K$43,2,0))^0.5-($M53+$R53)*PML_EF-($S53*PML_EF*AA52),0))</f>
        <v>0</v>
      </c>
      <c r="AA53" s="207">
        <f>+IF($B53&gt;Coverage,0,ROUND(Z53*(1+VLOOKUP(Z$3,Assumption!$H$35:$K$43,2,0))^0.5,0))</f>
        <v>0</v>
      </c>
      <c r="AB53" s="207">
        <f>+IF($B53="",0,(1-VLOOKUP(MIN($B53,6),Assumption!$M$10:$N$16,2))*AA53)</f>
        <v>0</v>
      </c>
      <c r="AC53" s="207">
        <f>+IF($B53&gt;Coverage,0,ROUND((AD52+($F53+$G53-$H53-$Q53)*PML_FI)*(1+VLOOKUP(AC$3,Assumption!$H$35:$K$43,2,0))^0.5-($M53+$R53)*PML_FI-($S53*PML_FI*AD52),0))</f>
        <v>0</v>
      </c>
      <c r="AD53" s="207">
        <f>+IF($B53&gt;Coverage,0,ROUND(AC53*(1+VLOOKUP(AC$3,Assumption!$H$35:$K$43,2,0))^0.5,0))</f>
        <v>0</v>
      </c>
      <c r="AE53" s="207">
        <f>+IF($B53="",0,(1-VLOOKUP(MIN($B53,6),Assumption!$M$10:$N$16,2))*AD53)</f>
        <v>0</v>
      </c>
      <c r="AF53" s="207">
        <f>+IF($B53&gt;Coverage,0,ROUND((AG52+($F53+$G53-$H53-$Q53)*PML_LF)*(1+VLOOKUP(AF$3,Assumption!$H$35:$K$43,3,0))^0.5-($M53+$R53)*PML_LF-($S53*PML_LF*AG52),0))</f>
        <v>0</v>
      </c>
      <c r="AG53" s="207">
        <f>+IF($B53&gt;Coverage,0,ROUND(AF53*(1+VLOOKUP(AF$3,Assumption!$H$35:$K$43,3,0))^0.5,0))</f>
        <v>0</v>
      </c>
      <c r="AH53" s="207">
        <f>+IF($B53="",0,(1-VLOOKUP(MIN($B53,6),Assumption!$M$10:$N$16,2))*AG53)</f>
        <v>0</v>
      </c>
      <c r="AI53" s="207">
        <f>+IF($B53&gt;Coverage,0,ROUND((AJ52+($F53+$G53-$H53-$Q53)*PML_BF)*(1+VLOOKUP(AI$3,Assumption!$H$35:$K$43,3,0))^0.5-($M53+$R53)*PML_BF-($S53*PML_BF*AJ52),0))</f>
        <v>0</v>
      </c>
      <c r="AJ53" s="207">
        <f>+IF($B53&gt;Coverage,0,ROUND(AI53*(1+VLOOKUP(AI$3,Assumption!$H$35:$K$43,3,0))^0.5,0))</f>
        <v>0</v>
      </c>
      <c r="AK53" s="207">
        <f>+IF($B53="",0,(1-VLOOKUP(MIN($B53,6),Assumption!$M$10:$N$16,2))*AJ53)</f>
        <v>0</v>
      </c>
      <c r="AL53" s="207">
        <f>+IF($B53&gt;Coverage,0,ROUND((AM52+($F53+$G53-$H53-$Q53)*PML_EF)*(1+VLOOKUP(AL$3,Assumption!$H$35:$K$43,3,0))^0.5-($M53+$R53)*PML_EF-($S53*PML_EF*AM52),0))</f>
        <v>0</v>
      </c>
      <c r="AM53" s="207">
        <f>+IF($B53&gt;Coverage,0,ROUND(AL53*(1+VLOOKUP(AL$3,Assumption!$H$35:$K$43,3,0))^0.5,0))</f>
        <v>0</v>
      </c>
      <c r="AN53" s="207">
        <f>+IF($B53="",0,(1-VLOOKUP(MIN($B53,6),Assumption!$M$10:$N$16,2))*AM53)</f>
        <v>0</v>
      </c>
      <c r="AO53" s="207">
        <f>+IF($B53&gt;Coverage,0,ROUND((AP52+($F53+$G53-$H53-$Q53)*PML_FI)*(1+VLOOKUP(AO$3,Assumption!$H$35:$K$43,3,0))^0.5-($M53+$R53)*PML_FI-($S53*PML_FI*AP52),0))</f>
        <v>0</v>
      </c>
      <c r="AP53" s="207">
        <f>+IF($B53&gt;Coverage,0,ROUND(AO53*(1+VLOOKUP(AO$3,Assumption!$H$35:$K$43,3,0))^0.5,0))</f>
        <v>0</v>
      </c>
      <c r="AQ53" s="207">
        <f>+IF($B53="",0,(1-VLOOKUP(MIN($B53,6),Assumption!$M$10:$N$16,2))*AP53)</f>
        <v>0</v>
      </c>
      <c r="AR53" s="207">
        <f>+IF($B53&gt;Coverage,0,ROUND((AS52+($F53+$G53-$H53-$Q53)*PML_LF)*(1+VLOOKUP(AR$3,Assumption!$H$35:$K$43,4,0))^0.5-($M53+$R53)*PML_LF-($S53*PML_LF*AS52),0))</f>
        <v>0</v>
      </c>
      <c r="AS53" s="207">
        <f>+IF($B53&gt;Coverage,0,ROUND(AR53*(1+VLOOKUP(AR$3,Assumption!$H$35:$K$43,4,0))^0.5,0))</f>
        <v>0</v>
      </c>
      <c r="AT53" s="207">
        <f>+IF($B53="",0,(1-VLOOKUP(MIN($B53,6),Assumption!$M$10:$N$16,2))*AS53)</f>
        <v>0</v>
      </c>
      <c r="AU53" s="207">
        <f>+IF($B53&gt;Coverage,0,ROUND((AV52+($F53+$G53-$H53-$Q53)*PML_BF)*(1+VLOOKUP(AU$3,Assumption!$H$35:$K$43,4,0))^0.5-($M53+$R53)*PML_BF-($S53*PML_BF*AV52),0))</f>
        <v>0</v>
      </c>
      <c r="AV53" s="207">
        <f>+IF($B53&gt;Coverage,0,ROUND(AU53*(1+VLOOKUP(AU$3,Assumption!$H$35:$K$43,4,0))^0.5,0))</f>
        <v>0</v>
      </c>
      <c r="AW53" s="207">
        <f>+IF($B53="",0,(1-VLOOKUP(MIN($B53,6),Assumption!$M$10:$N$16,2))*AV53)</f>
        <v>0</v>
      </c>
      <c r="AX53" s="207">
        <f>+IF($B53&gt;Coverage,0,ROUND((AY52+($F53+$G53-$H53-$Q53)*PML_EF)*(1+VLOOKUP(AX$3,Assumption!$H$35:$K$43,4,0))^0.5-($M53+$R53)*PML_EF-($S53*PML_EF*AY52),0))</f>
        <v>0</v>
      </c>
      <c r="AY53" s="207">
        <f>+IF($B53&gt;Coverage,0,ROUND(AX53*(1+VLOOKUP(AX$3,Assumption!$H$35:$K$43,4,0))^0.5,0))</f>
        <v>0</v>
      </c>
      <c r="AZ53" s="207">
        <f>+IF($B53="",0,(1-VLOOKUP(MIN($B53,6),Assumption!$M$10:$N$16,2))*AY53)</f>
        <v>0</v>
      </c>
      <c r="BA53" s="207">
        <f>+IF($B53&gt;Coverage,0,ROUND((BB52+($F53+$G53-$H53-$Q53)*PML_FI)*(1+VLOOKUP(BA$3,Assumption!$H$35:$K$43,4,0))^0.5-($M53+$R53)*PML_FI-($S53*PML_FI*BB52),0))</f>
        <v>0</v>
      </c>
      <c r="BB53" s="207">
        <f>+IF($B53&gt;Coverage,0,ROUND(BA53*(1+VLOOKUP(BA$3,Assumption!$H$35:$K$43,4,0))^0.5,0))</f>
        <v>0</v>
      </c>
      <c r="BC53" s="207">
        <f>+IF($B53="",0,(1-VLOOKUP(MIN($B53,6),Assumption!$M$10:$N$16,2))*BB53)</f>
        <v>0</v>
      </c>
    </row>
    <row r="54" ht="14.25" customHeight="1">
      <c r="A54" s="126">
        <v>47.0</v>
      </c>
      <c r="B54" s="129" t="str">
        <f>+IF(A54&gt;Coverage,"",A54)</f>
        <v/>
      </c>
      <c r="C54" s="134" t="str">
        <f>+IF(B54=1,Insured_Age,IF(B54="","",C53+1))</f>
        <v/>
      </c>
      <c r="D54" s="134" t="str">
        <f>+IF(B54&gt;Coverage,"",IF(B54=1,input!$H$11,D53+1))</f>
        <v/>
      </c>
      <c r="E54" s="134" t="str">
        <f>IF(B54=1,premi_dasar,IF(B54&gt;Coverage,"",0))</f>
        <v/>
      </c>
      <c r="F54" s="134" t="str">
        <f>IF(B54&gt;Coverage,"",SUM(E54))</f>
        <v/>
      </c>
      <c r="G54" s="134" t="str">
        <f>IF(B54&gt;Coverage,"",SUMIFS(input!$E$38:$E$50,input!$C$38:$C$50,$C54))</f>
        <v/>
      </c>
      <c r="H54" s="134" t="str">
        <f>IF(B54&gt;Coverage,"",SUMIFS(input!$E$53:$E$87,input!$C$53:$C$87,$C54))</f>
        <v/>
      </c>
      <c r="I54" s="66" t="str">
        <f>+IF(B54="","",Sum_Assured*VLOOKUP(MIN(C54,10),Assumption!$M$19:$N$28,2,0))</f>
        <v/>
      </c>
      <c r="J54" s="66" t="str">
        <f>IF(B54="","",input!$D$33)</f>
        <v/>
      </c>
      <c r="K54" s="66" t="str">
        <f>IF(B54&gt;Coverage,"",VLOOKUP($C54,COI_Tab[],IF(sex="Male",2,3),0)*I54*(1+EM_Basic)/1000)</f>
        <v/>
      </c>
      <c r="L54" s="66" t="str">
        <f>IF(B54&gt;Coverage,"",VLOOKUP($C54,COI_Tab[],4,0)*J54*(1+EM_Basic)/1000)</f>
        <v/>
      </c>
      <c r="M54" s="207" t="str">
        <f>IF(B54&gt;Coverage,"",ROUND(K54+L54,0))</f>
        <v/>
      </c>
      <c r="N54" s="134" t="str">
        <f>IF(B54&gt;Coverage,"",VLOOKUP($B54,Assumption!$H$11:$I$15,2)*E54)</f>
        <v/>
      </c>
      <c r="O54" s="134" t="str">
        <f>IF(B54&gt;Coverage,"",Assumption!$J$11*$G54)</f>
        <v/>
      </c>
      <c r="P54" s="134" t="str">
        <f>IF(B54&gt;Coverage,"",H54*VLOOKUP(MIN(B54,6),Assumption!$M$11:$N$16,2,0))</f>
        <v/>
      </c>
      <c r="Q54" s="134" t="str">
        <f>IF(B54&gt;Coverage,"",SUM(N54:P54))</f>
        <v/>
      </c>
      <c r="R54" s="207" t="str">
        <f>+IF($B54&gt;Coverage,"",Assumption!$I$18*12)</f>
        <v/>
      </c>
      <c r="S54" s="208" t="str">
        <f>+IF($B54&gt;Coverage,"",Assumption!$I$20)</f>
        <v/>
      </c>
      <c r="T54" s="207">
        <f>+IF($B54&gt;Coverage,0,ROUND((U53+($F54+$G54-$H54-$Q54)*PML_LF)*(1+VLOOKUP(T$3,Assumption!$H$35:$K$43,2,0))^0.5-($M54+$R54)*PML_LF-($S54*PML_LF*U53),0))</f>
        <v>0</v>
      </c>
      <c r="U54" s="207">
        <f>+IF($B54&gt;Coverage,0,ROUND(T54*(1+VLOOKUP(T$3,Assumption!$H$35:$K$43,2,0))^0.5,0))</f>
        <v>0</v>
      </c>
      <c r="V54" s="207">
        <f>+IF($B54="",0,(1-VLOOKUP(MIN($B54,6),Assumption!$M$10:$N$16,2))*U54)</f>
        <v>0</v>
      </c>
      <c r="W54" s="207">
        <f>+IF($B54&gt;Coverage,0,ROUND((X53+($F54+$G54-$H54-$Q54)*PML_BF)*(1+VLOOKUP(W$3,Assumption!$H$35:$K$43,2,0))^0.5-($M54+$R54)*PML_BF-($S54*PML_BF*X53),0))</f>
        <v>0</v>
      </c>
      <c r="X54" s="207">
        <f>+IF($B54&gt;Coverage,0,ROUND(W54*(1+VLOOKUP(W$3,Assumption!$H$35:$K$43,2,0))^0.5,0))</f>
        <v>0</v>
      </c>
      <c r="Y54" s="207">
        <f>+IF($B54="",0,(1-VLOOKUP(MIN($B54,6),Assumption!$M$10:$N$16,2))*X54)</f>
        <v>0</v>
      </c>
      <c r="Z54" s="207">
        <f>+IF($B54&gt;Coverage,0,ROUND((AA53+($F54+$G54-$H54-$Q54)*PML_EF)*(1+VLOOKUP(Z$3,Assumption!$H$35:$K$43,2,0))^0.5-($M54+$R54)*PML_EF-($S54*PML_EF*AA53),0))</f>
        <v>0</v>
      </c>
      <c r="AA54" s="207">
        <f>+IF($B54&gt;Coverage,0,ROUND(Z54*(1+VLOOKUP(Z$3,Assumption!$H$35:$K$43,2,0))^0.5,0))</f>
        <v>0</v>
      </c>
      <c r="AB54" s="207">
        <f>+IF($B54="",0,(1-VLOOKUP(MIN($B54,6),Assumption!$M$10:$N$16,2))*AA54)</f>
        <v>0</v>
      </c>
      <c r="AC54" s="207">
        <f>+IF($B54&gt;Coverage,0,ROUND((AD53+($F54+$G54-$H54-$Q54)*PML_FI)*(1+VLOOKUP(AC$3,Assumption!$H$35:$K$43,2,0))^0.5-($M54+$R54)*PML_FI-($S54*PML_FI*AD53),0))</f>
        <v>0</v>
      </c>
      <c r="AD54" s="207">
        <f>+IF($B54&gt;Coverage,0,ROUND(AC54*(1+VLOOKUP(AC$3,Assumption!$H$35:$K$43,2,0))^0.5,0))</f>
        <v>0</v>
      </c>
      <c r="AE54" s="207">
        <f>+IF($B54="",0,(1-VLOOKUP(MIN($B54,6),Assumption!$M$10:$N$16,2))*AD54)</f>
        <v>0</v>
      </c>
      <c r="AF54" s="207">
        <f>+IF($B54&gt;Coverage,0,ROUND((AG53+($F54+$G54-$H54-$Q54)*PML_LF)*(1+VLOOKUP(AF$3,Assumption!$H$35:$K$43,3,0))^0.5-($M54+$R54)*PML_LF-($S54*PML_LF*AG53),0))</f>
        <v>0</v>
      </c>
      <c r="AG54" s="207">
        <f>+IF($B54&gt;Coverage,0,ROUND(AF54*(1+VLOOKUP(AF$3,Assumption!$H$35:$K$43,3,0))^0.5,0))</f>
        <v>0</v>
      </c>
      <c r="AH54" s="207">
        <f>+IF($B54="",0,(1-VLOOKUP(MIN($B54,6),Assumption!$M$10:$N$16,2))*AG54)</f>
        <v>0</v>
      </c>
      <c r="AI54" s="207">
        <f>+IF($B54&gt;Coverage,0,ROUND((AJ53+($F54+$G54-$H54-$Q54)*PML_BF)*(1+VLOOKUP(AI$3,Assumption!$H$35:$K$43,3,0))^0.5-($M54+$R54)*PML_BF-($S54*PML_BF*AJ53),0))</f>
        <v>0</v>
      </c>
      <c r="AJ54" s="207">
        <f>+IF($B54&gt;Coverage,0,ROUND(AI54*(1+VLOOKUP(AI$3,Assumption!$H$35:$K$43,3,0))^0.5,0))</f>
        <v>0</v>
      </c>
      <c r="AK54" s="207">
        <f>+IF($B54="",0,(1-VLOOKUP(MIN($B54,6),Assumption!$M$10:$N$16,2))*AJ54)</f>
        <v>0</v>
      </c>
      <c r="AL54" s="207">
        <f>+IF($B54&gt;Coverage,0,ROUND((AM53+($F54+$G54-$H54-$Q54)*PML_EF)*(1+VLOOKUP(AL$3,Assumption!$H$35:$K$43,3,0))^0.5-($M54+$R54)*PML_EF-($S54*PML_EF*AM53),0))</f>
        <v>0</v>
      </c>
      <c r="AM54" s="207">
        <f>+IF($B54&gt;Coverage,0,ROUND(AL54*(1+VLOOKUP(AL$3,Assumption!$H$35:$K$43,3,0))^0.5,0))</f>
        <v>0</v>
      </c>
      <c r="AN54" s="207">
        <f>+IF($B54="",0,(1-VLOOKUP(MIN($B54,6),Assumption!$M$10:$N$16,2))*AM54)</f>
        <v>0</v>
      </c>
      <c r="AO54" s="207">
        <f>+IF($B54&gt;Coverage,0,ROUND((AP53+($F54+$G54-$H54-$Q54)*PML_FI)*(1+VLOOKUP(AO$3,Assumption!$H$35:$K$43,3,0))^0.5-($M54+$R54)*PML_FI-($S54*PML_FI*AP53),0))</f>
        <v>0</v>
      </c>
      <c r="AP54" s="207">
        <f>+IF($B54&gt;Coverage,0,ROUND(AO54*(1+VLOOKUP(AO$3,Assumption!$H$35:$K$43,3,0))^0.5,0))</f>
        <v>0</v>
      </c>
      <c r="AQ54" s="207">
        <f>+IF($B54="",0,(1-VLOOKUP(MIN($B54,6),Assumption!$M$10:$N$16,2))*AP54)</f>
        <v>0</v>
      </c>
      <c r="AR54" s="207">
        <f>+IF($B54&gt;Coverage,0,ROUND((AS53+($F54+$G54-$H54-$Q54)*PML_LF)*(1+VLOOKUP(AR$3,Assumption!$H$35:$K$43,4,0))^0.5-($M54+$R54)*PML_LF-($S54*PML_LF*AS53),0))</f>
        <v>0</v>
      </c>
      <c r="AS54" s="207">
        <f>+IF($B54&gt;Coverage,0,ROUND(AR54*(1+VLOOKUP(AR$3,Assumption!$H$35:$K$43,4,0))^0.5,0))</f>
        <v>0</v>
      </c>
      <c r="AT54" s="207">
        <f>+IF($B54="",0,(1-VLOOKUP(MIN($B54,6),Assumption!$M$10:$N$16,2))*AS54)</f>
        <v>0</v>
      </c>
      <c r="AU54" s="207">
        <f>+IF($B54&gt;Coverage,0,ROUND((AV53+($F54+$G54-$H54-$Q54)*PML_BF)*(1+VLOOKUP(AU$3,Assumption!$H$35:$K$43,4,0))^0.5-($M54+$R54)*PML_BF-($S54*PML_BF*AV53),0))</f>
        <v>0</v>
      </c>
      <c r="AV54" s="207">
        <f>+IF($B54&gt;Coverage,0,ROUND(AU54*(1+VLOOKUP(AU$3,Assumption!$H$35:$K$43,4,0))^0.5,0))</f>
        <v>0</v>
      </c>
      <c r="AW54" s="207">
        <f>+IF($B54="",0,(1-VLOOKUP(MIN($B54,6),Assumption!$M$10:$N$16,2))*AV54)</f>
        <v>0</v>
      </c>
      <c r="AX54" s="207">
        <f>+IF($B54&gt;Coverage,0,ROUND((AY53+($F54+$G54-$H54-$Q54)*PML_EF)*(1+VLOOKUP(AX$3,Assumption!$H$35:$K$43,4,0))^0.5-($M54+$R54)*PML_EF-($S54*PML_EF*AY53),0))</f>
        <v>0</v>
      </c>
      <c r="AY54" s="207">
        <f>+IF($B54&gt;Coverage,0,ROUND(AX54*(1+VLOOKUP(AX$3,Assumption!$H$35:$K$43,4,0))^0.5,0))</f>
        <v>0</v>
      </c>
      <c r="AZ54" s="207">
        <f>+IF($B54="",0,(1-VLOOKUP(MIN($B54,6),Assumption!$M$10:$N$16,2))*AY54)</f>
        <v>0</v>
      </c>
      <c r="BA54" s="207">
        <f>+IF($B54&gt;Coverage,0,ROUND((BB53+($F54+$G54-$H54-$Q54)*PML_FI)*(1+VLOOKUP(BA$3,Assumption!$H$35:$K$43,4,0))^0.5-($M54+$R54)*PML_FI-($S54*PML_FI*BB53),0))</f>
        <v>0</v>
      </c>
      <c r="BB54" s="207">
        <f>+IF($B54&gt;Coverage,0,ROUND(BA54*(1+VLOOKUP(BA$3,Assumption!$H$35:$K$43,4,0))^0.5,0))</f>
        <v>0</v>
      </c>
      <c r="BC54" s="207">
        <f>+IF($B54="",0,(1-VLOOKUP(MIN($B54,6),Assumption!$M$10:$N$16,2))*BB54)</f>
        <v>0</v>
      </c>
    </row>
    <row r="55" ht="14.25" customHeight="1">
      <c r="A55" s="126">
        <v>48.0</v>
      </c>
      <c r="B55" s="129" t="str">
        <f>+IF(A55&gt;Coverage,"",A55)</f>
        <v/>
      </c>
      <c r="C55" s="134" t="str">
        <f>+IF(B55=1,Insured_Age,IF(B55="","",C54+1))</f>
        <v/>
      </c>
      <c r="D55" s="134" t="str">
        <f>+IF(B55&gt;Coverage,"",IF(B55=1,input!$H$11,D54+1))</f>
        <v/>
      </c>
      <c r="E55" s="134" t="str">
        <f>IF(B55=1,premi_dasar,IF(B55&gt;Coverage,"",0))</f>
        <v/>
      </c>
      <c r="F55" s="134" t="str">
        <f>IF(B55&gt;Coverage,"",SUM(E55))</f>
        <v/>
      </c>
      <c r="G55" s="134" t="str">
        <f>IF(B55&gt;Coverage,"",SUMIFS(input!$E$38:$E$50,input!$C$38:$C$50,$C55))</f>
        <v/>
      </c>
      <c r="H55" s="134" t="str">
        <f>IF(B55&gt;Coverage,"",SUMIFS(input!$E$53:$E$87,input!$C$53:$C$87,$C55))</f>
        <v/>
      </c>
      <c r="I55" s="66" t="str">
        <f>+IF(B55="","",Sum_Assured*VLOOKUP(MIN(C55,10),Assumption!$M$19:$N$28,2,0))</f>
        <v/>
      </c>
      <c r="J55" s="66" t="str">
        <f>IF(B55="","",input!$D$33)</f>
        <v/>
      </c>
      <c r="K55" s="66" t="str">
        <f>IF(B55&gt;Coverage,"",VLOOKUP($C55,COI_Tab[],IF(sex="Male",2,3),0)*I55*(1+EM_Basic)/1000)</f>
        <v/>
      </c>
      <c r="L55" s="66" t="str">
        <f>IF(B55&gt;Coverage,"",VLOOKUP($C55,COI_Tab[],4,0)*J55*(1+EM_Basic)/1000)</f>
        <v/>
      </c>
      <c r="M55" s="207" t="str">
        <f>IF(B55&gt;Coverage,"",ROUND(K55+L55,0))</f>
        <v/>
      </c>
      <c r="N55" s="134" t="str">
        <f>IF(B55&gt;Coverage,"",VLOOKUP($B55,Assumption!$H$11:$I$15,2)*E55)</f>
        <v/>
      </c>
      <c r="O55" s="134" t="str">
        <f>IF(B55&gt;Coverage,"",Assumption!$J$11*$G55)</f>
        <v/>
      </c>
      <c r="P55" s="134" t="str">
        <f>IF(B55&gt;Coverage,"",H55*VLOOKUP(MIN(B55,6),Assumption!$M$11:$N$16,2,0))</f>
        <v/>
      </c>
      <c r="Q55" s="134" t="str">
        <f>IF(B55&gt;Coverage,"",SUM(N55:P55))</f>
        <v/>
      </c>
      <c r="R55" s="207" t="str">
        <f>+IF($B55&gt;Coverage,"",Assumption!$I$18*12)</f>
        <v/>
      </c>
      <c r="S55" s="208" t="str">
        <f>+IF($B55&gt;Coverage,"",Assumption!$I$20)</f>
        <v/>
      </c>
      <c r="T55" s="207">
        <f>+IF($B55&gt;Coverage,0,ROUND((U54+($F55+$G55-$H55-$Q55)*PML_LF)*(1+VLOOKUP(T$3,Assumption!$H$35:$K$43,2,0))^0.5-($M55+$R55)*PML_LF-($S55*PML_LF*U54),0))</f>
        <v>0</v>
      </c>
      <c r="U55" s="207">
        <f>+IF($B55&gt;Coverage,0,ROUND(T55*(1+VLOOKUP(T$3,Assumption!$H$35:$K$43,2,0))^0.5,0))</f>
        <v>0</v>
      </c>
      <c r="V55" s="207">
        <f>+IF($B55="",0,(1-VLOOKUP(MIN($B55,6),Assumption!$M$10:$N$16,2))*U55)</f>
        <v>0</v>
      </c>
      <c r="W55" s="207">
        <f>+IF($B55&gt;Coverage,0,ROUND((X54+($F55+$G55-$H55-$Q55)*PML_BF)*(1+VLOOKUP(W$3,Assumption!$H$35:$K$43,2,0))^0.5-($M55+$R55)*PML_BF-($S55*PML_BF*X54),0))</f>
        <v>0</v>
      </c>
      <c r="X55" s="207">
        <f>+IF($B55&gt;Coverage,0,ROUND(W55*(1+VLOOKUP(W$3,Assumption!$H$35:$K$43,2,0))^0.5,0))</f>
        <v>0</v>
      </c>
      <c r="Y55" s="207">
        <f>+IF($B55="",0,(1-VLOOKUP(MIN($B55,6),Assumption!$M$10:$N$16,2))*X55)</f>
        <v>0</v>
      </c>
      <c r="Z55" s="207">
        <f>+IF($B55&gt;Coverage,0,ROUND((AA54+($F55+$G55-$H55-$Q55)*PML_EF)*(1+VLOOKUP(Z$3,Assumption!$H$35:$K$43,2,0))^0.5-($M55+$R55)*PML_EF-($S55*PML_EF*AA54),0))</f>
        <v>0</v>
      </c>
      <c r="AA55" s="207">
        <f>+IF($B55&gt;Coverage,0,ROUND(Z55*(1+VLOOKUP(Z$3,Assumption!$H$35:$K$43,2,0))^0.5,0))</f>
        <v>0</v>
      </c>
      <c r="AB55" s="207">
        <f>+IF($B55="",0,(1-VLOOKUP(MIN($B55,6),Assumption!$M$10:$N$16,2))*AA55)</f>
        <v>0</v>
      </c>
      <c r="AC55" s="207">
        <f>+IF($B55&gt;Coverage,0,ROUND((AD54+($F55+$G55-$H55-$Q55)*PML_FI)*(1+VLOOKUP(AC$3,Assumption!$H$35:$K$43,2,0))^0.5-($M55+$R55)*PML_FI-($S55*PML_FI*AD54),0))</f>
        <v>0</v>
      </c>
      <c r="AD55" s="207">
        <f>+IF($B55&gt;Coverage,0,ROUND(AC55*(1+VLOOKUP(AC$3,Assumption!$H$35:$K$43,2,0))^0.5,0))</f>
        <v>0</v>
      </c>
      <c r="AE55" s="207">
        <f>+IF($B55="",0,(1-VLOOKUP(MIN($B55,6),Assumption!$M$10:$N$16,2))*AD55)</f>
        <v>0</v>
      </c>
      <c r="AF55" s="207">
        <f>+IF($B55&gt;Coverage,0,ROUND((AG54+($F55+$G55-$H55-$Q55)*PML_LF)*(1+VLOOKUP(AF$3,Assumption!$H$35:$K$43,3,0))^0.5-($M55+$R55)*PML_LF-($S55*PML_LF*AG54),0))</f>
        <v>0</v>
      </c>
      <c r="AG55" s="207">
        <f>+IF($B55&gt;Coverage,0,ROUND(AF55*(1+VLOOKUP(AF$3,Assumption!$H$35:$K$43,3,0))^0.5,0))</f>
        <v>0</v>
      </c>
      <c r="AH55" s="207">
        <f>+IF($B55="",0,(1-VLOOKUP(MIN($B55,6),Assumption!$M$10:$N$16,2))*AG55)</f>
        <v>0</v>
      </c>
      <c r="AI55" s="207">
        <f>+IF($B55&gt;Coverage,0,ROUND((AJ54+($F55+$G55-$H55-$Q55)*PML_BF)*(1+VLOOKUP(AI$3,Assumption!$H$35:$K$43,3,0))^0.5-($M55+$R55)*PML_BF-($S55*PML_BF*AJ54),0))</f>
        <v>0</v>
      </c>
      <c r="AJ55" s="207">
        <f>+IF($B55&gt;Coverage,0,ROUND(AI55*(1+VLOOKUP(AI$3,Assumption!$H$35:$K$43,3,0))^0.5,0))</f>
        <v>0</v>
      </c>
      <c r="AK55" s="207">
        <f>+IF($B55="",0,(1-VLOOKUP(MIN($B55,6),Assumption!$M$10:$N$16,2))*AJ55)</f>
        <v>0</v>
      </c>
      <c r="AL55" s="207">
        <f>+IF($B55&gt;Coverage,0,ROUND((AM54+($F55+$G55-$H55-$Q55)*PML_EF)*(1+VLOOKUP(AL$3,Assumption!$H$35:$K$43,3,0))^0.5-($M55+$R55)*PML_EF-($S55*PML_EF*AM54),0))</f>
        <v>0</v>
      </c>
      <c r="AM55" s="207">
        <f>+IF($B55&gt;Coverage,0,ROUND(AL55*(1+VLOOKUP(AL$3,Assumption!$H$35:$K$43,3,0))^0.5,0))</f>
        <v>0</v>
      </c>
      <c r="AN55" s="207">
        <f>+IF($B55="",0,(1-VLOOKUP(MIN($B55,6),Assumption!$M$10:$N$16,2))*AM55)</f>
        <v>0</v>
      </c>
      <c r="AO55" s="207">
        <f>+IF($B55&gt;Coverage,0,ROUND((AP54+($F55+$G55-$H55-$Q55)*PML_FI)*(1+VLOOKUP(AO$3,Assumption!$H$35:$K$43,3,0))^0.5-($M55+$R55)*PML_FI-($S55*PML_FI*AP54),0))</f>
        <v>0</v>
      </c>
      <c r="AP55" s="207">
        <f>+IF($B55&gt;Coverage,0,ROUND(AO55*(1+VLOOKUP(AO$3,Assumption!$H$35:$K$43,3,0))^0.5,0))</f>
        <v>0</v>
      </c>
      <c r="AQ55" s="207">
        <f>+IF($B55="",0,(1-VLOOKUP(MIN($B55,6),Assumption!$M$10:$N$16,2))*AP55)</f>
        <v>0</v>
      </c>
      <c r="AR55" s="207">
        <f>+IF($B55&gt;Coverage,0,ROUND((AS54+($F55+$G55-$H55-$Q55)*PML_LF)*(1+VLOOKUP(AR$3,Assumption!$H$35:$K$43,4,0))^0.5-($M55+$R55)*PML_LF-($S55*PML_LF*AS54),0))</f>
        <v>0</v>
      </c>
      <c r="AS55" s="207">
        <f>+IF($B55&gt;Coverage,0,ROUND(AR55*(1+VLOOKUP(AR$3,Assumption!$H$35:$K$43,4,0))^0.5,0))</f>
        <v>0</v>
      </c>
      <c r="AT55" s="207">
        <f>+IF($B55="",0,(1-VLOOKUP(MIN($B55,6),Assumption!$M$10:$N$16,2))*AS55)</f>
        <v>0</v>
      </c>
      <c r="AU55" s="207">
        <f>+IF($B55&gt;Coverage,0,ROUND((AV54+($F55+$G55-$H55-$Q55)*PML_BF)*(1+VLOOKUP(AU$3,Assumption!$H$35:$K$43,4,0))^0.5-($M55+$R55)*PML_BF-($S55*PML_BF*AV54),0))</f>
        <v>0</v>
      </c>
      <c r="AV55" s="207">
        <f>+IF($B55&gt;Coverage,0,ROUND(AU55*(1+VLOOKUP(AU$3,Assumption!$H$35:$K$43,4,0))^0.5,0))</f>
        <v>0</v>
      </c>
      <c r="AW55" s="207">
        <f>+IF($B55="",0,(1-VLOOKUP(MIN($B55,6),Assumption!$M$10:$N$16,2))*AV55)</f>
        <v>0</v>
      </c>
      <c r="AX55" s="207">
        <f>+IF($B55&gt;Coverage,0,ROUND((AY54+($F55+$G55-$H55-$Q55)*PML_EF)*(1+VLOOKUP(AX$3,Assumption!$H$35:$K$43,4,0))^0.5-($M55+$R55)*PML_EF-($S55*PML_EF*AY54),0))</f>
        <v>0</v>
      </c>
      <c r="AY55" s="207">
        <f>+IF($B55&gt;Coverage,0,ROUND(AX55*(1+VLOOKUP(AX$3,Assumption!$H$35:$K$43,4,0))^0.5,0))</f>
        <v>0</v>
      </c>
      <c r="AZ55" s="207">
        <f>+IF($B55="",0,(1-VLOOKUP(MIN($B55,6),Assumption!$M$10:$N$16,2))*AY55)</f>
        <v>0</v>
      </c>
      <c r="BA55" s="207">
        <f>+IF($B55&gt;Coverage,0,ROUND((BB54+($F55+$G55-$H55-$Q55)*PML_FI)*(1+VLOOKUP(BA$3,Assumption!$H$35:$K$43,4,0))^0.5-($M55+$R55)*PML_FI-($S55*PML_FI*BB54),0))</f>
        <v>0</v>
      </c>
      <c r="BB55" s="207">
        <f>+IF($B55&gt;Coverage,0,ROUND(BA55*(1+VLOOKUP(BA$3,Assumption!$H$35:$K$43,4,0))^0.5,0))</f>
        <v>0</v>
      </c>
      <c r="BC55" s="207">
        <f>+IF($B55="",0,(1-VLOOKUP(MIN($B55,6),Assumption!$M$10:$N$16,2))*BB55)</f>
        <v>0</v>
      </c>
    </row>
    <row r="56" ht="14.25" customHeight="1">
      <c r="A56" s="126">
        <v>49.0</v>
      </c>
      <c r="B56" s="129" t="str">
        <f>+IF(A56&gt;Coverage,"",A56)</f>
        <v/>
      </c>
      <c r="C56" s="134" t="str">
        <f>+IF(B56=1,Insured_Age,IF(B56="","",C55+1))</f>
        <v/>
      </c>
      <c r="D56" s="134" t="str">
        <f>+IF(B56&gt;Coverage,"",IF(B56=1,input!$H$11,D55+1))</f>
        <v/>
      </c>
      <c r="E56" s="134" t="str">
        <f>IF(B56=1,premi_dasar,IF(B56&gt;Coverage,"",0))</f>
        <v/>
      </c>
      <c r="F56" s="134" t="str">
        <f>IF(B56&gt;Coverage,"",SUM(E56))</f>
        <v/>
      </c>
      <c r="G56" s="134" t="str">
        <f>IF(B56&gt;Coverage,"",SUMIFS(input!$E$38:$E$50,input!$C$38:$C$50,$C56))</f>
        <v/>
      </c>
      <c r="H56" s="134" t="str">
        <f>IF(B56&gt;Coverage,"",SUMIFS(input!$E$53:$E$87,input!$C$53:$C$87,$C56))</f>
        <v/>
      </c>
      <c r="I56" s="66" t="str">
        <f>+IF(B56="","",Sum_Assured*VLOOKUP(MIN(C56,10),Assumption!$M$19:$N$28,2,0))</f>
        <v/>
      </c>
      <c r="J56" s="66" t="str">
        <f>IF(B56="","",input!$D$33)</f>
        <v/>
      </c>
      <c r="K56" s="66" t="str">
        <f>IF(B56&gt;Coverage,"",VLOOKUP($C56,COI_Tab[],IF(sex="Male",2,3),0)*I56*(1+EM_Basic)/1000)</f>
        <v/>
      </c>
      <c r="L56" s="66" t="str">
        <f>IF(B56&gt;Coverage,"",VLOOKUP($C56,COI_Tab[],4,0)*J56*(1+EM_Basic)/1000)</f>
        <v/>
      </c>
      <c r="M56" s="207" t="str">
        <f>IF(B56&gt;Coverage,"",ROUND(K56+L56,0))</f>
        <v/>
      </c>
      <c r="N56" s="134" t="str">
        <f>IF(B56&gt;Coverage,"",VLOOKUP($B56,Assumption!$H$11:$I$15,2)*E56)</f>
        <v/>
      </c>
      <c r="O56" s="134" t="str">
        <f>IF(B56&gt;Coverage,"",Assumption!$J$11*$G56)</f>
        <v/>
      </c>
      <c r="P56" s="134" t="str">
        <f>IF(B56&gt;Coverage,"",H56*VLOOKUP(MIN(B56,6),Assumption!$M$11:$N$16,2,0))</f>
        <v/>
      </c>
      <c r="Q56" s="134" t="str">
        <f>IF(B56&gt;Coverage,"",SUM(N56:P56))</f>
        <v/>
      </c>
      <c r="R56" s="207" t="str">
        <f>+IF($B56&gt;Coverage,"",Assumption!$I$18*12)</f>
        <v/>
      </c>
      <c r="S56" s="208" t="str">
        <f>+IF($B56&gt;Coverage,"",Assumption!$I$20)</f>
        <v/>
      </c>
      <c r="T56" s="207">
        <f>+IF($B56&gt;Coverage,0,ROUND((U55+($F56+$G56-$H56-$Q56)*PML_LF)*(1+VLOOKUP(T$3,Assumption!$H$35:$K$43,2,0))^0.5-($M56+$R56)*PML_LF-($S56*PML_LF*U55),0))</f>
        <v>0</v>
      </c>
      <c r="U56" s="207">
        <f>+IF($B56&gt;Coverage,0,ROUND(T56*(1+VLOOKUP(T$3,Assumption!$H$35:$K$43,2,0))^0.5,0))</f>
        <v>0</v>
      </c>
      <c r="V56" s="207">
        <f>+IF($B56="",0,(1-VLOOKUP(MIN($B56,6),Assumption!$M$10:$N$16,2))*U56)</f>
        <v>0</v>
      </c>
      <c r="W56" s="207">
        <f>+IF($B56&gt;Coverage,0,ROUND((X55+($F56+$G56-$H56-$Q56)*PML_BF)*(1+VLOOKUP(W$3,Assumption!$H$35:$K$43,2,0))^0.5-($M56+$R56)*PML_BF-($S56*PML_BF*X55),0))</f>
        <v>0</v>
      </c>
      <c r="X56" s="207">
        <f>+IF($B56&gt;Coverage,0,ROUND(W56*(1+VLOOKUP(W$3,Assumption!$H$35:$K$43,2,0))^0.5,0))</f>
        <v>0</v>
      </c>
      <c r="Y56" s="207">
        <f>+IF($B56="",0,(1-VLOOKUP(MIN($B56,6),Assumption!$M$10:$N$16,2))*X56)</f>
        <v>0</v>
      </c>
      <c r="Z56" s="207">
        <f>+IF($B56&gt;Coverage,0,ROUND((AA55+($F56+$G56-$H56-$Q56)*PML_EF)*(1+VLOOKUP(Z$3,Assumption!$H$35:$K$43,2,0))^0.5-($M56+$R56)*PML_EF-($S56*PML_EF*AA55),0))</f>
        <v>0</v>
      </c>
      <c r="AA56" s="207">
        <f>+IF($B56&gt;Coverage,0,ROUND(Z56*(1+VLOOKUP(Z$3,Assumption!$H$35:$K$43,2,0))^0.5,0))</f>
        <v>0</v>
      </c>
      <c r="AB56" s="207">
        <f>+IF($B56="",0,(1-VLOOKUP(MIN($B56,6),Assumption!$M$10:$N$16,2))*AA56)</f>
        <v>0</v>
      </c>
      <c r="AC56" s="207">
        <f>+IF($B56&gt;Coverage,0,ROUND((AD55+($F56+$G56-$H56-$Q56)*PML_FI)*(1+VLOOKUP(AC$3,Assumption!$H$35:$K$43,2,0))^0.5-($M56+$R56)*PML_FI-($S56*PML_FI*AD55),0))</f>
        <v>0</v>
      </c>
      <c r="AD56" s="207">
        <f>+IF($B56&gt;Coverage,0,ROUND(AC56*(1+VLOOKUP(AC$3,Assumption!$H$35:$K$43,2,0))^0.5,0))</f>
        <v>0</v>
      </c>
      <c r="AE56" s="207">
        <f>+IF($B56="",0,(1-VLOOKUP(MIN($B56,6),Assumption!$M$10:$N$16,2))*AD56)</f>
        <v>0</v>
      </c>
      <c r="AF56" s="207">
        <f>+IF($B56&gt;Coverage,0,ROUND((AG55+($F56+$G56-$H56-$Q56)*PML_LF)*(1+VLOOKUP(AF$3,Assumption!$H$35:$K$43,3,0))^0.5-($M56+$R56)*PML_LF-($S56*PML_LF*AG55),0))</f>
        <v>0</v>
      </c>
      <c r="AG56" s="207">
        <f>+IF($B56&gt;Coverage,0,ROUND(AF56*(1+VLOOKUP(AF$3,Assumption!$H$35:$K$43,3,0))^0.5,0))</f>
        <v>0</v>
      </c>
      <c r="AH56" s="207">
        <f>+IF($B56="",0,(1-VLOOKUP(MIN($B56,6),Assumption!$M$10:$N$16,2))*AG56)</f>
        <v>0</v>
      </c>
      <c r="AI56" s="207">
        <f>+IF($B56&gt;Coverage,0,ROUND((AJ55+($F56+$G56-$H56-$Q56)*PML_BF)*(1+VLOOKUP(AI$3,Assumption!$H$35:$K$43,3,0))^0.5-($M56+$R56)*PML_BF-($S56*PML_BF*AJ55),0))</f>
        <v>0</v>
      </c>
      <c r="AJ56" s="207">
        <f>+IF($B56&gt;Coverage,0,ROUND(AI56*(1+VLOOKUP(AI$3,Assumption!$H$35:$K$43,3,0))^0.5,0))</f>
        <v>0</v>
      </c>
      <c r="AK56" s="207">
        <f>+IF($B56="",0,(1-VLOOKUP(MIN($B56,6),Assumption!$M$10:$N$16,2))*AJ56)</f>
        <v>0</v>
      </c>
      <c r="AL56" s="207">
        <f>+IF($B56&gt;Coverage,0,ROUND((AM55+($F56+$G56-$H56-$Q56)*PML_EF)*(1+VLOOKUP(AL$3,Assumption!$H$35:$K$43,3,0))^0.5-($M56+$R56)*PML_EF-($S56*PML_EF*AM55),0))</f>
        <v>0</v>
      </c>
      <c r="AM56" s="207">
        <f>+IF($B56&gt;Coverage,0,ROUND(AL56*(1+VLOOKUP(AL$3,Assumption!$H$35:$K$43,3,0))^0.5,0))</f>
        <v>0</v>
      </c>
      <c r="AN56" s="207">
        <f>+IF($B56="",0,(1-VLOOKUP(MIN($B56,6),Assumption!$M$10:$N$16,2))*AM56)</f>
        <v>0</v>
      </c>
      <c r="AO56" s="207">
        <f>+IF($B56&gt;Coverage,0,ROUND((AP55+($F56+$G56-$H56-$Q56)*PML_FI)*(1+VLOOKUP(AO$3,Assumption!$H$35:$K$43,3,0))^0.5-($M56+$R56)*PML_FI-($S56*PML_FI*AP55),0))</f>
        <v>0</v>
      </c>
      <c r="AP56" s="207">
        <f>+IF($B56&gt;Coverage,0,ROUND(AO56*(1+VLOOKUP(AO$3,Assumption!$H$35:$K$43,3,0))^0.5,0))</f>
        <v>0</v>
      </c>
      <c r="AQ56" s="207">
        <f>+IF($B56="",0,(1-VLOOKUP(MIN($B56,6),Assumption!$M$10:$N$16,2))*AP56)</f>
        <v>0</v>
      </c>
      <c r="AR56" s="207">
        <f>+IF($B56&gt;Coverage,0,ROUND((AS55+($F56+$G56-$H56-$Q56)*PML_LF)*(1+VLOOKUP(AR$3,Assumption!$H$35:$K$43,4,0))^0.5-($M56+$R56)*PML_LF-($S56*PML_LF*AS55),0))</f>
        <v>0</v>
      </c>
      <c r="AS56" s="207">
        <f>+IF($B56&gt;Coverage,0,ROUND(AR56*(1+VLOOKUP(AR$3,Assumption!$H$35:$K$43,4,0))^0.5,0))</f>
        <v>0</v>
      </c>
      <c r="AT56" s="207">
        <f>+IF($B56="",0,(1-VLOOKUP(MIN($B56,6),Assumption!$M$10:$N$16,2))*AS56)</f>
        <v>0</v>
      </c>
      <c r="AU56" s="207">
        <f>+IF($B56&gt;Coverage,0,ROUND((AV55+($F56+$G56-$H56-$Q56)*PML_BF)*(1+VLOOKUP(AU$3,Assumption!$H$35:$K$43,4,0))^0.5-($M56+$R56)*PML_BF-($S56*PML_BF*AV55),0))</f>
        <v>0</v>
      </c>
      <c r="AV56" s="207">
        <f>+IF($B56&gt;Coverage,0,ROUND(AU56*(1+VLOOKUP(AU$3,Assumption!$H$35:$K$43,4,0))^0.5,0))</f>
        <v>0</v>
      </c>
      <c r="AW56" s="207">
        <f>+IF($B56="",0,(1-VLOOKUP(MIN($B56,6),Assumption!$M$10:$N$16,2))*AV56)</f>
        <v>0</v>
      </c>
      <c r="AX56" s="207">
        <f>+IF($B56&gt;Coverage,0,ROUND((AY55+($F56+$G56-$H56-$Q56)*PML_EF)*(1+VLOOKUP(AX$3,Assumption!$H$35:$K$43,4,0))^0.5-($M56+$R56)*PML_EF-($S56*PML_EF*AY55),0))</f>
        <v>0</v>
      </c>
      <c r="AY56" s="207">
        <f>+IF($B56&gt;Coverage,0,ROUND(AX56*(1+VLOOKUP(AX$3,Assumption!$H$35:$K$43,4,0))^0.5,0))</f>
        <v>0</v>
      </c>
      <c r="AZ56" s="207">
        <f>+IF($B56="",0,(1-VLOOKUP(MIN($B56,6),Assumption!$M$10:$N$16,2))*AY56)</f>
        <v>0</v>
      </c>
      <c r="BA56" s="207">
        <f>+IF($B56&gt;Coverage,0,ROUND((BB55+($F56+$G56-$H56-$Q56)*PML_FI)*(1+VLOOKUP(BA$3,Assumption!$H$35:$K$43,4,0))^0.5-($M56+$R56)*PML_FI-($S56*PML_FI*BB55),0))</f>
        <v>0</v>
      </c>
      <c r="BB56" s="207">
        <f>+IF($B56&gt;Coverage,0,ROUND(BA56*(1+VLOOKUP(BA$3,Assumption!$H$35:$K$43,4,0))^0.5,0))</f>
        <v>0</v>
      </c>
      <c r="BC56" s="207">
        <f>+IF($B56="",0,(1-VLOOKUP(MIN($B56,6),Assumption!$M$10:$N$16,2))*BB56)</f>
        <v>0</v>
      </c>
    </row>
    <row r="57" ht="14.25" customHeight="1">
      <c r="A57" s="126">
        <v>50.0</v>
      </c>
      <c r="B57" s="129" t="str">
        <f>+IF(A57&gt;Coverage,"",A57)</f>
        <v/>
      </c>
      <c r="C57" s="134" t="str">
        <f>+IF(B57=1,Insured_Age,IF(B57="","",C56+1))</f>
        <v/>
      </c>
      <c r="D57" s="134" t="str">
        <f>+IF(B57&gt;Coverage,"",IF(B57=1,input!$H$11,D56+1))</f>
        <v/>
      </c>
      <c r="E57" s="134" t="str">
        <f>IF(B57=1,premi_dasar,IF(B57&gt;Coverage,"",0))</f>
        <v/>
      </c>
      <c r="F57" s="134" t="str">
        <f>IF(B57&gt;Coverage,"",SUM(E57))</f>
        <v/>
      </c>
      <c r="G57" s="134" t="str">
        <f>IF(B57&gt;Coverage,"",SUMIFS(input!$E$38:$E$50,input!$C$38:$C$50,$C57))</f>
        <v/>
      </c>
      <c r="H57" s="134" t="str">
        <f>IF(B57&gt;Coverage,"",SUMIFS(input!$E$53:$E$87,input!$C$53:$C$87,$C57))</f>
        <v/>
      </c>
      <c r="I57" s="66" t="str">
        <f>+IF(B57="","",Sum_Assured*VLOOKUP(MIN(C57,10),Assumption!$M$19:$N$28,2,0))</f>
        <v/>
      </c>
      <c r="J57" s="66" t="str">
        <f>IF(B57="","",input!$D$33)</f>
        <v/>
      </c>
      <c r="K57" s="66" t="str">
        <f>IF(B57&gt;Coverage,"",VLOOKUP($C57,COI_Tab[],IF(sex="Male",2,3),0)*I57*(1+EM_Basic)/1000)</f>
        <v/>
      </c>
      <c r="L57" s="66" t="str">
        <f>IF(B57&gt;Coverage,"",VLOOKUP($C57,COI_Tab[],4,0)*J57*(1+EM_Basic)/1000)</f>
        <v/>
      </c>
      <c r="M57" s="207" t="str">
        <f>IF(B57&gt;Coverage,"",ROUND(K57+L57,0))</f>
        <v/>
      </c>
      <c r="N57" s="134" t="str">
        <f>IF(B57&gt;Coverage,"",VLOOKUP($B57,Assumption!$H$11:$I$15,2)*E57)</f>
        <v/>
      </c>
      <c r="O57" s="134" t="str">
        <f>IF(B57&gt;Coverage,"",Assumption!$J$11*$G57)</f>
        <v/>
      </c>
      <c r="P57" s="134" t="str">
        <f>IF(B57&gt;Coverage,"",H57*VLOOKUP(MIN(B57,6),Assumption!$M$11:$N$16,2,0))</f>
        <v/>
      </c>
      <c r="Q57" s="134" t="str">
        <f>IF(B57&gt;Coverage,"",SUM(N57:P57))</f>
        <v/>
      </c>
      <c r="R57" s="207" t="str">
        <f>+IF($B57&gt;Coverage,"",Assumption!$I$18*12)</f>
        <v/>
      </c>
      <c r="S57" s="208" t="str">
        <f>+IF($B57&gt;Coverage,"",Assumption!$I$20)</f>
        <v/>
      </c>
      <c r="T57" s="207">
        <f>+IF($B57&gt;Coverage,0,ROUND((U56+($F57+$G57-$H57-$Q57)*PML_LF)*(1+VLOOKUP(T$3,Assumption!$H$35:$K$43,2,0))^0.5-($M57+$R57)*PML_LF-($S57*PML_LF*U56),0))</f>
        <v>0</v>
      </c>
      <c r="U57" s="207">
        <f>+IF($B57&gt;Coverage,0,ROUND(T57*(1+VLOOKUP(T$3,Assumption!$H$35:$K$43,2,0))^0.5,0))</f>
        <v>0</v>
      </c>
      <c r="V57" s="207">
        <f>+IF($B57="",0,(1-VLOOKUP(MIN($B57,6),Assumption!$M$10:$N$16,2))*U57)</f>
        <v>0</v>
      </c>
      <c r="W57" s="207">
        <f>+IF($B57&gt;Coverage,0,ROUND((X56+($F57+$G57-$H57-$Q57)*PML_BF)*(1+VLOOKUP(W$3,Assumption!$H$35:$K$43,2,0))^0.5-($M57+$R57)*PML_BF-($S57*PML_BF*X56),0))</f>
        <v>0</v>
      </c>
      <c r="X57" s="207">
        <f>+IF($B57&gt;Coverage,0,ROUND(W57*(1+VLOOKUP(W$3,Assumption!$H$35:$K$43,2,0))^0.5,0))</f>
        <v>0</v>
      </c>
      <c r="Y57" s="207">
        <f>+IF($B57="",0,(1-VLOOKUP(MIN($B57,6),Assumption!$M$10:$N$16,2))*X57)</f>
        <v>0</v>
      </c>
      <c r="Z57" s="207">
        <f>+IF($B57&gt;Coverage,0,ROUND((AA56+($F57+$G57-$H57-$Q57)*PML_EF)*(1+VLOOKUP(Z$3,Assumption!$H$35:$K$43,2,0))^0.5-($M57+$R57)*PML_EF-($S57*PML_EF*AA56),0))</f>
        <v>0</v>
      </c>
      <c r="AA57" s="207">
        <f>+IF($B57&gt;Coverage,0,ROUND(Z57*(1+VLOOKUP(Z$3,Assumption!$H$35:$K$43,2,0))^0.5,0))</f>
        <v>0</v>
      </c>
      <c r="AB57" s="207">
        <f>+IF($B57="",0,(1-VLOOKUP(MIN($B57,6),Assumption!$M$10:$N$16,2))*AA57)</f>
        <v>0</v>
      </c>
      <c r="AC57" s="207">
        <f>+IF($B57&gt;Coverage,0,ROUND((AD56+($F57+$G57-$H57-$Q57)*PML_FI)*(1+VLOOKUP(AC$3,Assumption!$H$35:$K$43,2,0))^0.5-($M57+$R57)*PML_FI-($S57*PML_FI*AD56),0))</f>
        <v>0</v>
      </c>
      <c r="AD57" s="207">
        <f>+IF($B57&gt;Coverage,0,ROUND(AC57*(1+VLOOKUP(AC$3,Assumption!$H$35:$K$43,2,0))^0.5,0))</f>
        <v>0</v>
      </c>
      <c r="AE57" s="207">
        <f>+IF($B57="",0,(1-VLOOKUP(MIN($B57,6),Assumption!$M$10:$N$16,2))*AD57)</f>
        <v>0</v>
      </c>
      <c r="AF57" s="207">
        <f>+IF($B57&gt;Coverage,0,ROUND((AG56+($F57+$G57-$H57-$Q57)*PML_LF)*(1+VLOOKUP(AF$3,Assumption!$H$35:$K$43,3,0))^0.5-($M57+$R57)*PML_LF-($S57*PML_LF*AG56),0))</f>
        <v>0</v>
      </c>
      <c r="AG57" s="207">
        <f>+IF($B57&gt;Coverage,0,ROUND(AF57*(1+VLOOKUP(AF$3,Assumption!$H$35:$K$43,3,0))^0.5,0))</f>
        <v>0</v>
      </c>
      <c r="AH57" s="207">
        <f>+IF($B57="",0,(1-VLOOKUP(MIN($B57,6),Assumption!$M$10:$N$16,2))*AG57)</f>
        <v>0</v>
      </c>
      <c r="AI57" s="207">
        <f>+IF($B57&gt;Coverage,0,ROUND((AJ56+($F57+$G57-$H57-$Q57)*PML_BF)*(1+VLOOKUP(AI$3,Assumption!$H$35:$K$43,3,0))^0.5-($M57+$R57)*PML_BF-($S57*PML_BF*AJ56),0))</f>
        <v>0</v>
      </c>
      <c r="AJ57" s="207">
        <f>+IF($B57&gt;Coverage,0,ROUND(AI57*(1+VLOOKUP(AI$3,Assumption!$H$35:$K$43,3,0))^0.5,0))</f>
        <v>0</v>
      </c>
      <c r="AK57" s="207">
        <f>+IF($B57="",0,(1-VLOOKUP(MIN($B57,6),Assumption!$M$10:$N$16,2))*AJ57)</f>
        <v>0</v>
      </c>
      <c r="AL57" s="207">
        <f>+IF($B57&gt;Coverage,0,ROUND((AM56+($F57+$G57-$H57-$Q57)*PML_EF)*(1+VLOOKUP(AL$3,Assumption!$H$35:$K$43,3,0))^0.5-($M57+$R57)*PML_EF-($S57*PML_EF*AM56),0))</f>
        <v>0</v>
      </c>
      <c r="AM57" s="207">
        <f>+IF($B57&gt;Coverage,0,ROUND(AL57*(1+VLOOKUP(AL$3,Assumption!$H$35:$K$43,3,0))^0.5,0))</f>
        <v>0</v>
      </c>
      <c r="AN57" s="207">
        <f>+IF($B57="",0,(1-VLOOKUP(MIN($B57,6),Assumption!$M$10:$N$16,2))*AM57)</f>
        <v>0</v>
      </c>
      <c r="AO57" s="207">
        <f>+IF($B57&gt;Coverage,0,ROUND((AP56+($F57+$G57-$H57-$Q57)*PML_FI)*(1+VLOOKUP(AO$3,Assumption!$H$35:$K$43,3,0))^0.5-($M57+$R57)*PML_FI-($S57*PML_FI*AP56),0))</f>
        <v>0</v>
      </c>
      <c r="AP57" s="207">
        <f>+IF($B57&gt;Coverage,0,ROUND(AO57*(1+VLOOKUP(AO$3,Assumption!$H$35:$K$43,3,0))^0.5,0))</f>
        <v>0</v>
      </c>
      <c r="AQ57" s="207">
        <f>+IF($B57="",0,(1-VLOOKUP(MIN($B57,6),Assumption!$M$10:$N$16,2))*AP57)</f>
        <v>0</v>
      </c>
      <c r="AR57" s="207">
        <f>+IF($B57&gt;Coverage,0,ROUND((AS56+($F57+$G57-$H57-$Q57)*PML_LF)*(1+VLOOKUP(AR$3,Assumption!$H$35:$K$43,4,0))^0.5-($M57+$R57)*PML_LF-($S57*PML_LF*AS56),0))</f>
        <v>0</v>
      </c>
      <c r="AS57" s="207">
        <f>+IF($B57&gt;Coverage,0,ROUND(AR57*(1+VLOOKUP(AR$3,Assumption!$H$35:$K$43,4,0))^0.5,0))</f>
        <v>0</v>
      </c>
      <c r="AT57" s="207">
        <f>+IF($B57="",0,(1-VLOOKUP(MIN($B57,6),Assumption!$M$10:$N$16,2))*AS57)</f>
        <v>0</v>
      </c>
      <c r="AU57" s="207">
        <f>+IF($B57&gt;Coverage,0,ROUND((AV56+($F57+$G57-$H57-$Q57)*PML_BF)*(1+VLOOKUP(AU$3,Assumption!$H$35:$K$43,4,0))^0.5-($M57+$R57)*PML_BF-($S57*PML_BF*AV56),0))</f>
        <v>0</v>
      </c>
      <c r="AV57" s="207">
        <f>+IF($B57&gt;Coverage,0,ROUND(AU57*(1+VLOOKUP(AU$3,Assumption!$H$35:$K$43,4,0))^0.5,0))</f>
        <v>0</v>
      </c>
      <c r="AW57" s="207">
        <f>+IF($B57="",0,(1-VLOOKUP(MIN($B57,6),Assumption!$M$10:$N$16,2))*AV57)</f>
        <v>0</v>
      </c>
      <c r="AX57" s="207">
        <f>+IF($B57&gt;Coverage,0,ROUND((AY56+($F57+$G57-$H57-$Q57)*PML_EF)*(1+VLOOKUP(AX$3,Assumption!$H$35:$K$43,4,0))^0.5-($M57+$R57)*PML_EF-($S57*PML_EF*AY56),0))</f>
        <v>0</v>
      </c>
      <c r="AY57" s="207">
        <f>+IF($B57&gt;Coverage,0,ROUND(AX57*(1+VLOOKUP(AX$3,Assumption!$H$35:$K$43,4,0))^0.5,0))</f>
        <v>0</v>
      </c>
      <c r="AZ57" s="207">
        <f>+IF($B57="",0,(1-VLOOKUP(MIN($B57,6),Assumption!$M$10:$N$16,2))*AY57)</f>
        <v>0</v>
      </c>
      <c r="BA57" s="207">
        <f>+IF($B57&gt;Coverage,0,ROUND((BB56+($F57+$G57-$H57-$Q57)*PML_FI)*(1+VLOOKUP(BA$3,Assumption!$H$35:$K$43,4,0))^0.5-($M57+$R57)*PML_FI-($S57*PML_FI*BB56),0))</f>
        <v>0</v>
      </c>
      <c r="BB57" s="207">
        <f>+IF($B57&gt;Coverage,0,ROUND(BA57*(1+VLOOKUP(BA$3,Assumption!$H$35:$K$43,4,0))^0.5,0))</f>
        <v>0</v>
      </c>
      <c r="BC57" s="207">
        <f>+IF($B57="",0,(1-VLOOKUP(MIN($B57,6),Assumption!$M$10:$N$16,2))*BB57)</f>
        <v>0</v>
      </c>
    </row>
    <row r="58" ht="14.25" customHeight="1">
      <c r="A58" s="126">
        <v>51.0</v>
      </c>
      <c r="B58" s="129" t="str">
        <f>+IF(A58&gt;Coverage,"",A58)</f>
        <v/>
      </c>
      <c r="C58" s="134" t="str">
        <f>+IF(B58=1,Insured_Age,IF(B58="","",C57+1))</f>
        <v/>
      </c>
      <c r="D58" s="134" t="str">
        <f>+IF(B58&gt;Coverage,"",IF(B58=1,input!$H$11,D57+1))</f>
        <v/>
      </c>
      <c r="E58" s="134" t="str">
        <f>IF(B58=1,premi_dasar,IF(B58&gt;Coverage,"",0))</f>
        <v/>
      </c>
      <c r="F58" s="134" t="str">
        <f>IF(B58&gt;Coverage,"",SUM(E58))</f>
        <v/>
      </c>
      <c r="G58" s="134" t="str">
        <f>IF(B58&gt;Coverage,"",SUMIFS(input!$E$38:$E$50,input!$C$38:$C$50,$C58))</f>
        <v/>
      </c>
      <c r="H58" s="134" t="str">
        <f>IF(B58&gt;Coverage,"",SUMIFS(input!$E$53:$E$87,input!$C$53:$C$87,$C58))</f>
        <v/>
      </c>
      <c r="I58" s="66" t="str">
        <f>+IF(B58="","",Sum_Assured*VLOOKUP(MIN(C58,10),Assumption!$M$19:$N$28,2,0))</f>
        <v/>
      </c>
      <c r="J58" s="66" t="str">
        <f>IF(B58="","",input!$D$33)</f>
        <v/>
      </c>
      <c r="K58" s="66" t="str">
        <f>IF(B58&gt;Coverage,"",VLOOKUP($C58,COI_Tab[],IF(sex="Male",2,3),0)*I58*(1+EM_Basic)/1000)</f>
        <v/>
      </c>
      <c r="L58" s="66" t="str">
        <f>IF(B58&gt;Coverage,"",VLOOKUP($C58,COI_Tab[],4,0)*J58*(1+EM_Basic)/1000)</f>
        <v/>
      </c>
      <c r="M58" s="207" t="str">
        <f>IF(B58&gt;Coverage,"",ROUND(K58+L58,0))</f>
        <v/>
      </c>
      <c r="N58" s="134" t="str">
        <f>IF(B58&gt;Coverage,"",VLOOKUP($B58,Assumption!$H$11:$I$15,2)*E58)</f>
        <v/>
      </c>
      <c r="O58" s="134" t="str">
        <f>IF(B58&gt;Coverage,"",Assumption!$J$11*$G58)</f>
        <v/>
      </c>
      <c r="P58" s="134" t="str">
        <f>IF(B58&gt;Coverage,"",H58*VLOOKUP(MIN(B58,6),Assumption!$M$11:$N$16,2,0))</f>
        <v/>
      </c>
      <c r="Q58" s="134" t="str">
        <f>IF(B58&gt;Coverage,"",SUM(N58:P58))</f>
        <v/>
      </c>
      <c r="R58" s="207" t="str">
        <f>+IF($B58&gt;Coverage,"",Assumption!$I$18*12)</f>
        <v/>
      </c>
      <c r="S58" s="208" t="str">
        <f>+IF($B58&gt;Coverage,"",Assumption!$I$20)</f>
        <v/>
      </c>
      <c r="T58" s="207">
        <f>+IF($B58&gt;Coverage,0,ROUND((U57+($F58+$G58-$H58-$Q58)*PML_LF)*(1+VLOOKUP(T$3,Assumption!$H$35:$K$43,2,0))^0.5-($M58+$R58)*PML_LF-($S58*PML_LF*U57),0))</f>
        <v>0</v>
      </c>
      <c r="U58" s="207">
        <f>+IF($B58&gt;Coverage,0,ROUND(T58*(1+VLOOKUP(T$3,Assumption!$H$35:$K$43,2,0))^0.5,0))</f>
        <v>0</v>
      </c>
      <c r="V58" s="207">
        <f>+IF($B58="",0,(1-VLOOKUP(MIN($B58,6),Assumption!$M$10:$N$16,2))*U58)</f>
        <v>0</v>
      </c>
      <c r="W58" s="207">
        <f>+IF($B58&gt;Coverage,0,ROUND((X57+($F58+$G58-$H58-$Q58)*PML_BF)*(1+VLOOKUP(W$3,Assumption!$H$35:$K$43,2,0))^0.5-($M58+$R58)*PML_BF-($S58*PML_BF*X57),0))</f>
        <v>0</v>
      </c>
      <c r="X58" s="207">
        <f>+IF($B58&gt;Coverage,0,ROUND(W58*(1+VLOOKUP(W$3,Assumption!$H$35:$K$43,2,0))^0.5,0))</f>
        <v>0</v>
      </c>
      <c r="Y58" s="207">
        <f>+IF($B58="",0,(1-VLOOKUP(MIN($B58,6),Assumption!$M$10:$N$16,2))*X58)</f>
        <v>0</v>
      </c>
      <c r="Z58" s="207">
        <f>+IF($B58&gt;Coverage,0,ROUND((AA57+($F58+$G58-$H58-$Q58)*PML_EF)*(1+VLOOKUP(Z$3,Assumption!$H$35:$K$43,2,0))^0.5-($M58+$R58)*PML_EF-($S58*PML_EF*AA57),0))</f>
        <v>0</v>
      </c>
      <c r="AA58" s="207">
        <f>+IF($B58&gt;Coverage,0,ROUND(Z58*(1+VLOOKUP(Z$3,Assumption!$H$35:$K$43,2,0))^0.5,0))</f>
        <v>0</v>
      </c>
      <c r="AB58" s="207">
        <f>+IF($B58="",0,(1-VLOOKUP(MIN($B58,6),Assumption!$M$10:$N$16,2))*AA58)</f>
        <v>0</v>
      </c>
      <c r="AC58" s="207">
        <f>+IF($B58&gt;Coverage,0,ROUND((AD57+($F58+$G58-$H58-$Q58)*PML_FI)*(1+VLOOKUP(AC$3,Assumption!$H$35:$K$43,2,0))^0.5-($M58+$R58)*PML_FI-($S58*PML_FI*AD57),0))</f>
        <v>0</v>
      </c>
      <c r="AD58" s="207">
        <f>+IF($B58&gt;Coverage,0,ROUND(AC58*(1+VLOOKUP(AC$3,Assumption!$H$35:$K$43,2,0))^0.5,0))</f>
        <v>0</v>
      </c>
      <c r="AE58" s="207">
        <f>+IF($B58="",0,(1-VLOOKUP(MIN($B58,6),Assumption!$M$10:$N$16,2))*AD58)</f>
        <v>0</v>
      </c>
      <c r="AF58" s="207">
        <f>+IF($B58&gt;Coverage,0,ROUND((AG57+($F58+$G58-$H58-$Q58)*PML_LF)*(1+VLOOKUP(AF$3,Assumption!$H$35:$K$43,3,0))^0.5-($M58+$R58)*PML_LF-($S58*PML_LF*AG57),0))</f>
        <v>0</v>
      </c>
      <c r="AG58" s="207">
        <f>+IF($B58&gt;Coverage,0,ROUND(AF58*(1+VLOOKUP(AF$3,Assumption!$H$35:$K$43,3,0))^0.5,0))</f>
        <v>0</v>
      </c>
      <c r="AH58" s="207">
        <f>+IF($B58="",0,(1-VLOOKUP(MIN($B58,6),Assumption!$M$10:$N$16,2))*AG58)</f>
        <v>0</v>
      </c>
      <c r="AI58" s="207">
        <f>+IF($B58&gt;Coverage,0,ROUND((AJ57+($F58+$G58-$H58-$Q58)*PML_BF)*(1+VLOOKUP(AI$3,Assumption!$H$35:$K$43,3,0))^0.5-($M58+$R58)*PML_BF-($S58*PML_BF*AJ57),0))</f>
        <v>0</v>
      </c>
      <c r="AJ58" s="207">
        <f>+IF($B58&gt;Coverage,0,ROUND(AI58*(1+VLOOKUP(AI$3,Assumption!$H$35:$K$43,3,0))^0.5,0))</f>
        <v>0</v>
      </c>
      <c r="AK58" s="207">
        <f>+IF($B58="",0,(1-VLOOKUP(MIN($B58,6),Assumption!$M$10:$N$16,2))*AJ58)</f>
        <v>0</v>
      </c>
      <c r="AL58" s="207">
        <f>+IF($B58&gt;Coverage,0,ROUND((AM57+($F58+$G58-$H58-$Q58)*PML_EF)*(1+VLOOKUP(AL$3,Assumption!$H$35:$K$43,3,0))^0.5-($M58+$R58)*PML_EF-($S58*PML_EF*AM57),0))</f>
        <v>0</v>
      </c>
      <c r="AM58" s="207">
        <f>+IF($B58&gt;Coverage,0,ROUND(AL58*(1+VLOOKUP(AL$3,Assumption!$H$35:$K$43,3,0))^0.5,0))</f>
        <v>0</v>
      </c>
      <c r="AN58" s="207">
        <f>+IF($B58="",0,(1-VLOOKUP(MIN($B58,6),Assumption!$M$10:$N$16,2))*AM58)</f>
        <v>0</v>
      </c>
      <c r="AO58" s="207">
        <f>+IF($B58&gt;Coverage,0,ROUND((AP57+($F58+$G58-$H58-$Q58)*PML_FI)*(1+VLOOKUP(AO$3,Assumption!$H$35:$K$43,3,0))^0.5-($M58+$R58)*PML_FI-($S58*PML_FI*AP57),0))</f>
        <v>0</v>
      </c>
      <c r="AP58" s="207">
        <f>+IF($B58&gt;Coverage,0,ROUND(AO58*(1+VLOOKUP(AO$3,Assumption!$H$35:$K$43,3,0))^0.5,0))</f>
        <v>0</v>
      </c>
      <c r="AQ58" s="207">
        <f>+IF($B58="",0,(1-VLOOKUP(MIN($B58,6),Assumption!$M$10:$N$16,2))*AP58)</f>
        <v>0</v>
      </c>
      <c r="AR58" s="207">
        <f>+IF($B58&gt;Coverage,0,ROUND((AS57+($F58+$G58-$H58-$Q58)*PML_LF)*(1+VLOOKUP(AR$3,Assumption!$H$35:$K$43,4,0))^0.5-($M58+$R58)*PML_LF-($S58*PML_LF*AS57),0))</f>
        <v>0</v>
      </c>
      <c r="AS58" s="207">
        <f>+IF($B58&gt;Coverage,0,ROUND(AR58*(1+VLOOKUP(AR$3,Assumption!$H$35:$K$43,4,0))^0.5,0))</f>
        <v>0</v>
      </c>
      <c r="AT58" s="207">
        <f>+IF($B58="",0,(1-VLOOKUP(MIN($B58,6),Assumption!$M$10:$N$16,2))*AS58)</f>
        <v>0</v>
      </c>
      <c r="AU58" s="207">
        <f>+IF($B58&gt;Coverage,0,ROUND((AV57+($F58+$G58-$H58-$Q58)*PML_BF)*(1+VLOOKUP(AU$3,Assumption!$H$35:$K$43,4,0))^0.5-($M58+$R58)*PML_BF-($S58*PML_BF*AV57),0))</f>
        <v>0</v>
      </c>
      <c r="AV58" s="207">
        <f>+IF($B58&gt;Coverage,0,ROUND(AU58*(1+VLOOKUP(AU$3,Assumption!$H$35:$K$43,4,0))^0.5,0))</f>
        <v>0</v>
      </c>
      <c r="AW58" s="207">
        <f>+IF($B58="",0,(1-VLOOKUP(MIN($B58,6),Assumption!$M$10:$N$16,2))*AV58)</f>
        <v>0</v>
      </c>
      <c r="AX58" s="207">
        <f>+IF($B58&gt;Coverage,0,ROUND((AY57+($F58+$G58-$H58-$Q58)*PML_EF)*(1+VLOOKUP(AX$3,Assumption!$H$35:$K$43,4,0))^0.5-($M58+$R58)*PML_EF-($S58*PML_EF*AY57),0))</f>
        <v>0</v>
      </c>
      <c r="AY58" s="207">
        <f>+IF($B58&gt;Coverage,0,ROUND(AX58*(1+VLOOKUP(AX$3,Assumption!$H$35:$K$43,4,0))^0.5,0))</f>
        <v>0</v>
      </c>
      <c r="AZ58" s="207">
        <f>+IF($B58="",0,(1-VLOOKUP(MIN($B58,6),Assumption!$M$10:$N$16,2))*AY58)</f>
        <v>0</v>
      </c>
      <c r="BA58" s="207">
        <f>+IF($B58&gt;Coverage,0,ROUND((BB57+($F58+$G58-$H58-$Q58)*PML_FI)*(1+VLOOKUP(BA$3,Assumption!$H$35:$K$43,4,0))^0.5-($M58+$R58)*PML_FI-($S58*PML_FI*BB57),0))</f>
        <v>0</v>
      </c>
      <c r="BB58" s="207">
        <f>+IF($B58&gt;Coverage,0,ROUND(BA58*(1+VLOOKUP(BA$3,Assumption!$H$35:$K$43,4,0))^0.5,0))</f>
        <v>0</v>
      </c>
      <c r="BC58" s="207">
        <f>+IF($B58="",0,(1-VLOOKUP(MIN($B58,6),Assumption!$M$10:$N$16,2))*BB58)</f>
        <v>0</v>
      </c>
    </row>
    <row r="59" ht="14.25" customHeight="1">
      <c r="A59" s="126">
        <v>52.0</v>
      </c>
      <c r="B59" s="129" t="str">
        <f>+IF(A59&gt;Coverage,"",A59)</f>
        <v/>
      </c>
      <c r="C59" s="134" t="str">
        <f>+IF(B59=1,Insured_Age,IF(B59="","",C58+1))</f>
        <v/>
      </c>
      <c r="D59" s="134" t="str">
        <f>+IF(B59&gt;Coverage,"",IF(B59=1,input!$H$11,D58+1))</f>
        <v/>
      </c>
      <c r="E59" s="134" t="str">
        <f>IF(B59=1,premi_dasar,IF(B59&gt;Coverage,"",0))</f>
        <v/>
      </c>
      <c r="F59" s="134" t="str">
        <f>IF(B59&gt;Coverage,"",SUM(E59))</f>
        <v/>
      </c>
      <c r="G59" s="134" t="str">
        <f>IF(B59&gt;Coverage,"",SUMIFS(input!$E$38:$E$50,input!$C$38:$C$50,$C59))</f>
        <v/>
      </c>
      <c r="H59" s="134" t="str">
        <f>IF(B59&gt;Coverage,"",SUMIFS(input!$E$53:$E$87,input!$C$53:$C$87,$C59))</f>
        <v/>
      </c>
      <c r="I59" s="66" t="str">
        <f>+IF(B59="","",Sum_Assured*VLOOKUP(MIN(C59,10),Assumption!$M$19:$N$28,2,0))</f>
        <v/>
      </c>
      <c r="J59" s="66" t="str">
        <f>IF(B59="","",input!$D$33)</f>
        <v/>
      </c>
      <c r="K59" s="66" t="str">
        <f>IF(B59&gt;Coverage,"",VLOOKUP($C59,COI_Tab[],IF(sex="Male",2,3),0)*I59*(1+EM_Basic)/1000)</f>
        <v/>
      </c>
      <c r="L59" s="66" t="str">
        <f>IF(B59&gt;Coverage,"",VLOOKUP($C59,COI_Tab[],4,0)*J59*(1+EM_Basic)/1000)</f>
        <v/>
      </c>
      <c r="M59" s="207" t="str">
        <f>IF(B59&gt;Coverage,"",ROUND(K59+L59,0))</f>
        <v/>
      </c>
      <c r="N59" s="134" t="str">
        <f>IF(B59&gt;Coverage,"",VLOOKUP($B59,Assumption!$H$11:$I$15,2)*E59)</f>
        <v/>
      </c>
      <c r="O59" s="134" t="str">
        <f>IF(B59&gt;Coverage,"",Assumption!$J$11*$G59)</f>
        <v/>
      </c>
      <c r="P59" s="134" t="str">
        <f>IF(B59&gt;Coverage,"",H59*VLOOKUP(MIN(B59,6),Assumption!$M$11:$N$16,2,0))</f>
        <v/>
      </c>
      <c r="Q59" s="134" t="str">
        <f>IF(B59&gt;Coverage,"",SUM(N59:P59))</f>
        <v/>
      </c>
      <c r="R59" s="207" t="str">
        <f>+IF($B59&gt;Coverage,"",Assumption!$I$18*12)</f>
        <v/>
      </c>
      <c r="S59" s="208" t="str">
        <f>+IF($B59&gt;Coverage,"",Assumption!$I$20)</f>
        <v/>
      </c>
      <c r="T59" s="207">
        <f>+IF($B59&gt;Coverage,0,ROUND((U58+($F59+$G59-$H59-$Q59)*PML_LF)*(1+VLOOKUP(T$3,Assumption!$H$35:$K$43,2,0))^0.5-($M59+$R59)*PML_LF-($S59*PML_LF*U58),0))</f>
        <v>0</v>
      </c>
      <c r="U59" s="207">
        <f>+IF($B59&gt;Coverage,0,ROUND(T59*(1+VLOOKUP(T$3,Assumption!$H$35:$K$43,2,0))^0.5,0))</f>
        <v>0</v>
      </c>
      <c r="V59" s="207">
        <f>+IF($B59="",0,(1-VLOOKUP(MIN($B59,6),Assumption!$M$10:$N$16,2))*U59)</f>
        <v>0</v>
      </c>
      <c r="W59" s="207">
        <f>+IF($B59&gt;Coverage,0,ROUND((X58+($F59+$G59-$H59-$Q59)*PML_BF)*(1+VLOOKUP(W$3,Assumption!$H$35:$K$43,2,0))^0.5-($M59+$R59)*PML_BF-($S59*PML_BF*X58),0))</f>
        <v>0</v>
      </c>
      <c r="X59" s="207">
        <f>+IF($B59&gt;Coverage,0,ROUND(W59*(1+VLOOKUP(W$3,Assumption!$H$35:$K$43,2,0))^0.5,0))</f>
        <v>0</v>
      </c>
      <c r="Y59" s="207">
        <f>+IF($B59="",0,(1-VLOOKUP(MIN($B59,6),Assumption!$M$10:$N$16,2))*X59)</f>
        <v>0</v>
      </c>
      <c r="Z59" s="207">
        <f>+IF($B59&gt;Coverage,0,ROUND((AA58+($F59+$G59-$H59-$Q59)*PML_EF)*(1+VLOOKUP(Z$3,Assumption!$H$35:$K$43,2,0))^0.5-($M59+$R59)*PML_EF-($S59*PML_EF*AA58),0))</f>
        <v>0</v>
      </c>
      <c r="AA59" s="207">
        <f>+IF($B59&gt;Coverage,0,ROUND(Z59*(1+VLOOKUP(Z$3,Assumption!$H$35:$K$43,2,0))^0.5,0))</f>
        <v>0</v>
      </c>
      <c r="AB59" s="207">
        <f>+IF($B59="",0,(1-VLOOKUP(MIN($B59,6),Assumption!$M$10:$N$16,2))*AA59)</f>
        <v>0</v>
      </c>
      <c r="AC59" s="207">
        <f>+IF($B59&gt;Coverage,0,ROUND((AD58+($F59+$G59-$H59-$Q59)*PML_FI)*(1+VLOOKUP(AC$3,Assumption!$H$35:$K$43,2,0))^0.5-($M59+$R59)*PML_FI-($S59*PML_FI*AD58),0))</f>
        <v>0</v>
      </c>
      <c r="AD59" s="207">
        <f>+IF($B59&gt;Coverage,0,ROUND(AC59*(1+VLOOKUP(AC$3,Assumption!$H$35:$K$43,2,0))^0.5,0))</f>
        <v>0</v>
      </c>
      <c r="AE59" s="207">
        <f>+IF($B59="",0,(1-VLOOKUP(MIN($B59,6),Assumption!$M$10:$N$16,2))*AD59)</f>
        <v>0</v>
      </c>
      <c r="AF59" s="207">
        <f>+IF($B59&gt;Coverage,0,ROUND((AG58+($F59+$G59-$H59-$Q59)*PML_LF)*(1+VLOOKUP(AF$3,Assumption!$H$35:$K$43,3,0))^0.5-($M59+$R59)*PML_LF-($S59*PML_LF*AG58),0))</f>
        <v>0</v>
      </c>
      <c r="AG59" s="207">
        <f>+IF($B59&gt;Coverage,0,ROUND(AF59*(1+VLOOKUP(AF$3,Assumption!$H$35:$K$43,3,0))^0.5,0))</f>
        <v>0</v>
      </c>
      <c r="AH59" s="207">
        <f>+IF($B59="",0,(1-VLOOKUP(MIN($B59,6),Assumption!$M$10:$N$16,2))*AG59)</f>
        <v>0</v>
      </c>
      <c r="AI59" s="207">
        <f>+IF($B59&gt;Coverage,0,ROUND((AJ58+($F59+$G59-$H59-$Q59)*PML_BF)*(1+VLOOKUP(AI$3,Assumption!$H$35:$K$43,3,0))^0.5-($M59+$R59)*PML_BF-($S59*PML_BF*AJ58),0))</f>
        <v>0</v>
      </c>
      <c r="AJ59" s="207">
        <f>+IF($B59&gt;Coverage,0,ROUND(AI59*(1+VLOOKUP(AI$3,Assumption!$H$35:$K$43,3,0))^0.5,0))</f>
        <v>0</v>
      </c>
      <c r="AK59" s="207">
        <f>+IF($B59="",0,(1-VLOOKUP(MIN($B59,6),Assumption!$M$10:$N$16,2))*AJ59)</f>
        <v>0</v>
      </c>
      <c r="AL59" s="207">
        <f>+IF($B59&gt;Coverage,0,ROUND((AM58+($F59+$G59-$H59-$Q59)*PML_EF)*(1+VLOOKUP(AL$3,Assumption!$H$35:$K$43,3,0))^0.5-($M59+$R59)*PML_EF-($S59*PML_EF*AM58),0))</f>
        <v>0</v>
      </c>
      <c r="AM59" s="207">
        <f>+IF($B59&gt;Coverage,0,ROUND(AL59*(1+VLOOKUP(AL$3,Assumption!$H$35:$K$43,3,0))^0.5,0))</f>
        <v>0</v>
      </c>
      <c r="AN59" s="207">
        <f>+IF($B59="",0,(1-VLOOKUP(MIN($B59,6),Assumption!$M$10:$N$16,2))*AM59)</f>
        <v>0</v>
      </c>
      <c r="AO59" s="207">
        <f>+IF($B59&gt;Coverage,0,ROUND((AP58+($F59+$G59-$H59-$Q59)*PML_FI)*(1+VLOOKUP(AO$3,Assumption!$H$35:$K$43,3,0))^0.5-($M59+$R59)*PML_FI-($S59*PML_FI*AP58),0))</f>
        <v>0</v>
      </c>
      <c r="AP59" s="207">
        <f>+IF($B59&gt;Coverage,0,ROUND(AO59*(1+VLOOKUP(AO$3,Assumption!$H$35:$K$43,3,0))^0.5,0))</f>
        <v>0</v>
      </c>
      <c r="AQ59" s="207">
        <f>+IF($B59="",0,(1-VLOOKUP(MIN($B59,6),Assumption!$M$10:$N$16,2))*AP59)</f>
        <v>0</v>
      </c>
      <c r="AR59" s="207">
        <f>+IF($B59&gt;Coverage,0,ROUND((AS58+($F59+$G59-$H59-$Q59)*PML_LF)*(1+VLOOKUP(AR$3,Assumption!$H$35:$K$43,4,0))^0.5-($M59+$R59)*PML_LF-($S59*PML_LF*AS58),0))</f>
        <v>0</v>
      </c>
      <c r="AS59" s="207">
        <f>+IF($B59&gt;Coverage,0,ROUND(AR59*(1+VLOOKUP(AR$3,Assumption!$H$35:$K$43,4,0))^0.5,0))</f>
        <v>0</v>
      </c>
      <c r="AT59" s="207">
        <f>+IF($B59="",0,(1-VLOOKUP(MIN($B59,6),Assumption!$M$10:$N$16,2))*AS59)</f>
        <v>0</v>
      </c>
      <c r="AU59" s="207">
        <f>+IF($B59&gt;Coverage,0,ROUND((AV58+($F59+$G59-$H59-$Q59)*PML_BF)*(1+VLOOKUP(AU$3,Assumption!$H$35:$K$43,4,0))^0.5-($M59+$R59)*PML_BF-($S59*PML_BF*AV58),0))</f>
        <v>0</v>
      </c>
      <c r="AV59" s="207">
        <f>+IF($B59&gt;Coverage,0,ROUND(AU59*(1+VLOOKUP(AU$3,Assumption!$H$35:$K$43,4,0))^0.5,0))</f>
        <v>0</v>
      </c>
      <c r="AW59" s="207">
        <f>+IF($B59="",0,(1-VLOOKUP(MIN($B59,6),Assumption!$M$10:$N$16,2))*AV59)</f>
        <v>0</v>
      </c>
      <c r="AX59" s="207">
        <f>+IF($B59&gt;Coverage,0,ROUND((AY58+($F59+$G59-$H59-$Q59)*PML_EF)*(1+VLOOKUP(AX$3,Assumption!$H$35:$K$43,4,0))^0.5-($M59+$R59)*PML_EF-($S59*PML_EF*AY58),0))</f>
        <v>0</v>
      </c>
      <c r="AY59" s="207">
        <f>+IF($B59&gt;Coverage,0,ROUND(AX59*(1+VLOOKUP(AX$3,Assumption!$H$35:$K$43,4,0))^0.5,0))</f>
        <v>0</v>
      </c>
      <c r="AZ59" s="207">
        <f>+IF($B59="",0,(1-VLOOKUP(MIN($B59,6),Assumption!$M$10:$N$16,2))*AY59)</f>
        <v>0</v>
      </c>
      <c r="BA59" s="207">
        <f>+IF($B59&gt;Coverage,0,ROUND((BB58+($F59+$G59-$H59-$Q59)*PML_FI)*(1+VLOOKUP(BA$3,Assumption!$H$35:$K$43,4,0))^0.5-($M59+$R59)*PML_FI-($S59*PML_FI*BB58),0))</f>
        <v>0</v>
      </c>
      <c r="BB59" s="207">
        <f>+IF($B59&gt;Coverage,0,ROUND(BA59*(1+VLOOKUP(BA$3,Assumption!$H$35:$K$43,4,0))^0.5,0))</f>
        <v>0</v>
      </c>
      <c r="BC59" s="207">
        <f>+IF($B59="",0,(1-VLOOKUP(MIN($B59,6),Assumption!$M$10:$N$16,2))*BB59)</f>
        <v>0</v>
      </c>
    </row>
    <row r="60" ht="14.25" customHeight="1">
      <c r="A60" s="126">
        <v>53.0</v>
      </c>
      <c r="B60" s="129" t="str">
        <f>+IF(A60&gt;Coverage,"",A60)</f>
        <v/>
      </c>
      <c r="C60" s="134" t="str">
        <f>+IF(B60=1,Insured_Age,IF(B60="","",C59+1))</f>
        <v/>
      </c>
      <c r="D60" s="134" t="str">
        <f>+IF(B60&gt;Coverage,"",IF(B60=1,input!$H$11,D59+1))</f>
        <v/>
      </c>
      <c r="E60" s="134" t="str">
        <f>IF(B60=1,premi_dasar,IF(B60&gt;Coverage,"",0))</f>
        <v/>
      </c>
      <c r="F60" s="134" t="str">
        <f>IF(B60&gt;Coverage,"",SUM(E60))</f>
        <v/>
      </c>
      <c r="G60" s="134" t="str">
        <f>IF(B60&gt;Coverage,"",SUMIFS(input!$E$38:$E$50,input!$C$38:$C$50,$C60))</f>
        <v/>
      </c>
      <c r="H60" s="134" t="str">
        <f>IF(B60&gt;Coverage,"",SUMIFS(input!$E$53:$E$87,input!$C$53:$C$87,$C60))</f>
        <v/>
      </c>
      <c r="I60" s="66" t="str">
        <f>+IF(B60="","",Sum_Assured*VLOOKUP(MIN(C60,10),Assumption!$M$19:$N$28,2,0))</f>
        <v/>
      </c>
      <c r="J60" s="66" t="str">
        <f>IF(B60="","",input!$D$33)</f>
        <v/>
      </c>
      <c r="K60" s="66" t="str">
        <f>IF(B60&gt;Coverage,"",VLOOKUP($C60,COI_Tab[],IF(sex="Male",2,3),0)*I60*(1+EM_Basic)/1000)</f>
        <v/>
      </c>
      <c r="L60" s="66" t="str">
        <f>IF(B60&gt;Coverage,"",VLOOKUP($C60,COI_Tab[],4,0)*J60*(1+EM_Basic)/1000)</f>
        <v/>
      </c>
      <c r="M60" s="207" t="str">
        <f>IF(B60&gt;Coverage,"",ROUND(K60+L60,0))</f>
        <v/>
      </c>
      <c r="N60" s="134" t="str">
        <f>IF(B60&gt;Coverage,"",VLOOKUP($B60,Assumption!$H$11:$I$15,2)*E60)</f>
        <v/>
      </c>
      <c r="O60" s="134" t="str">
        <f>IF(B60&gt;Coverage,"",Assumption!$J$11*$G60)</f>
        <v/>
      </c>
      <c r="P60" s="134" t="str">
        <f>IF(B60&gt;Coverage,"",H60*VLOOKUP(MIN(B60,6),Assumption!$M$11:$N$16,2,0))</f>
        <v/>
      </c>
      <c r="Q60" s="134" t="str">
        <f>IF(B60&gt;Coverage,"",SUM(N60:P60))</f>
        <v/>
      </c>
      <c r="R60" s="207" t="str">
        <f>+IF($B60&gt;Coverage,"",Assumption!$I$18*12)</f>
        <v/>
      </c>
      <c r="S60" s="208" t="str">
        <f>+IF($B60&gt;Coverage,"",Assumption!$I$20)</f>
        <v/>
      </c>
      <c r="T60" s="207">
        <f>+IF($B60&gt;Coverage,0,ROUND((U59+($F60+$G60-$H60-$Q60)*PML_LF)*(1+VLOOKUP(T$3,Assumption!$H$35:$K$43,2,0))^0.5-($M60+$R60)*PML_LF-($S60*PML_LF*U59),0))</f>
        <v>0</v>
      </c>
      <c r="U60" s="207">
        <f>+IF($B60&gt;Coverage,0,ROUND(T60*(1+VLOOKUP(T$3,Assumption!$H$35:$K$43,2,0))^0.5,0))</f>
        <v>0</v>
      </c>
      <c r="V60" s="207">
        <f>+IF($B60="",0,(1-VLOOKUP(MIN($B60,6),Assumption!$M$10:$N$16,2))*U60)</f>
        <v>0</v>
      </c>
      <c r="W60" s="207">
        <f>+IF($B60&gt;Coverage,0,ROUND((X59+($F60+$G60-$H60-$Q60)*PML_BF)*(1+VLOOKUP(W$3,Assumption!$H$35:$K$43,2,0))^0.5-($M60+$R60)*PML_BF-($S60*PML_BF*X59),0))</f>
        <v>0</v>
      </c>
      <c r="X60" s="207">
        <f>+IF($B60&gt;Coverage,0,ROUND(W60*(1+VLOOKUP(W$3,Assumption!$H$35:$K$43,2,0))^0.5,0))</f>
        <v>0</v>
      </c>
      <c r="Y60" s="207">
        <f>+IF($B60="",0,(1-VLOOKUP(MIN($B60,6),Assumption!$M$10:$N$16,2))*X60)</f>
        <v>0</v>
      </c>
      <c r="Z60" s="207">
        <f>+IF($B60&gt;Coverage,0,ROUND((AA59+($F60+$G60-$H60-$Q60)*PML_EF)*(1+VLOOKUP(Z$3,Assumption!$H$35:$K$43,2,0))^0.5-($M60+$R60)*PML_EF-($S60*PML_EF*AA59),0))</f>
        <v>0</v>
      </c>
      <c r="AA60" s="207">
        <f>+IF($B60&gt;Coverage,0,ROUND(Z60*(1+VLOOKUP(Z$3,Assumption!$H$35:$K$43,2,0))^0.5,0))</f>
        <v>0</v>
      </c>
      <c r="AB60" s="207">
        <f>+IF($B60="",0,(1-VLOOKUP(MIN($B60,6),Assumption!$M$10:$N$16,2))*AA60)</f>
        <v>0</v>
      </c>
      <c r="AC60" s="207">
        <f>+IF($B60&gt;Coverage,0,ROUND((AD59+($F60+$G60-$H60-$Q60)*PML_FI)*(1+VLOOKUP(AC$3,Assumption!$H$35:$K$43,2,0))^0.5-($M60+$R60)*PML_FI-($S60*PML_FI*AD59),0))</f>
        <v>0</v>
      </c>
      <c r="AD60" s="207">
        <f>+IF($B60&gt;Coverage,0,ROUND(AC60*(1+VLOOKUP(AC$3,Assumption!$H$35:$K$43,2,0))^0.5,0))</f>
        <v>0</v>
      </c>
      <c r="AE60" s="207">
        <f>+IF($B60="",0,(1-VLOOKUP(MIN($B60,6),Assumption!$M$10:$N$16,2))*AD60)</f>
        <v>0</v>
      </c>
      <c r="AF60" s="207">
        <f>+IF($B60&gt;Coverage,0,ROUND((AG59+($F60+$G60-$H60-$Q60)*PML_LF)*(1+VLOOKUP(AF$3,Assumption!$H$35:$K$43,3,0))^0.5-($M60+$R60)*PML_LF-($S60*PML_LF*AG59),0))</f>
        <v>0</v>
      </c>
      <c r="AG60" s="207">
        <f>+IF($B60&gt;Coverage,0,ROUND(AF60*(1+VLOOKUP(AF$3,Assumption!$H$35:$K$43,3,0))^0.5,0))</f>
        <v>0</v>
      </c>
      <c r="AH60" s="207">
        <f>+IF($B60="",0,(1-VLOOKUP(MIN($B60,6),Assumption!$M$10:$N$16,2))*AG60)</f>
        <v>0</v>
      </c>
      <c r="AI60" s="207">
        <f>+IF($B60&gt;Coverage,0,ROUND((AJ59+($F60+$G60-$H60-$Q60)*PML_BF)*(1+VLOOKUP(AI$3,Assumption!$H$35:$K$43,3,0))^0.5-($M60+$R60)*PML_BF-($S60*PML_BF*AJ59),0))</f>
        <v>0</v>
      </c>
      <c r="AJ60" s="207">
        <f>+IF($B60&gt;Coverage,0,ROUND(AI60*(1+VLOOKUP(AI$3,Assumption!$H$35:$K$43,3,0))^0.5,0))</f>
        <v>0</v>
      </c>
      <c r="AK60" s="207">
        <f>+IF($B60="",0,(1-VLOOKUP(MIN($B60,6),Assumption!$M$10:$N$16,2))*AJ60)</f>
        <v>0</v>
      </c>
      <c r="AL60" s="207">
        <f>+IF($B60&gt;Coverage,0,ROUND((AM59+($F60+$G60-$H60-$Q60)*PML_EF)*(1+VLOOKUP(AL$3,Assumption!$H$35:$K$43,3,0))^0.5-($M60+$R60)*PML_EF-($S60*PML_EF*AM59),0))</f>
        <v>0</v>
      </c>
      <c r="AM60" s="207">
        <f>+IF($B60&gt;Coverage,0,ROUND(AL60*(1+VLOOKUP(AL$3,Assumption!$H$35:$K$43,3,0))^0.5,0))</f>
        <v>0</v>
      </c>
      <c r="AN60" s="207">
        <f>+IF($B60="",0,(1-VLOOKUP(MIN($B60,6),Assumption!$M$10:$N$16,2))*AM60)</f>
        <v>0</v>
      </c>
      <c r="AO60" s="207">
        <f>+IF($B60&gt;Coverage,0,ROUND((AP59+($F60+$G60-$H60-$Q60)*PML_FI)*(1+VLOOKUP(AO$3,Assumption!$H$35:$K$43,3,0))^0.5-($M60+$R60)*PML_FI-($S60*PML_FI*AP59),0))</f>
        <v>0</v>
      </c>
      <c r="AP60" s="207">
        <f>+IF($B60&gt;Coverage,0,ROUND(AO60*(1+VLOOKUP(AO$3,Assumption!$H$35:$K$43,3,0))^0.5,0))</f>
        <v>0</v>
      </c>
      <c r="AQ60" s="207">
        <f>+IF($B60="",0,(1-VLOOKUP(MIN($B60,6),Assumption!$M$10:$N$16,2))*AP60)</f>
        <v>0</v>
      </c>
      <c r="AR60" s="207">
        <f>+IF($B60&gt;Coverage,0,ROUND((AS59+($F60+$G60-$H60-$Q60)*PML_LF)*(1+VLOOKUP(AR$3,Assumption!$H$35:$K$43,4,0))^0.5-($M60+$R60)*PML_LF-($S60*PML_LF*AS59),0))</f>
        <v>0</v>
      </c>
      <c r="AS60" s="207">
        <f>+IF($B60&gt;Coverage,0,ROUND(AR60*(1+VLOOKUP(AR$3,Assumption!$H$35:$K$43,4,0))^0.5,0))</f>
        <v>0</v>
      </c>
      <c r="AT60" s="207">
        <f>+IF($B60="",0,(1-VLOOKUP(MIN($B60,6),Assumption!$M$10:$N$16,2))*AS60)</f>
        <v>0</v>
      </c>
      <c r="AU60" s="207">
        <f>+IF($B60&gt;Coverage,0,ROUND((AV59+($F60+$G60-$H60-$Q60)*PML_BF)*(1+VLOOKUP(AU$3,Assumption!$H$35:$K$43,4,0))^0.5-($M60+$R60)*PML_BF-($S60*PML_BF*AV59),0))</f>
        <v>0</v>
      </c>
      <c r="AV60" s="207">
        <f>+IF($B60&gt;Coverage,0,ROUND(AU60*(1+VLOOKUP(AU$3,Assumption!$H$35:$K$43,4,0))^0.5,0))</f>
        <v>0</v>
      </c>
      <c r="AW60" s="207">
        <f>+IF($B60="",0,(1-VLOOKUP(MIN($B60,6),Assumption!$M$10:$N$16,2))*AV60)</f>
        <v>0</v>
      </c>
      <c r="AX60" s="207">
        <f>+IF($B60&gt;Coverage,0,ROUND((AY59+($F60+$G60-$H60-$Q60)*PML_EF)*(1+VLOOKUP(AX$3,Assumption!$H$35:$K$43,4,0))^0.5-($M60+$R60)*PML_EF-($S60*PML_EF*AY59),0))</f>
        <v>0</v>
      </c>
      <c r="AY60" s="207">
        <f>+IF($B60&gt;Coverage,0,ROUND(AX60*(1+VLOOKUP(AX$3,Assumption!$H$35:$K$43,4,0))^0.5,0))</f>
        <v>0</v>
      </c>
      <c r="AZ60" s="207">
        <f>+IF($B60="",0,(1-VLOOKUP(MIN($B60,6),Assumption!$M$10:$N$16,2))*AY60)</f>
        <v>0</v>
      </c>
      <c r="BA60" s="207">
        <f>+IF($B60&gt;Coverage,0,ROUND((BB59+($F60+$G60-$H60-$Q60)*PML_FI)*(1+VLOOKUP(BA$3,Assumption!$H$35:$K$43,4,0))^0.5-($M60+$R60)*PML_FI-($S60*PML_FI*BB59),0))</f>
        <v>0</v>
      </c>
      <c r="BB60" s="207">
        <f>+IF($B60&gt;Coverage,0,ROUND(BA60*(1+VLOOKUP(BA$3,Assumption!$H$35:$K$43,4,0))^0.5,0))</f>
        <v>0</v>
      </c>
      <c r="BC60" s="207">
        <f>+IF($B60="",0,(1-VLOOKUP(MIN($B60,6),Assumption!$M$10:$N$16,2))*BB60)</f>
        <v>0</v>
      </c>
    </row>
    <row r="61" ht="14.25" customHeight="1">
      <c r="A61" s="126">
        <v>54.0</v>
      </c>
      <c r="B61" s="129" t="str">
        <f>+IF(A61&gt;Coverage,"",A61)</f>
        <v/>
      </c>
      <c r="C61" s="134" t="str">
        <f>+IF(B61=1,Insured_Age,IF(B61="","",C60+1))</f>
        <v/>
      </c>
      <c r="D61" s="134" t="str">
        <f>+IF(B61&gt;Coverage,"",IF(B61=1,input!$H$11,D60+1))</f>
        <v/>
      </c>
      <c r="E61" s="134" t="str">
        <f>IF(B61=1,premi_dasar,IF(B61&gt;Coverage,"",0))</f>
        <v/>
      </c>
      <c r="F61" s="134" t="str">
        <f>IF(B61&gt;Coverage,"",SUM(E61))</f>
        <v/>
      </c>
      <c r="G61" s="134" t="str">
        <f>IF(B61&gt;Coverage,"",SUMIFS(input!$E$38:$E$50,input!$C$38:$C$50,$C61))</f>
        <v/>
      </c>
      <c r="H61" s="134" t="str">
        <f>IF(B61&gt;Coverage,"",SUMIFS(input!$E$53:$E$87,input!$C$53:$C$87,$C61))</f>
        <v/>
      </c>
      <c r="I61" s="66" t="str">
        <f>+IF(B61="","",Sum_Assured*VLOOKUP(MIN(C61,10),Assumption!$M$19:$N$28,2,0))</f>
        <v/>
      </c>
      <c r="J61" s="66" t="str">
        <f>IF(B61="","",input!$D$33)</f>
        <v/>
      </c>
      <c r="K61" s="66" t="str">
        <f>IF(B61&gt;Coverage,"",VLOOKUP($C61,COI_Tab[],IF(sex="Male",2,3),0)*I61*(1+EM_Basic)/1000)</f>
        <v/>
      </c>
      <c r="L61" s="66" t="str">
        <f>IF(B61&gt;Coverage,"",VLOOKUP($C61,COI_Tab[],4,0)*J61*(1+EM_Basic)/1000)</f>
        <v/>
      </c>
      <c r="M61" s="207" t="str">
        <f>IF(B61&gt;Coverage,"",ROUND(K61+L61,0))</f>
        <v/>
      </c>
      <c r="N61" s="134" t="str">
        <f>IF(B61&gt;Coverage,"",VLOOKUP($B61,Assumption!$H$11:$I$15,2)*E61)</f>
        <v/>
      </c>
      <c r="O61" s="134" t="str">
        <f>IF(B61&gt;Coverage,"",Assumption!$J$11*$G61)</f>
        <v/>
      </c>
      <c r="P61" s="134" t="str">
        <f>IF(B61&gt;Coverage,"",H61*VLOOKUP(MIN(B61,6),Assumption!$M$11:$N$16,2,0))</f>
        <v/>
      </c>
      <c r="Q61" s="134" t="str">
        <f>IF(B61&gt;Coverage,"",SUM(N61:P61))</f>
        <v/>
      </c>
      <c r="R61" s="207" t="str">
        <f>+IF($B61&gt;Coverage,"",Assumption!$I$18*12)</f>
        <v/>
      </c>
      <c r="S61" s="208" t="str">
        <f>+IF($B61&gt;Coverage,"",Assumption!$I$20)</f>
        <v/>
      </c>
      <c r="T61" s="207">
        <f>+IF($B61&gt;Coverage,0,ROUND((U60+($F61+$G61-$H61-$Q61)*PML_LF)*(1+VLOOKUP(T$3,Assumption!$H$35:$K$43,2,0))^0.5-($M61+$R61)*PML_LF-($S61*PML_LF*U60),0))</f>
        <v>0</v>
      </c>
      <c r="U61" s="207">
        <f>+IF($B61&gt;Coverage,0,ROUND(T61*(1+VLOOKUP(T$3,Assumption!$H$35:$K$43,2,0))^0.5,0))</f>
        <v>0</v>
      </c>
      <c r="V61" s="207">
        <f>+IF($B61="",0,(1-VLOOKUP(MIN($B61,6),Assumption!$M$10:$N$16,2))*U61)</f>
        <v>0</v>
      </c>
      <c r="W61" s="207">
        <f>+IF($B61&gt;Coverage,0,ROUND((X60+($F61+$G61-$H61-$Q61)*PML_BF)*(1+VLOOKUP(W$3,Assumption!$H$35:$K$43,2,0))^0.5-($M61+$R61)*PML_BF-($S61*PML_BF*X60),0))</f>
        <v>0</v>
      </c>
      <c r="X61" s="207">
        <f>+IF($B61&gt;Coverage,0,ROUND(W61*(1+VLOOKUP(W$3,Assumption!$H$35:$K$43,2,0))^0.5,0))</f>
        <v>0</v>
      </c>
      <c r="Y61" s="207">
        <f>+IF($B61="",0,(1-VLOOKUP(MIN($B61,6),Assumption!$M$10:$N$16,2))*X61)</f>
        <v>0</v>
      </c>
      <c r="Z61" s="207">
        <f>+IF($B61&gt;Coverage,0,ROUND((AA60+($F61+$G61-$H61-$Q61)*PML_EF)*(1+VLOOKUP(Z$3,Assumption!$H$35:$K$43,2,0))^0.5-($M61+$R61)*PML_EF-($S61*PML_EF*AA60),0))</f>
        <v>0</v>
      </c>
      <c r="AA61" s="207">
        <f>+IF($B61&gt;Coverage,0,ROUND(Z61*(1+VLOOKUP(Z$3,Assumption!$H$35:$K$43,2,0))^0.5,0))</f>
        <v>0</v>
      </c>
      <c r="AB61" s="207">
        <f>+IF($B61="",0,(1-VLOOKUP(MIN($B61,6),Assumption!$M$10:$N$16,2))*AA61)</f>
        <v>0</v>
      </c>
      <c r="AC61" s="207">
        <f>+IF($B61&gt;Coverage,0,ROUND((AD60+($F61+$G61-$H61-$Q61)*PML_FI)*(1+VLOOKUP(AC$3,Assumption!$H$35:$K$43,2,0))^0.5-($M61+$R61)*PML_FI-($S61*PML_FI*AD60),0))</f>
        <v>0</v>
      </c>
      <c r="AD61" s="207">
        <f>+IF($B61&gt;Coverage,0,ROUND(AC61*(1+VLOOKUP(AC$3,Assumption!$H$35:$K$43,2,0))^0.5,0))</f>
        <v>0</v>
      </c>
      <c r="AE61" s="207">
        <f>+IF($B61="",0,(1-VLOOKUP(MIN($B61,6),Assumption!$M$10:$N$16,2))*AD61)</f>
        <v>0</v>
      </c>
      <c r="AF61" s="207">
        <f>+IF($B61&gt;Coverage,0,ROUND((AG60+($F61+$G61-$H61-$Q61)*PML_LF)*(1+VLOOKUP(AF$3,Assumption!$H$35:$K$43,3,0))^0.5-($M61+$R61)*PML_LF-($S61*PML_LF*AG60),0))</f>
        <v>0</v>
      </c>
      <c r="AG61" s="207">
        <f>+IF($B61&gt;Coverage,0,ROUND(AF61*(1+VLOOKUP(AF$3,Assumption!$H$35:$K$43,3,0))^0.5,0))</f>
        <v>0</v>
      </c>
      <c r="AH61" s="207">
        <f>+IF($B61="",0,(1-VLOOKUP(MIN($B61,6),Assumption!$M$10:$N$16,2))*AG61)</f>
        <v>0</v>
      </c>
      <c r="AI61" s="207">
        <f>+IF($B61&gt;Coverage,0,ROUND((AJ60+($F61+$G61-$H61-$Q61)*PML_BF)*(1+VLOOKUP(AI$3,Assumption!$H$35:$K$43,3,0))^0.5-($M61+$R61)*PML_BF-($S61*PML_BF*AJ60),0))</f>
        <v>0</v>
      </c>
      <c r="AJ61" s="207">
        <f>+IF($B61&gt;Coverage,0,ROUND(AI61*(1+VLOOKUP(AI$3,Assumption!$H$35:$K$43,3,0))^0.5,0))</f>
        <v>0</v>
      </c>
      <c r="AK61" s="207">
        <f>+IF($B61="",0,(1-VLOOKUP(MIN($B61,6),Assumption!$M$10:$N$16,2))*AJ61)</f>
        <v>0</v>
      </c>
      <c r="AL61" s="207">
        <f>+IF($B61&gt;Coverage,0,ROUND((AM60+($F61+$G61-$H61-$Q61)*PML_EF)*(1+VLOOKUP(AL$3,Assumption!$H$35:$K$43,3,0))^0.5-($M61+$R61)*PML_EF-($S61*PML_EF*AM60),0))</f>
        <v>0</v>
      </c>
      <c r="AM61" s="207">
        <f>+IF($B61&gt;Coverage,0,ROUND(AL61*(1+VLOOKUP(AL$3,Assumption!$H$35:$K$43,3,0))^0.5,0))</f>
        <v>0</v>
      </c>
      <c r="AN61" s="207">
        <f>+IF($B61="",0,(1-VLOOKUP(MIN($B61,6),Assumption!$M$10:$N$16,2))*AM61)</f>
        <v>0</v>
      </c>
      <c r="AO61" s="207">
        <f>+IF($B61&gt;Coverage,0,ROUND((AP60+($F61+$G61-$H61-$Q61)*PML_FI)*(1+VLOOKUP(AO$3,Assumption!$H$35:$K$43,3,0))^0.5-($M61+$R61)*PML_FI-($S61*PML_FI*AP60),0))</f>
        <v>0</v>
      </c>
      <c r="AP61" s="207">
        <f>+IF($B61&gt;Coverage,0,ROUND(AO61*(1+VLOOKUP(AO$3,Assumption!$H$35:$K$43,3,0))^0.5,0))</f>
        <v>0</v>
      </c>
      <c r="AQ61" s="207">
        <f>+IF($B61="",0,(1-VLOOKUP(MIN($B61,6),Assumption!$M$10:$N$16,2))*AP61)</f>
        <v>0</v>
      </c>
      <c r="AR61" s="207">
        <f>+IF($B61&gt;Coverage,0,ROUND((AS60+($F61+$G61-$H61-$Q61)*PML_LF)*(1+VLOOKUP(AR$3,Assumption!$H$35:$K$43,4,0))^0.5-($M61+$R61)*PML_LF-($S61*PML_LF*AS60),0))</f>
        <v>0</v>
      </c>
      <c r="AS61" s="207">
        <f>+IF($B61&gt;Coverage,0,ROUND(AR61*(1+VLOOKUP(AR$3,Assumption!$H$35:$K$43,4,0))^0.5,0))</f>
        <v>0</v>
      </c>
      <c r="AT61" s="207">
        <f>+IF($B61="",0,(1-VLOOKUP(MIN($B61,6),Assumption!$M$10:$N$16,2))*AS61)</f>
        <v>0</v>
      </c>
      <c r="AU61" s="207">
        <f>+IF($B61&gt;Coverage,0,ROUND((AV60+($F61+$G61-$H61-$Q61)*PML_BF)*(1+VLOOKUP(AU$3,Assumption!$H$35:$K$43,4,0))^0.5-($M61+$R61)*PML_BF-($S61*PML_BF*AV60),0))</f>
        <v>0</v>
      </c>
      <c r="AV61" s="207">
        <f>+IF($B61&gt;Coverage,0,ROUND(AU61*(1+VLOOKUP(AU$3,Assumption!$H$35:$K$43,4,0))^0.5,0))</f>
        <v>0</v>
      </c>
      <c r="AW61" s="207">
        <f>+IF($B61="",0,(1-VLOOKUP(MIN($B61,6),Assumption!$M$10:$N$16,2))*AV61)</f>
        <v>0</v>
      </c>
      <c r="AX61" s="207">
        <f>+IF($B61&gt;Coverage,0,ROUND((AY60+($F61+$G61-$H61-$Q61)*PML_EF)*(1+VLOOKUP(AX$3,Assumption!$H$35:$K$43,4,0))^0.5-($M61+$R61)*PML_EF-($S61*PML_EF*AY60),0))</f>
        <v>0</v>
      </c>
      <c r="AY61" s="207">
        <f>+IF($B61&gt;Coverage,0,ROUND(AX61*(1+VLOOKUP(AX$3,Assumption!$H$35:$K$43,4,0))^0.5,0))</f>
        <v>0</v>
      </c>
      <c r="AZ61" s="207">
        <f>+IF($B61="",0,(1-VLOOKUP(MIN($B61,6),Assumption!$M$10:$N$16,2))*AY61)</f>
        <v>0</v>
      </c>
      <c r="BA61" s="207">
        <f>+IF($B61&gt;Coverage,0,ROUND((BB60+($F61+$G61-$H61-$Q61)*PML_FI)*(1+VLOOKUP(BA$3,Assumption!$H$35:$K$43,4,0))^0.5-($M61+$R61)*PML_FI-($S61*PML_FI*BB60),0))</f>
        <v>0</v>
      </c>
      <c r="BB61" s="207">
        <f>+IF($B61&gt;Coverage,0,ROUND(BA61*(1+VLOOKUP(BA$3,Assumption!$H$35:$K$43,4,0))^0.5,0))</f>
        <v>0</v>
      </c>
      <c r="BC61" s="207">
        <f>+IF($B61="",0,(1-VLOOKUP(MIN($B61,6),Assumption!$M$10:$N$16,2))*BB61)</f>
        <v>0</v>
      </c>
    </row>
    <row r="62" ht="14.25" customHeight="1">
      <c r="A62" s="126">
        <v>55.0</v>
      </c>
      <c r="B62" s="129" t="str">
        <f>+IF(A62&gt;Coverage,"",A62)</f>
        <v/>
      </c>
      <c r="C62" s="134" t="str">
        <f>+IF(B62=1,Insured_Age,IF(B62="","",C61+1))</f>
        <v/>
      </c>
      <c r="D62" s="134" t="str">
        <f>+IF(B62&gt;Coverage,"",IF(B62=1,input!$H$11,D61+1))</f>
        <v/>
      </c>
      <c r="E62" s="134" t="str">
        <f>IF(B62=1,premi_dasar,IF(B62&gt;Coverage,"",0))</f>
        <v/>
      </c>
      <c r="F62" s="134" t="str">
        <f>IF(B62&gt;Coverage,"",SUM(E62))</f>
        <v/>
      </c>
      <c r="G62" s="134" t="str">
        <f>IF(B62&gt;Coverage,"",SUMIFS(input!$E$38:$E$50,input!$C$38:$C$50,$C62))</f>
        <v/>
      </c>
      <c r="H62" s="134" t="str">
        <f>IF(B62&gt;Coverage,"",SUMIFS(input!$E$53:$E$87,input!$C$53:$C$87,$C62))</f>
        <v/>
      </c>
      <c r="I62" s="66" t="str">
        <f>+IF(B62="","",Sum_Assured*VLOOKUP(MIN(C62,10),Assumption!$M$19:$N$28,2,0))</f>
        <v/>
      </c>
      <c r="J62" s="66" t="str">
        <f>IF(B62="","",input!$D$33)</f>
        <v/>
      </c>
      <c r="K62" s="66" t="str">
        <f>IF(B62&gt;Coverage,"",VLOOKUP($C62,COI_Tab[],IF(sex="Male",2,3),0)*I62*(1+EM_Basic)/1000)</f>
        <v/>
      </c>
      <c r="L62" s="66" t="str">
        <f>IF(B62&gt;Coverage,"",VLOOKUP($C62,COI_Tab[],4,0)*J62*(1+EM_Basic)/1000)</f>
        <v/>
      </c>
      <c r="M62" s="207" t="str">
        <f>IF(B62&gt;Coverage,"",ROUND(K62+L62,0))</f>
        <v/>
      </c>
      <c r="N62" s="134" t="str">
        <f>IF(B62&gt;Coverage,"",VLOOKUP($B62,Assumption!$H$11:$I$15,2)*E62)</f>
        <v/>
      </c>
      <c r="O62" s="134" t="str">
        <f>IF(B62&gt;Coverage,"",Assumption!$J$11*$G62)</f>
        <v/>
      </c>
      <c r="P62" s="134" t="str">
        <f>IF(B62&gt;Coverage,"",H62*VLOOKUP(MIN(B62,6),Assumption!$M$11:$N$16,2,0))</f>
        <v/>
      </c>
      <c r="Q62" s="134" t="str">
        <f>IF(B62&gt;Coverage,"",SUM(N62:P62))</f>
        <v/>
      </c>
      <c r="R62" s="207" t="str">
        <f>+IF($B62&gt;Coverage,"",Assumption!$I$18*12)</f>
        <v/>
      </c>
      <c r="S62" s="208" t="str">
        <f>+IF($B62&gt;Coverage,"",Assumption!$I$20)</f>
        <v/>
      </c>
      <c r="T62" s="207">
        <f>+IF($B62&gt;Coverage,0,ROUND((U61+($F62+$G62-$H62-$Q62)*PML_LF)*(1+VLOOKUP(T$3,Assumption!$H$35:$K$43,2,0))^0.5-($M62+$R62)*PML_LF-($S62*PML_LF*U61),0))</f>
        <v>0</v>
      </c>
      <c r="U62" s="207">
        <f>+IF($B62&gt;Coverage,0,ROUND(T62*(1+VLOOKUP(T$3,Assumption!$H$35:$K$43,2,0))^0.5,0))</f>
        <v>0</v>
      </c>
      <c r="V62" s="207">
        <f>+IF($B62="",0,(1-VLOOKUP(MIN($B62,6),Assumption!$M$10:$N$16,2))*U62)</f>
        <v>0</v>
      </c>
      <c r="W62" s="207">
        <f>+IF($B62&gt;Coverage,0,ROUND((X61+($F62+$G62-$H62-$Q62)*PML_BF)*(1+VLOOKUP(W$3,Assumption!$H$35:$K$43,2,0))^0.5-($M62+$R62)*PML_BF-($S62*PML_BF*X61),0))</f>
        <v>0</v>
      </c>
      <c r="X62" s="207">
        <f>+IF($B62&gt;Coverage,0,ROUND(W62*(1+VLOOKUP(W$3,Assumption!$H$35:$K$43,2,0))^0.5,0))</f>
        <v>0</v>
      </c>
      <c r="Y62" s="207">
        <f>+IF($B62="",0,(1-VLOOKUP(MIN($B62,6),Assumption!$M$10:$N$16,2))*X62)</f>
        <v>0</v>
      </c>
      <c r="Z62" s="207">
        <f>+IF($B62&gt;Coverage,0,ROUND((AA61+($F62+$G62-$H62-$Q62)*PML_EF)*(1+VLOOKUP(Z$3,Assumption!$H$35:$K$43,2,0))^0.5-($M62+$R62)*PML_EF-($S62*PML_EF*AA61),0))</f>
        <v>0</v>
      </c>
      <c r="AA62" s="207">
        <f>+IF($B62&gt;Coverage,0,ROUND(Z62*(1+VLOOKUP(Z$3,Assumption!$H$35:$K$43,2,0))^0.5,0))</f>
        <v>0</v>
      </c>
      <c r="AB62" s="207">
        <f>+IF($B62="",0,(1-VLOOKUP(MIN($B62,6),Assumption!$M$10:$N$16,2))*AA62)</f>
        <v>0</v>
      </c>
      <c r="AC62" s="207">
        <f>+IF($B62&gt;Coverage,0,ROUND((AD61+($F62+$G62-$H62-$Q62)*PML_FI)*(1+VLOOKUP(AC$3,Assumption!$H$35:$K$43,2,0))^0.5-($M62+$R62)*PML_FI-($S62*PML_FI*AD61),0))</f>
        <v>0</v>
      </c>
      <c r="AD62" s="207">
        <f>+IF($B62&gt;Coverage,0,ROUND(AC62*(1+VLOOKUP(AC$3,Assumption!$H$35:$K$43,2,0))^0.5,0))</f>
        <v>0</v>
      </c>
      <c r="AE62" s="207">
        <f>+IF($B62="",0,(1-VLOOKUP(MIN($B62,6),Assumption!$M$10:$N$16,2))*AD62)</f>
        <v>0</v>
      </c>
      <c r="AF62" s="207">
        <f>+IF($B62&gt;Coverage,0,ROUND((AG61+($F62+$G62-$H62-$Q62)*PML_LF)*(1+VLOOKUP(AF$3,Assumption!$H$35:$K$43,3,0))^0.5-($M62+$R62)*PML_LF-($S62*PML_LF*AG61),0))</f>
        <v>0</v>
      </c>
      <c r="AG62" s="207">
        <f>+IF($B62&gt;Coverage,0,ROUND(AF62*(1+VLOOKUP(AF$3,Assumption!$H$35:$K$43,3,0))^0.5,0))</f>
        <v>0</v>
      </c>
      <c r="AH62" s="207">
        <f>+IF($B62="",0,(1-VLOOKUP(MIN($B62,6),Assumption!$M$10:$N$16,2))*AG62)</f>
        <v>0</v>
      </c>
      <c r="AI62" s="207">
        <f>+IF($B62&gt;Coverage,0,ROUND((AJ61+($F62+$G62-$H62-$Q62)*PML_BF)*(1+VLOOKUP(AI$3,Assumption!$H$35:$K$43,3,0))^0.5-($M62+$R62)*PML_BF-($S62*PML_BF*AJ61),0))</f>
        <v>0</v>
      </c>
      <c r="AJ62" s="207">
        <f>+IF($B62&gt;Coverage,0,ROUND(AI62*(1+VLOOKUP(AI$3,Assumption!$H$35:$K$43,3,0))^0.5,0))</f>
        <v>0</v>
      </c>
      <c r="AK62" s="207">
        <f>+IF($B62="",0,(1-VLOOKUP(MIN($B62,6),Assumption!$M$10:$N$16,2))*AJ62)</f>
        <v>0</v>
      </c>
      <c r="AL62" s="207">
        <f>+IF($B62&gt;Coverage,0,ROUND((AM61+($F62+$G62-$H62-$Q62)*PML_EF)*(1+VLOOKUP(AL$3,Assumption!$H$35:$K$43,3,0))^0.5-($M62+$R62)*PML_EF-($S62*PML_EF*AM61),0))</f>
        <v>0</v>
      </c>
      <c r="AM62" s="207">
        <f>+IF($B62&gt;Coverage,0,ROUND(AL62*(1+VLOOKUP(AL$3,Assumption!$H$35:$K$43,3,0))^0.5,0))</f>
        <v>0</v>
      </c>
      <c r="AN62" s="207">
        <f>+IF($B62="",0,(1-VLOOKUP(MIN($B62,6),Assumption!$M$10:$N$16,2))*AM62)</f>
        <v>0</v>
      </c>
      <c r="AO62" s="207">
        <f>+IF($B62&gt;Coverage,0,ROUND((AP61+($F62+$G62-$H62-$Q62)*PML_FI)*(1+VLOOKUP(AO$3,Assumption!$H$35:$K$43,3,0))^0.5-($M62+$R62)*PML_FI-($S62*PML_FI*AP61),0))</f>
        <v>0</v>
      </c>
      <c r="AP62" s="207">
        <f>+IF($B62&gt;Coverage,0,ROUND(AO62*(1+VLOOKUP(AO$3,Assumption!$H$35:$K$43,3,0))^0.5,0))</f>
        <v>0</v>
      </c>
      <c r="AQ62" s="207">
        <f>+IF($B62="",0,(1-VLOOKUP(MIN($B62,6),Assumption!$M$10:$N$16,2))*AP62)</f>
        <v>0</v>
      </c>
      <c r="AR62" s="207">
        <f>+IF($B62&gt;Coverage,0,ROUND((AS61+($F62+$G62-$H62-$Q62)*PML_LF)*(1+VLOOKUP(AR$3,Assumption!$H$35:$K$43,4,0))^0.5-($M62+$R62)*PML_LF-($S62*PML_LF*AS61),0))</f>
        <v>0</v>
      </c>
      <c r="AS62" s="207">
        <f>+IF($B62&gt;Coverage,0,ROUND(AR62*(1+VLOOKUP(AR$3,Assumption!$H$35:$K$43,4,0))^0.5,0))</f>
        <v>0</v>
      </c>
      <c r="AT62" s="207">
        <f>+IF($B62="",0,(1-VLOOKUP(MIN($B62,6),Assumption!$M$10:$N$16,2))*AS62)</f>
        <v>0</v>
      </c>
      <c r="AU62" s="207">
        <f>+IF($B62&gt;Coverage,0,ROUND((AV61+($F62+$G62-$H62-$Q62)*PML_BF)*(1+VLOOKUP(AU$3,Assumption!$H$35:$K$43,4,0))^0.5-($M62+$R62)*PML_BF-($S62*PML_BF*AV61),0))</f>
        <v>0</v>
      </c>
      <c r="AV62" s="207">
        <f>+IF($B62&gt;Coverage,0,ROUND(AU62*(1+VLOOKUP(AU$3,Assumption!$H$35:$K$43,4,0))^0.5,0))</f>
        <v>0</v>
      </c>
      <c r="AW62" s="207">
        <f>+IF($B62="",0,(1-VLOOKUP(MIN($B62,6),Assumption!$M$10:$N$16,2))*AV62)</f>
        <v>0</v>
      </c>
      <c r="AX62" s="207">
        <f>+IF($B62&gt;Coverage,0,ROUND((AY61+($F62+$G62-$H62-$Q62)*PML_EF)*(1+VLOOKUP(AX$3,Assumption!$H$35:$K$43,4,0))^0.5-($M62+$R62)*PML_EF-($S62*PML_EF*AY61),0))</f>
        <v>0</v>
      </c>
      <c r="AY62" s="207">
        <f>+IF($B62&gt;Coverage,0,ROUND(AX62*(1+VLOOKUP(AX$3,Assumption!$H$35:$K$43,4,0))^0.5,0))</f>
        <v>0</v>
      </c>
      <c r="AZ62" s="207">
        <f>+IF($B62="",0,(1-VLOOKUP(MIN($B62,6),Assumption!$M$10:$N$16,2))*AY62)</f>
        <v>0</v>
      </c>
      <c r="BA62" s="207">
        <f>+IF($B62&gt;Coverage,0,ROUND((BB61+($F62+$G62-$H62-$Q62)*PML_FI)*(1+VLOOKUP(BA$3,Assumption!$H$35:$K$43,4,0))^0.5-($M62+$R62)*PML_FI-($S62*PML_FI*BB61),0))</f>
        <v>0</v>
      </c>
      <c r="BB62" s="207">
        <f>+IF($B62&gt;Coverage,0,ROUND(BA62*(1+VLOOKUP(BA$3,Assumption!$H$35:$K$43,4,0))^0.5,0))</f>
        <v>0</v>
      </c>
      <c r="BC62" s="207">
        <f>+IF($B62="",0,(1-VLOOKUP(MIN($B62,6),Assumption!$M$10:$N$16,2))*BB62)</f>
        <v>0</v>
      </c>
    </row>
    <row r="63" ht="14.25" customHeight="1">
      <c r="A63" s="126">
        <v>56.0</v>
      </c>
      <c r="B63" s="129" t="str">
        <f>+IF(A63&gt;Coverage,"",A63)</f>
        <v/>
      </c>
      <c r="C63" s="134" t="str">
        <f>+IF(B63=1,Insured_Age,IF(B63="","",C62+1))</f>
        <v/>
      </c>
      <c r="D63" s="134" t="str">
        <f>+IF(B63&gt;Coverage,"",IF(B63=1,input!$H$11,D62+1))</f>
        <v/>
      </c>
      <c r="E63" s="134" t="str">
        <f>IF(B63=1,premi_dasar,IF(B63&gt;Coverage,"",0))</f>
        <v/>
      </c>
      <c r="F63" s="134" t="str">
        <f>IF(B63&gt;Coverage,"",SUM(E63))</f>
        <v/>
      </c>
      <c r="G63" s="134" t="str">
        <f>IF(B63&gt;Coverage,"",SUMIFS(input!$E$38:$E$50,input!$C$38:$C$50,$C63))</f>
        <v/>
      </c>
      <c r="H63" s="134" t="str">
        <f>IF(B63&gt;Coverage,"",SUMIFS(input!$E$53:$E$87,input!$C$53:$C$87,$C63))</f>
        <v/>
      </c>
      <c r="I63" s="66" t="str">
        <f>+IF(B63="","",Sum_Assured*VLOOKUP(MIN(C63,10),Assumption!$M$19:$N$28,2,0))</f>
        <v/>
      </c>
      <c r="J63" s="66" t="str">
        <f>IF(B63="","",input!$D$33)</f>
        <v/>
      </c>
      <c r="K63" s="66" t="str">
        <f>IF(B63&gt;Coverage,"",VLOOKUP($C63,COI_Tab[],IF(sex="Male",2,3),0)*I63*(1+EM_Basic)/1000)</f>
        <v/>
      </c>
      <c r="L63" s="66" t="str">
        <f>IF(B63&gt;Coverage,"",VLOOKUP($C63,COI_Tab[],4,0)*J63*(1+EM_Basic)/1000)</f>
        <v/>
      </c>
      <c r="M63" s="207" t="str">
        <f>IF(B63&gt;Coverage,"",ROUND(K63+L63,0))</f>
        <v/>
      </c>
      <c r="N63" s="134" t="str">
        <f>IF(B63&gt;Coverage,"",VLOOKUP($B63,Assumption!$H$11:$I$15,2)*E63)</f>
        <v/>
      </c>
      <c r="O63" s="134" t="str">
        <f>IF(B63&gt;Coverage,"",Assumption!$J$11*$G63)</f>
        <v/>
      </c>
      <c r="P63" s="134" t="str">
        <f>IF(B63&gt;Coverage,"",H63*VLOOKUP(MIN(B63,6),Assumption!$M$11:$N$16,2,0))</f>
        <v/>
      </c>
      <c r="Q63" s="134" t="str">
        <f>IF(B63&gt;Coverage,"",SUM(N63:P63))</f>
        <v/>
      </c>
      <c r="R63" s="207" t="str">
        <f>+IF($B63&gt;Coverage,"",Assumption!$I$18*12)</f>
        <v/>
      </c>
      <c r="S63" s="208" t="str">
        <f>+IF($B63&gt;Coverage,"",Assumption!$I$20)</f>
        <v/>
      </c>
      <c r="T63" s="207">
        <f>+IF($B63&gt;Coverage,0,ROUND((U62+($F63+$G63-$H63-$Q63)*PML_LF)*(1+VLOOKUP(T$3,Assumption!$H$35:$K$43,2,0))^0.5-($M63+$R63)*PML_LF-($S63*PML_LF*U62),0))</f>
        <v>0</v>
      </c>
      <c r="U63" s="207">
        <f>+IF($B63&gt;Coverage,0,ROUND(T63*(1+VLOOKUP(T$3,Assumption!$H$35:$K$43,2,0))^0.5,0))</f>
        <v>0</v>
      </c>
      <c r="V63" s="207">
        <f>+IF($B63="",0,(1-VLOOKUP(MIN($B63,6),Assumption!$M$10:$N$16,2))*U63)</f>
        <v>0</v>
      </c>
      <c r="W63" s="207">
        <f>+IF($B63&gt;Coverage,0,ROUND((X62+($F63+$G63-$H63-$Q63)*PML_BF)*(1+VLOOKUP(W$3,Assumption!$H$35:$K$43,2,0))^0.5-($M63+$R63)*PML_BF-($S63*PML_BF*X62),0))</f>
        <v>0</v>
      </c>
      <c r="X63" s="207">
        <f>+IF($B63&gt;Coverage,0,ROUND(W63*(1+VLOOKUP(W$3,Assumption!$H$35:$K$43,2,0))^0.5,0))</f>
        <v>0</v>
      </c>
      <c r="Y63" s="207">
        <f>+IF($B63="",0,(1-VLOOKUP(MIN($B63,6),Assumption!$M$10:$N$16,2))*X63)</f>
        <v>0</v>
      </c>
      <c r="Z63" s="207">
        <f>+IF($B63&gt;Coverage,0,ROUND((AA62+($F63+$G63-$H63-$Q63)*PML_EF)*(1+VLOOKUP(Z$3,Assumption!$H$35:$K$43,2,0))^0.5-($M63+$R63)*PML_EF-($S63*PML_EF*AA62),0))</f>
        <v>0</v>
      </c>
      <c r="AA63" s="207">
        <f>+IF($B63&gt;Coverage,0,ROUND(Z63*(1+VLOOKUP(Z$3,Assumption!$H$35:$K$43,2,0))^0.5,0))</f>
        <v>0</v>
      </c>
      <c r="AB63" s="207">
        <f>+IF($B63="",0,(1-VLOOKUP(MIN($B63,6),Assumption!$M$10:$N$16,2))*AA63)</f>
        <v>0</v>
      </c>
      <c r="AC63" s="207">
        <f>+IF($B63&gt;Coverage,0,ROUND((AD62+($F63+$G63-$H63-$Q63)*PML_FI)*(1+VLOOKUP(AC$3,Assumption!$H$35:$K$43,2,0))^0.5-($M63+$R63)*PML_FI-($S63*PML_FI*AD62),0))</f>
        <v>0</v>
      </c>
      <c r="AD63" s="207">
        <f>+IF($B63&gt;Coverage,0,ROUND(AC63*(1+VLOOKUP(AC$3,Assumption!$H$35:$K$43,2,0))^0.5,0))</f>
        <v>0</v>
      </c>
      <c r="AE63" s="207">
        <f>+IF($B63="",0,(1-VLOOKUP(MIN($B63,6),Assumption!$M$10:$N$16,2))*AD63)</f>
        <v>0</v>
      </c>
      <c r="AF63" s="207">
        <f>+IF($B63&gt;Coverage,0,ROUND((AG62+($F63+$G63-$H63-$Q63)*PML_LF)*(1+VLOOKUP(AF$3,Assumption!$H$35:$K$43,3,0))^0.5-($M63+$R63)*PML_LF-($S63*PML_LF*AG62),0))</f>
        <v>0</v>
      </c>
      <c r="AG63" s="207">
        <f>+IF($B63&gt;Coverage,0,ROUND(AF63*(1+VLOOKUP(AF$3,Assumption!$H$35:$K$43,3,0))^0.5,0))</f>
        <v>0</v>
      </c>
      <c r="AH63" s="207">
        <f>+IF($B63="",0,(1-VLOOKUP(MIN($B63,6),Assumption!$M$10:$N$16,2))*AG63)</f>
        <v>0</v>
      </c>
      <c r="AI63" s="207">
        <f>+IF($B63&gt;Coverage,0,ROUND((AJ62+($F63+$G63-$H63-$Q63)*PML_BF)*(1+VLOOKUP(AI$3,Assumption!$H$35:$K$43,3,0))^0.5-($M63+$R63)*PML_BF-($S63*PML_BF*AJ62),0))</f>
        <v>0</v>
      </c>
      <c r="AJ63" s="207">
        <f>+IF($B63&gt;Coverage,0,ROUND(AI63*(1+VLOOKUP(AI$3,Assumption!$H$35:$K$43,3,0))^0.5,0))</f>
        <v>0</v>
      </c>
      <c r="AK63" s="207">
        <f>+IF($B63="",0,(1-VLOOKUP(MIN($B63,6),Assumption!$M$10:$N$16,2))*AJ63)</f>
        <v>0</v>
      </c>
      <c r="AL63" s="207">
        <f>+IF($B63&gt;Coverage,0,ROUND((AM62+($F63+$G63-$H63-$Q63)*PML_EF)*(1+VLOOKUP(AL$3,Assumption!$H$35:$K$43,3,0))^0.5-($M63+$R63)*PML_EF-($S63*PML_EF*AM62),0))</f>
        <v>0</v>
      </c>
      <c r="AM63" s="207">
        <f>+IF($B63&gt;Coverage,0,ROUND(AL63*(1+VLOOKUP(AL$3,Assumption!$H$35:$K$43,3,0))^0.5,0))</f>
        <v>0</v>
      </c>
      <c r="AN63" s="207">
        <f>+IF($B63="",0,(1-VLOOKUP(MIN($B63,6),Assumption!$M$10:$N$16,2))*AM63)</f>
        <v>0</v>
      </c>
      <c r="AO63" s="207">
        <f>+IF($B63&gt;Coverage,0,ROUND((AP62+($F63+$G63-$H63-$Q63)*PML_FI)*(1+VLOOKUP(AO$3,Assumption!$H$35:$K$43,3,0))^0.5-($M63+$R63)*PML_FI-($S63*PML_FI*AP62),0))</f>
        <v>0</v>
      </c>
      <c r="AP63" s="207">
        <f>+IF($B63&gt;Coverage,0,ROUND(AO63*(1+VLOOKUP(AO$3,Assumption!$H$35:$K$43,3,0))^0.5,0))</f>
        <v>0</v>
      </c>
      <c r="AQ63" s="207">
        <f>+IF($B63="",0,(1-VLOOKUP(MIN($B63,6),Assumption!$M$10:$N$16,2))*AP63)</f>
        <v>0</v>
      </c>
      <c r="AR63" s="207">
        <f>+IF($B63&gt;Coverage,0,ROUND((AS62+($F63+$G63-$H63-$Q63)*PML_LF)*(1+VLOOKUP(AR$3,Assumption!$H$35:$K$43,4,0))^0.5-($M63+$R63)*PML_LF-($S63*PML_LF*AS62),0))</f>
        <v>0</v>
      </c>
      <c r="AS63" s="207">
        <f>+IF($B63&gt;Coverage,0,ROUND(AR63*(1+VLOOKUP(AR$3,Assumption!$H$35:$K$43,4,0))^0.5,0))</f>
        <v>0</v>
      </c>
      <c r="AT63" s="207">
        <f>+IF($B63="",0,(1-VLOOKUP(MIN($B63,6),Assumption!$M$10:$N$16,2))*AS63)</f>
        <v>0</v>
      </c>
      <c r="AU63" s="207">
        <f>+IF($B63&gt;Coverage,0,ROUND((AV62+($F63+$G63-$H63-$Q63)*PML_BF)*(1+VLOOKUP(AU$3,Assumption!$H$35:$K$43,4,0))^0.5-($M63+$R63)*PML_BF-($S63*PML_BF*AV62),0))</f>
        <v>0</v>
      </c>
      <c r="AV63" s="207">
        <f>+IF($B63&gt;Coverage,0,ROUND(AU63*(1+VLOOKUP(AU$3,Assumption!$H$35:$K$43,4,0))^0.5,0))</f>
        <v>0</v>
      </c>
      <c r="AW63" s="207">
        <f>+IF($B63="",0,(1-VLOOKUP(MIN($B63,6),Assumption!$M$10:$N$16,2))*AV63)</f>
        <v>0</v>
      </c>
      <c r="AX63" s="207">
        <f>+IF($B63&gt;Coverage,0,ROUND((AY62+($F63+$G63-$H63-$Q63)*PML_EF)*(1+VLOOKUP(AX$3,Assumption!$H$35:$K$43,4,0))^0.5-($M63+$R63)*PML_EF-($S63*PML_EF*AY62),0))</f>
        <v>0</v>
      </c>
      <c r="AY63" s="207">
        <f>+IF($B63&gt;Coverage,0,ROUND(AX63*(1+VLOOKUP(AX$3,Assumption!$H$35:$K$43,4,0))^0.5,0))</f>
        <v>0</v>
      </c>
      <c r="AZ63" s="207">
        <f>+IF($B63="",0,(1-VLOOKUP(MIN($B63,6),Assumption!$M$10:$N$16,2))*AY63)</f>
        <v>0</v>
      </c>
      <c r="BA63" s="207">
        <f>+IF($B63&gt;Coverage,0,ROUND((BB62+($F63+$G63-$H63-$Q63)*PML_FI)*(1+VLOOKUP(BA$3,Assumption!$H$35:$K$43,4,0))^0.5-($M63+$R63)*PML_FI-($S63*PML_FI*BB62),0))</f>
        <v>0</v>
      </c>
      <c r="BB63" s="207">
        <f>+IF($B63&gt;Coverage,0,ROUND(BA63*(1+VLOOKUP(BA$3,Assumption!$H$35:$K$43,4,0))^0.5,0))</f>
        <v>0</v>
      </c>
      <c r="BC63" s="207">
        <f>+IF($B63="",0,(1-VLOOKUP(MIN($B63,6),Assumption!$M$10:$N$16,2))*BB63)</f>
        <v>0</v>
      </c>
    </row>
    <row r="64" ht="14.25" customHeight="1">
      <c r="A64" s="126">
        <v>57.0</v>
      </c>
      <c r="B64" s="129" t="str">
        <f>+IF(A64&gt;Coverage,"",A64)</f>
        <v/>
      </c>
      <c r="C64" s="134" t="str">
        <f>+IF(B64=1,Insured_Age,IF(B64="","",C63+1))</f>
        <v/>
      </c>
      <c r="D64" s="134" t="str">
        <f>+IF(B64&gt;Coverage,"",IF(B64=1,input!$H$11,D63+1))</f>
        <v/>
      </c>
      <c r="E64" s="134" t="str">
        <f>IF(B64=1,premi_dasar,IF(B64&gt;Coverage,"",0))</f>
        <v/>
      </c>
      <c r="F64" s="134" t="str">
        <f>IF(B64&gt;Coverage,"",SUM(E64))</f>
        <v/>
      </c>
      <c r="G64" s="134" t="str">
        <f>IF(B64&gt;Coverage,"",SUMIFS(input!$E$38:$E$50,input!$C$38:$C$50,$C64))</f>
        <v/>
      </c>
      <c r="H64" s="134" t="str">
        <f>IF(B64&gt;Coverage,"",SUMIFS(input!$E$53:$E$87,input!$C$53:$C$87,$C64))</f>
        <v/>
      </c>
      <c r="I64" s="66" t="str">
        <f>+IF(B64="","",Sum_Assured*VLOOKUP(MIN(C64,10),Assumption!$M$19:$N$28,2,0))</f>
        <v/>
      </c>
      <c r="J64" s="66" t="str">
        <f>IF(B64="","",input!$D$33)</f>
        <v/>
      </c>
      <c r="K64" s="66" t="str">
        <f>IF(B64&gt;Coverage,"",VLOOKUP($C64,COI_Tab[],IF(sex="Male",2,3),0)*I64*(1+EM_Basic)/1000)</f>
        <v/>
      </c>
      <c r="L64" s="66" t="str">
        <f>IF(B64&gt;Coverage,"",VLOOKUP($C64,COI_Tab[],4,0)*J64*(1+EM_Basic)/1000)</f>
        <v/>
      </c>
      <c r="M64" s="207" t="str">
        <f>IF(B64&gt;Coverage,"",ROUND(K64+L64,0))</f>
        <v/>
      </c>
      <c r="N64" s="134" t="str">
        <f>IF(B64&gt;Coverage,"",VLOOKUP($B64,Assumption!$H$11:$I$15,2)*E64)</f>
        <v/>
      </c>
      <c r="O64" s="134" t="str">
        <f>IF(B64&gt;Coverage,"",Assumption!$J$11*$G64)</f>
        <v/>
      </c>
      <c r="P64" s="134" t="str">
        <f>IF(B64&gt;Coverage,"",H64*VLOOKUP(MIN(B64,6),Assumption!$M$11:$N$16,2,0))</f>
        <v/>
      </c>
      <c r="Q64" s="134" t="str">
        <f>IF(B64&gt;Coverage,"",SUM(N64:P64))</f>
        <v/>
      </c>
      <c r="R64" s="207" t="str">
        <f>+IF($B64&gt;Coverage,"",Assumption!$I$18*12)</f>
        <v/>
      </c>
      <c r="S64" s="208" t="str">
        <f>+IF($B64&gt;Coverage,"",Assumption!$I$20)</f>
        <v/>
      </c>
      <c r="T64" s="207">
        <f>+IF($B64&gt;Coverage,0,ROUND((U63+($F64+$G64-$H64-$Q64)*PML_LF)*(1+VLOOKUP(T$3,Assumption!$H$35:$K$43,2,0))^0.5-($M64+$R64)*PML_LF-($S64*PML_LF*U63),0))</f>
        <v>0</v>
      </c>
      <c r="U64" s="207">
        <f>+IF($B64&gt;Coverage,0,ROUND(T64*(1+VLOOKUP(T$3,Assumption!$H$35:$K$43,2,0))^0.5,0))</f>
        <v>0</v>
      </c>
      <c r="V64" s="207">
        <f>+IF($B64="",0,(1-VLOOKUP(MIN($B64,6),Assumption!$M$10:$N$16,2))*U64)</f>
        <v>0</v>
      </c>
      <c r="W64" s="207">
        <f>+IF($B64&gt;Coverage,0,ROUND((X63+($F64+$G64-$H64-$Q64)*PML_BF)*(1+VLOOKUP(W$3,Assumption!$H$35:$K$43,2,0))^0.5-($M64+$R64)*PML_BF-($S64*PML_BF*X63),0))</f>
        <v>0</v>
      </c>
      <c r="X64" s="207">
        <f>+IF($B64&gt;Coverage,0,ROUND(W64*(1+VLOOKUP(W$3,Assumption!$H$35:$K$43,2,0))^0.5,0))</f>
        <v>0</v>
      </c>
      <c r="Y64" s="207">
        <f>+IF($B64="",0,(1-VLOOKUP(MIN($B64,6),Assumption!$M$10:$N$16,2))*X64)</f>
        <v>0</v>
      </c>
      <c r="Z64" s="207">
        <f>+IF($B64&gt;Coverage,0,ROUND((AA63+($F64+$G64-$H64-$Q64)*PML_EF)*(1+VLOOKUP(Z$3,Assumption!$H$35:$K$43,2,0))^0.5-($M64+$R64)*PML_EF-($S64*PML_EF*AA63),0))</f>
        <v>0</v>
      </c>
      <c r="AA64" s="207">
        <f>+IF($B64&gt;Coverage,0,ROUND(Z64*(1+VLOOKUP(Z$3,Assumption!$H$35:$K$43,2,0))^0.5,0))</f>
        <v>0</v>
      </c>
      <c r="AB64" s="207">
        <f>+IF($B64="",0,(1-VLOOKUP(MIN($B64,6),Assumption!$M$10:$N$16,2))*AA64)</f>
        <v>0</v>
      </c>
      <c r="AC64" s="207">
        <f>+IF($B64&gt;Coverage,0,ROUND((AD63+($F64+$G64-$H64-$Q64)*PML_FI)*(1+VLOOKUP(AC$3,Assumption!$H$35:$K$43,2,0))^0.5-($M64+$R64)*PML_FI-($S64*PML_FI*AD63),0))</f>
        <v>0</v>
      </c>
      <c r="AD64" s="207">
        <f>+IF($B64&gt;Coverage,0,ROUND(AC64*(1+VLOOKUP(AC$3,Assumption!$H$35:$K$43,2,0))^0.5,0))</f>
        <v>0</v>
      </c>
      <c r="AE64" s="207">
        <f>+IF($B64="",0,(1-VLOOKUP(MIN($B64,6),Assumption!$M$10:$N$16,2))*AD64)</f>
        <v>0</v>
      </c>
      <c r="AF64" s="207">
        <f>+IF($B64&gt;Coverage,0,ROUND((AG63+($F64+$G64-$H64-$Q64)*PML_LF)*(1+VLOOKUP(AF$3,Assumption!$H$35:$K$43,3,0))^0.5-($M64+$R64)*PML_LF-($S64*PML_LF*AG63),0))</f>
        <v>0</v>
      </c>
      <c r="AG64" s="207">
        <f>+IF($B64&gt;Coverage,0,ROUND(AF64*(1+VLOOKUP(AF$3,Assumption!$H$35:$K$43,3,0))^0.5,0))</f>
        <v>0</v>
      </c>
      <c r="AH64" s="207">
        <f>+IF($B64="",0,(1-VLOOKUP(MIN($B64,6),Assumption!$M$10:$N$16,2))*AG64)</f>
        <v>0</v>
      </c>
      <c r="AI64" s="207">
        <f>+IF($B64&gt;Coverage,0,ROUND((AJ63+($F64+$G64-$H64-$Q64)*PML_BF)*(1+VLOOKUP(AI$3,Assumption!$H$35:$K$43,3,0))^0.5-($M64+$R64)*PML_BF-($S64*PML_BF*AJ63),0))</f>
        <v>0</v>
      </c>
      <c r="AJ64" s="207">
        <f>+IF($B64&gt;Coverage,0,ROUND(AI64*(1+VLOOKUP(AI$3,Assumption!$H$35:$K$43,3,0))^0.5,0))</f>
        <v>0</v>
      </c>
      <c r="AK64" s="207">
        <f>+IF($B64="",0,(1-VLOOKUP(MIN($B64,6),Assumption!$M$10:$N$16,2))*AJ64)</f>
        <v>0</v>
      </c>
      <c r="AL64" s="207">
        <f>+IF($B64&gt;Coverage,0,ROUND((AM63+($F64+$G64-$H64-$Q64)*PML_EF)*(1+VLOOKUP(AL$3,Assumption!$H$35:$K$43,3,0))^0.5-($M64+$R64)*PML_EF-($S64*PML_EF*AM63),0))</f>
        <v>0</v>
      </c>
      <c r="AM64" s="207">
        <f>+IF($B64&gt;Coverage,0,ROUND(AL64*(1+VLOOKUP(AL$3,Assumption!$H$35:$K$43,3,0))^0.5,0))</f>
        <v>0</v>
      </c>
      <c r="AN64" s="207">
        <f>+IF($B64="",0,(1-VLOOKUP(MIN($B64,6),Assumption!$M$10:$N$16,2))*AM64)</f>
        <v>0</v>
      </c>
      <c r="AO64" s="207">
        <f>+IF($B64&gt;Coverage,0,ROUND((AP63+($F64+$G64-$H64-$Q64)*PML_FI)*(1+VLOOKUP(AO$3,Assumption!$H$35:$K$43,3,0))^0.5-($M64+$R64)*PML_FI-($S64*PML_FI*AP63),0))</f>
        <v>0</v>
      </c>
      <c r="AP64" s="207">
        <f>+IF($B64&gt;Coverage,0,ROUND(AO64*(1+VLOOKUP(AO$3,Assumption!$H$35:$K$43,3,0))^0.5,0))</f>
        <v>0</v>
      </c>
      <c r="AQ64" s="207">
        <f>+IF($B64="",0,(1-VLOOKUP(MIN($B64,6),Assumption!$M$10:$N$16,2))*AP64)</f>
        <v>0</v>
      </c>
      <c r="AR64" s="207">
        <f>+IF($B64&gt;Coverage,0,ROUND((AS63+($F64+$G64-$H64-$Q64)*PML_LF)*(1+VLOOKUP(AR$3,Assumption!$H$35:$K$43,4,0))^0.5-($M64+$R64)*PML_LF-($S64*PML_LF*AS63),0))</f>
        <v>0</v>
      </c>
      <c r="AS64" s="207">
        <f>+IF($B64&gt;Coverage,0,ROUND(AR64*(1+VLOOKUP(AR$3,Assumption!$H$35:$K$43,4,0))^0.5,0))</f>
        <v>0</v>
      </c>
      <c r="AT64" s="207">
        <f>+IF($B64="",0,(1-VLOOKUP(MIN($B64,6),Assumption!$M$10:$N$16,2))*AS64)</f>
        <v>0</v>
      </c>
      <c r="AU64" s="207">
        <f>+IF($B64&gt;Coverage,0,ROUND((AV63+($F64+$G64-$H64-$Q64)*PML_BF)*(1+VLOOKUP(AU$3,Assumption!$H$35:$K$43,4,0))^0.5-($M64+$R64)*PML_BF-($S64*PML_BF*AV63),0))</f>
        <v>0</v>
      </c>
      <c r="AV64" s="207">
        <f>+IF($B64&gt;Coverage,0,ROUND(AU64*(1+VLOOKUP(AU$3,Assumption!$H$35:$K$43,4,0))^0.5,0))</f>
        <v>0</v>
      </c>
      <c r="AW64" s="207">
        <f>+IF($B64="",0,(1-VLOOKUP(MIN($B64,6),Assumption!$M$10:$N$16,2))*AV64)</f>
        <v>0</v>
      </c>
      <c r="AX64" s="207">
        <f>+IF($B64&gt;Coverage,0,ROUND((AY63+($F64+$G64-$H64-$Q64)*PML_EF)*(1+VLOOKUP(AX$3,Assumption!$H$35:$K$43,4,0))^0.5-($M64+$R64)*PML_EF-($S64*PML_EF*AY63),0))</f>
        <v>0</v>
      </c>
      <c r="AY64" s="207">
        <f>+IF($B64&gt;Coverage,0,ROUND(AX64*(1+VLOOKUP(AX$3,Assumption!$H$35:$K$43,4,0))^0.5,0))</f>
        <v>0</v>
      </c>
      <c r="AZ64" s="207">
        <f>+IF($B64="",0,(1-VLOOKUP(MIN($B64,6),Assumption!$M$10:$N$16,2))*AY64)</f>
        <v>0</v>
      </c>
      <c r="BA64" s="207">
        <f>+IF($B64&gt;Coverage,0,ROUND((BB63+($F64+$G64-$H64-$Q64)*PML_FI)*(1+VLOOKUP(BA$3,Assumption!$H$35:$K$43,4,0))^0.5-($M64+$R64)*PML_FI-($S64*PML_FI*BB63),0))</f>
        <v>0</v>
      </c>
      <c r="BB64" s="207">
        <f>+IF($B64&gt;Coverage,0,ROUND(BA64*(1+VLOOKUP(BA$3,Assumption!$H$35:$K$43,4,0))^0.5,0))</f>
        <v>0</v>
      </c>
      <c r="BC64" s="207">
        <f>+IF($B64="",0,(1-VLOOKUP(MIN($B64,6),Assumption!$M$10:$N$16,2))*BB64)</f>
        <v>0</v>
      </c>
    </row>
    <row r="65" ht="14.25" customHeight="1">
      <c r="A65" s="126">
        <v>58.0</v>
      </c>
      <c r="B65" s="129" t="str">
        <f>+IF(A65&gt;Coverage,"",A65)</f>
        <v/>
      </c>
      <c r="C65" s="134" t="str">
        <f>+IF(B65=1,Insured_Age,IF(B65="","",C64+1))</f>
        <v/>
      </c>
      <c r="D65" s="134" t="str">
        <f>+IF(B65&gt;Coverage,"",IF(B65=1,input!$H$11,D64+1))</f>
        <v/>
      </c>
      <c r="E65" s="134" t="str">
        <f>IF(B65=1,premi_dasar,IF(B65&gt;Coverage,"",0))</f>
        <v/>
      </c>
      <c r="F65" s="134" t="str">
        <f>IF(B65&gt;Coverage,"",SUM(E65))</f>
        <v/>
      </c>
      <c r="G65" s="134" t="str">
        <f>IF(B65&gt;Coverage,"",SUMIFS(input!$E$38:$E$50,input!$C$38:$C$50,$C65))</f>
        <v/>
      </c>
      <c r="H65" s="134" t="str">
        <f>IF(B65&gt;Coverage,"",SUMIFS(input!$E$53:$E$87,input!$C$53:$C$87,$C65))</f>
        <v/>
      </c>
      <c r="I65" s="66" t="str">
        <f>+IF(B65="","",Sum_Assured*VLOOKUP(MIN(C65,10),Assumption!$M$19:$N$28,2,0))</f>
        <v/>
      </c>
      <c r="J65" s="66" t="str">
        <f>IF(B65="","",input!$D$33)</f>
        <v/>
      </c>
      <c r="K65" s="66" t="str">
        <f>IF(B65&gt;Coverage,"",VLOOKUP($C65,COI_Tab[],IF(sex="Male",2,3),0)*I65*(1+EM_Basic)/1000)</f>
        <v/>
      </c>
      <c r="L65" s="66" t="str">
        <f>IF(B65&gt;Coverage,"",VLOOKUP($C65,COI_Tab[],4,0)*J65*(1+EM_Basic)/1000)</f>
        <v/>
      </c>
      <c r="M65" s="207" t="str">
        <f>IF(B65&gt;Coverage,"",ROUND(K65+L65,0))</f>
        <v/>
      </c>
      <c r="N65" s="134" t="str">
        <f>IF(B65&gt;Coverage,"",VLOOKUP($B65,Assumption!$H$11:$I$15,2)*E65)</f>
        <v/>
      </c>
      <c r="O65" s="134" t="str">
        <f>IF(B65&gt;Coverage,"",Assumption!$J$11*$G65)</f>
        <v/>
      </c>
      <c r="P65" s="134" t="str">
        <f>IF(B65&gt;Coverage,"",H65*VLOOKUP(MIN(B65,6),Assumption!$M$11:$N$16,2,0))</f>
        <v/>
      </c>
      <c r="Q65" s="134" t="str">
        <f>IF(B65&gt;Coverage,"",SUM(N65:P65))</f>
        <v/>
      </c>
      <c r="R65" s="207" t="str">
        <f>+IF($B65&gt;Coverage,"",Assumption!$I$18*12)</f>
        <v/>
      </c>
      <c r="S65" s="208" t="str">
        <f>+IF($B65&gt;Coverage,"",Assumption!$I$20)</f>
        <v/>
      </c>
      <c r="T65" s="207">
        <f>+IF($B65&gt;Coverage,0,ROUND((U64+($F65+$G65-$H65-$Q65)*PML_LF)*(1+VLOOKUP(T$3,Assumption!$H$35:$K$43,2,0))^0.5-($M65+$R65)*PML_LF-($S65*PML_LF*U64),0))</f>
        <v>0</v>
      </c>
      <c r="U65" s="207">
        <f>+IF($B65&gt;Coverage,0,ROUND(T65*(1+VLOOKUP(T$3,Assumption!$H$35:$K$43,2,0))^0.5,0))</f>
        <v>0</v>
      </c>
      <c r="V65" s="207">
        <f>+IF($B65="",0,(1-VLOOKUP(MIN($B65,6),Assumption!$M$10:$N$16,2))*U65)</f>
        <v>0</v>
      </c>
      <c r="W65" s="207">
        <f>+IF($B65&gt;Coverage,0,ROUND((X64+($F65+$G65-$H65-$Q65)*PML_BF)*(1+VLOOKUP(W$3,Assumption!$H$35:$K$43,2,0))^0.5-($M65+$R65)*PML_BF-($S65*PML_BF*X64),0))</f>
        <v>0</v>
      </c>
      <c r="X65" s="207">
        <f>+IF($B65&gt;Coverage,0,ROUND(W65*(1+VLOOKUP(W$3,Assumption!$H$35:$K$43,2,0))^0.5,0))</f>
        <v>0</v>
      </c>
      <c r="Y65" s="207">
        <f>+IF($B65="",0,(1-VLOOKUP(MIN($B65,6),Assumption!$M$10:$N$16,2))*X65)</f>
        <v>0</v>
      </c>
      <c r="Z65" s="207">
        <f>+IF($B65&gt;Coverage,0,ROUND((AA64+($F65+$G65-$H65-$Q65)*PML_EF)*(1+VLOOKUP(Z$3,Assumption!$H$35:$K$43,2,0))^0.5-($M65+$R65)*PML_EF-($S65*PML_EF*AA64),0))</f>
        <v>0</v>
      </c>
      <c r="AA65" s="207">
        <f>+IF($B65&gt;Coverage,0,ROUND(Z65*(1+VLOOKUP(Z$3,Assumption!$H$35:$K$43,2,0))^0.5,0))</f>
        <v>0</v>
      </c>
      <c r="AB65" s="207">
        <f>+IF($B65="",0,(1-VLOOKUP(MIN($B65,6),Assumption!$M$10:$N$16,2))*AA65)</f>
        <v>0</v>
      </c>
      <c r="AC65" s="207">
        <f>+IF($B65&gt;Coverage,0,ROUND((AD64+($F65+$G65-$H65-$Q65)*PML_FI)*(1+VLOOKUP(AC$3,Assumption!$H$35:$K$43,2,0))^0.5-($M65+$R65)*PML_FI-($S65*PML_FI*AD64),0))</f>
        <v>0</v>
      </c>
      <c r="AD65" s="207">
        <f>+IF($B65&gt;Coverage,0,ROUND(AC65*(1+VLOOKUP(AC$3,Assumption!$H$35:$K$43,2,0))^0.5,0))</f>
        <v>0</v>
      </c>
      <c r="AE65" s="207">
        <f>+IF($B65="",0,(1-VLOOKUP(MIN($B65,6),Assumption!$M$10:$N$16,2))*AD65)</f>
        <v>0</v>
      </c>
      <c r="AF65" s="207">
        <f>+IF($B65&gt;Coverage,0,ROUND((AG64+($F65+$G65-$H65-$Q65)*PML_LF)*(1+VLOOKUP(AF$3,Assumption!$H$35:$K$43,3,0))^0.5-($M65+$R65)*PML_LF-($S65*PML_LF*AG64),0))</f>
        <v>0</v>
      </c>
      <c r="AG65" s="207">
        <f>+IF($B65&gt;Coverage,0,ROUND(AF65*(1+VLOOKUP(AF$3,Assumption!$H$35:$K$43,3,0))^0.5,0))</f>
        <v>0</v>
      </c>
      <c r="AH65" s="207">
        <f>+IF($B65="",0,(1-VLOOKUP(MIN($B65,6),Assumption!$M$10:$N$16,2))*AG65)</f>
        <v>0</v>
      </c>
      <c r="AI65" s="207">
        <f>+IF($B65&gt;Coverage,0,ROUND((AJ64+($F65+$G65-$H65-$Q65)*PML_BF)*(1+VLOOKUP(AI$3,Assumption!$H$35:$K$43,3,0))^0.5-($M65+$R65)*PML_BF-($S65*PML_BF*AJ64),0))</f>
        <v>0</v>
      </c>
      <c r="AJ65" s="207">
        <f>+IF($B65&gt;Coverage,0,ROUND(AI65*(1+VLOOKUP(AI$3,Assumption!$H$35:$K$43,3,0))^0.5,0))</f>
        <v>0</v>
      </c>
      <c r="AK65" s="207">
        <f>+IF($B65="",0,(1-VLOOKUP(MIN($B65,6),Assumption!$M$10:$N$16,2))*AJ65)</f>
        <v>0</v>
      </c>
      <c r="AL65" s="207">
        <f>+IF($B65&gt;Coverage,0,ROUND((AM64+($F65+$G65-$H65-$Q65)*PML_EF)*(1+VLOOKUP(AL$3,Assumption!$H$35:$K$43,3,0))^0.5-($M65+$R65)*PML_EF-($S65*PML_EF*AM64),0))</f>
        <v>0</v>
      </c>
      <c r="AM65" s="207">
        <f>+IF($B65&gt;Coverage,0,ROUND(AL65*(1+VLOOKUP(AL$3,Assumption!$H$35:$K$43,3,0))^0.5,0))</f>
        <v>0</v>
      </c>
      <c r="AN65" s="207">
        <f>+IF($B65="",0,(1-VLOOKUP(MIN($B65,6),Assumption!$M$10:$N$16,2))*AM65)</f>
        <v>0</v>
      </c>
      <c r="AO65" s="207">
        <f>+IF($B65&gt;Coverage,0,ROUND((AP64+($F65+$G65-$H65-$Q65)*PML_FI)*(1+VLOOKUP(AO$3,Assumption!$H$35:$K$43,3,0))^0.5-($M65+$R65)*PML_FI-($S65*PML_FI*AP64),0))</f>
        <v>0</v>
      </c>
      <c r="AP65" s="207">
        <f>+IF($B65&gt;Coverage,0,ROUND(AO65*(1+VLOOKUP(AO$3,Assumption!$H$35:$K$43,3,0))^0.5,0))</f>
        <v>0</v>
      </c>
      <c r="AQ65" s="207">
        <f>+IF($B65="",0,(1-VLOOKUP(MIN($B65,6),Assumption!$M$10:$N$16,2))*AP65)</f>
        <v>0</v>
      </c>
      <c r="AR65" s="207">
        <f>+IF($B65&gt;Coverage,0,ROUND((AS64+($F65+$G65-$H65-$Q65)*PML_LF)*(1+VLOOKUP(AR$3,Assumption!$H$35:$K$43,4,0))^0.5-($M65+$R65)*PML_LF-($S65*PML_LF*AS64),0))</f>
        <v>0</v>
      </c>
      <c r="AS65" s="207">
        <f>+IF($B65&gt;Coverage,0,ROUND(AR65*(1+VLOOKUP(AR$3,Assumption!$H$35:$K$43,4,0))^0.5,0))</f>
        <v>0</v>
      </c>
      <c r="AT65" s="207">
        <f>+IF($B65="",0,(1-VLOOKUP(MIN($B65,6),Assumption!$M$10:$N$16,2))*AS65)</f>
        <v>0</v>
      </c>
      <c r="AU65" s="207">
        <f>+IF($B65&gt;Coverage,0,ROUND((AV64+($F65+$G65-$H65-$Q65)*PML_BF)*(1+VLOOKUP(AU$3,Assumption!$H$35:$K$43,4,0))^0.5-($M65+$R65)*PML_BF-($S65*PML_BF*AV64),0))</f>
        <v>0</v>
      </c>
      <c r="AV65" s="207">
        <f>+IF($B65&gt;Coverage,0,ROUND(AU65*(1+VLOOKUP(AU$3,Assumption!$H$35:$K$43,4,0))^0.5,0))</f>
        <v>0</v>
      </c>
      <c r="AW65" s="207">
        <f>+IF($B65="",0,(1-VLOOKUP(MIN($B65,6),Assumption!$M$10:$N$16,2))*AV65)</f>
        <v>0</v>
      </c>
      <c r="AX65" s="207">
        <f>+IF($B65&gt;Coverage,0,ROUND((AY64+($F65+$G65-$H65-$Q65)*PML_EF)*(1+VLOOKUP(AX$3,Assumption!$H$35:$K$43,4,0))^0.5-($M65+$R65)*PML_EF-($S65*PML_EF*AY64),0))</f>
        <v>0</v>
      </c>
      <c r="AY65" s="207">
        <f>+IF($B65&gt;Coverage,0,ROUND(AX65*(1+VLOOKUP(AX$3,Assumption!$H$35:$K$43,4,0))^0.5,0))</f>
        <v>0</v>
      </c>
      <c r="AZ65" s="207">
        <f>+IF($B65="",0,(1-VLOOKUP(MIN($B65,6),Assumption!$M$10:$N$16,2))*AY65)</f>
        <v>0</v>
      </c>
      <c r="BA65" s="207">
        <f>+IF($B65&gt;Coverage,0,ROUND((BB64+($F65+$G65-$H65-$Q65)*PML_FI)*(1+VLOOKUP(BA$3,Assumption!$H$35:$K$43,4,0))^0.5-($M65+$R65)*PML_FI-($S65*PML_FI*BB64),0))</f>
        <v>0</v>
      </c>
      <c r="BB65" s="207">
        <f>+IF($B65&gt;Coverage,0,ROUND(BA65*(1+VLOOKUP(BA$3,Assumption!$H$35:$K$43,4,0))^0.5,0))</f>
        <v>0</v>
      </c>
      <c r="BC65" s="207">
        <f>+IF($B65="",0,(1-VLOOKUP(MIN($B65,6),Assumption!$M$10:$N$16,2))*BB65)</f>
        <v>0</v>
      </c>
    </row>
    <row r="66" ht="14.25" customHeight="1">
      <c r="A66" s="126">
        <v>59.0</v>
      </c>
      <c r="B66" s="129" t="str">
        <f>+IF(A66&gt;Coverage,"",A66)</f>
        <v/>
      </c>
      <c r="C66" s="134" t="str">
        <f>+IF(B66=1,Insured_Age,IF(B66="","",C65+1))</f>
        <v/>
      </c>
      <c r="D66" s="134" t="str">
        <f>+IF(B66&gt;Coverage,"",IF(B66=1,input!$H$11,D65+1))</f>
        <v/>
      </c>
      <c r="E66" s="134" t="str">
        <f>IF(B66=1,premi_dasar,IF(B66&gt;Coverage,"",0))</f>
        <v/>
      </c>
      <c r="F66" s="134" t="str">
        <f>IF(B66&gt;Coverage,"",SUM(E66))</f>
        <v/>
      </c>
      <c r="G66" s="134" t="str">
        <f>IF(B66&gt;Coverage,"",SUMIFS(input!$E$38:$E$50,input!$C$38:$C$50,$C66))</f>
        <v/>
      </c>
      <c r="H66" s="134" t="str">
        <f>IF(B66&gt;Coverage,"",SUMIFS(input!$E$53:$E$87,input!$C$53:$C$87,$C66))</f>
        <v/>
      </c>
      <c r="I66" s="66" t="str">
        <f>+IF(B66="","",Sum_Assured*VLOOKUP(MIN(C66,10),Assumption!$M$19:$N$28,2,0))</f>
        <v/>
      </c>
      <c r="J66" s="66" t="str">
        <f>IF(B66="","",input!$D$33)</f>
        <v/>
      </c>
      <c r="K66" s="66" t="str">
        <f>IF(B66&gt;Coverage,"",VLOOKUP($C66,COI_Tab[],IF(sex="Male",2,3),0)*I66*(1+EM_Basic)/1000)</f>
        <v/>
      </c>
      <c r="L66" s="66" t="str">
        <f>IF(B66&gt;Coverage,"",VLOOKUP($C66,COI_Tab[],4,0)*J66*(1+EM_Basic)/1000)</f>
        <v/>
      </c>
      <c r="M66" s="207" t="str">
        <f>IF(B66&gt;Coverage,"",ROUND(K66+L66,0))</f>
        <v/>
      </c>
      <c r="N66" s="134" t="str">
        <f>IF(B66&gt;Coverage,"",VLOOKUP($B66,Assumption!$H$11:$I$15,2)*E66)</f>
        <v/>
      </c>
      <c r="O66" s="134" t="str">
        <f>IF(B66&gt;Coverage,"",Assumption!$J$11*$G66)</f>
        <v/>
      </c>
      <c r="P66" s="134" t="str">
        <f>IF(B66&gt;Coverage,"",H66*VLOOKUP(MIN(B66,6),Assumption!$M$11:$N$16,2,0))</f>
        <v/>
      </c>
      <c r="Q66" s="134" t="str">
        <f>IF(B66&gt;Coverage,"",SUM(N66:P66))</f>
        <v/>
      </c>
      <c r="R66" s="207" t="str">
        <f>+IF($B66&gt;Coverage,"",Assumption!$I$18*12)</f>
        <v/>
      </c>
      <c r="S66" s="208" t="str">
        <f>+IF($B66&gt;Coverage,"",Assumption!$I$20)</f>
        <v/>
      </c>
      <c r="T66" s="207">
        <f>+IF($B66&gt;Coverage,0,ROUND((U65+($F66+$G66-$H66-$Q66)*PML_LF)*(1+VLOOKUP(T$3,Assumption!$H$35:$K$43,2,0))^0.5-($M66+$R66)*PML_LF-($S66*PML_LF*U65),0))</f>
        <v>0</v>
      </c>
      <c r="U66" s="207">
        <f>+IF($B66&gt;Coverage,0,ROUND(T66*(1+VLOOKUP(T$3,Assumption!$H$35:$K$43,2,0))^0.5,0))</f>
        <v>0</v>
      </c>
      <c r="V66" s="207">
        <f>+IF($B66="",0,(1-VLOOKUP(MIN($B66,6),Assumption!$M$10:$N$16,2))*U66)</f>
        <v>0</v>
      </c>
      <c r="W66" s="207">
        <f>+IF($B66&gt;Coverage,0,ROUND((X65+($F66+$G66-$H66-$Q66)*PML_BF)*(1+VLOOKUP(W$3,Assumption!$H$35:$K$43,2,0))^0.5-($M66+$R66)*PML_BF-($S66*PML_BF*X65),0))</f>
        <v>0</v>
      </c>
      <c r="X66" s="207">
        <f>+IF($B66&gt;Coverage,0,ROUND(W66*(1+VLOOKUP(W$3,Assumption!$H$35:$K$43,2,0))^0.5,0))</f>
        <v>0</v>
      </c>
      <c r="Y66" s="207">
        <f>+IF($B66="",0,(1-VLOOKUP(MIN($B66,6),Assumption!$M$10:$N$16,2))*X66)</f>
        <v>0</v>
      </c>
      <c r="Z66" s="207">
        <f>+IF($B66&gt;Coverage,0,ROUND((AA65+($F66+$G66-$H66-$Q66)*PML_EF)*(1+VLOOKUP(Z$3,Assumption!$H$35:$K$43,2,0))^0.5-($M66+$R66)*PML_EF-($S66*PML_EF*AA65),0))</f>
        <v>0</v>
      </c>
      <c r="AA66" s="207">
        <f>+IF($B66&gt;Coverage,0,ROUND(Z66*(1+VLOOKUP(Z$3,Assumption!$H$35:$K$43,2,0))^0.5,0))</f>
        <v>0</v>
      </c>
      <c r="AB66" s="207">
        <f>+IF($B66="",0,(1-VLOOKUP(MIN($B66,6),Assumption!$M$10:$N$16,2))*AA66)</f>
        <v>0</v>
      </c>
      <c r="AC66" s="207">
        <f>+IF($B66&gt;Coverage,0,ROUND((AD65+($F66+$G66-$H66-$Q66)*PML_FI)*(1+VLOOKUP(AC$3,Assumption!$H$35:$K$43,2,0))^0.5-($M66+$R66)*PML_FI-($S66*PML_FI*AD65),0))</f>
        <v>0</v>
      </c>
      <c r="AD66" s="207">
        <f>+IF($B66&gt;Coverage,0,ROUND(AC66*(1+VLOOKUP(AC$3,Assumption!$H$35:$K$43,2,0))^0.5,0))</f>
        <v>0</v>
      </c>
      <c r="AE66" s="207">
        <f>+IF($B66="",0,(1-VLOOKUP(MIN($B66,6),Assumption!$M$10:$N$16,2))*AD66)</f>
        <v>0</v>
      </c>
      <c r="AF66" s="207">
        <f>+IF($B66&gt;Coverage,0,ROUND((AG65+($F66+$G66-$H66-$Q66)*PML_LF)*(1+VLOOKUP(AF$3,Assumption!$H$35:$K$43,3,0))^0.5-($M66+$R66)*PML_LF-($S66*PML_LF*AG65),0))</f>
        <v>0</v>
      </c>
      <c r="AG66" s="207">
        <f>+IF($B66&gt;Coverage,0,ROUND(AF66*(1+VLOOKUP(AF$3,Assumption!$H$35:$K$43,3,0))^0.5,0))</f>
        <v>0</v>
      </c>
      <c r="AH66" s="207">
        <f>+IF($B66="",0,(1-VLOOKUP(MIN($B66,6),Assumption!$M$10:$N$16,2))*AG66)</f>
        <v>0</v>
      </c>
      <c r="AI66" s="207">
        <f>+IF($B66&gt;Coverage,0,ROUND((AJ65+($F66+$G66-$H66-$Q66)*PML_BF)*(1+VLOOKUP(AI$3,Assumption!$H$35:$K$43,3,0))^0.5-($M66+$R66)*PML_BF-($S66*PML_BF*AJ65),0))</f>
        <v>0</v>
      </c>
      <c r="AJ66" s="207">
        <f>+IF($B66&gt;Coverage,0,ROUND(AI66*(1+VLOOKUP(AI$3,Assumption!$H$35:$K$43,3,0))^0.5,0))</f>
        <v>0</v>
      </c>
      <c r="AK66" s="207">
        <f>+IF($B66="",0,(1-VLOOKUP(MIN($B66,6),Assumption!$M$10:$N$16,2))*AJ66)</f>
        <v>0</v>
      </c>
      <c r="AL66" s="207">
        <f>+IF($B66&gt;Coverage,0,ROUND((AM65+($F66+$G66-$H66-$Q66)*PML_EF)*(1+VLOOKUP(AL$3,Assumption!$H$35:$K$43,3,0))^0.5-($M66+$R66)*PML_EF-($S66*PML_EF*AM65),0))</f>
        <v>0</v>
      </c>
      <c r="AM66" s="207">
        <f>+IF($B66&gt;Coverage,0,ROUND(AL66*(1+VLOOKUP(AL$3,Assumption!$H$35:$K$43,3,0))^0.5,0))</f>
        <v>0</v>
      </c>
      <c r="AN66" s="207">
        <f>+IF($B66="",0,(1-VLOOKUP(MIN($B66,6),Assumption!$M$10:$N$16,2))*AM66)</f>
        <v>0</v>
      </c>
      <c r="AO66" s="207">
        <f>+IF($B66&gt;Coverage,0,ROUND((AP65+($F66+$G66-$H66-$Q66)*PML_FI)*(1+VLOOKUP(AO$3,Assumption!$H$35:$K$43,3,0))^0.5-($M66+$R66)*PML_FI-($S66*PML_FI*AP65),0))</f>
        <v>0</v>
      </c>
      <c r="AP66" s="207">
        <f>+IF($B66&gt;Coverage,0,ROUND(AO66*(1+VLOOKUP(AO$3,Assumption!$H$35:$K$43,3,0))^0.5,0))</f>
        <v>0</v>
      </c>
      <c r="AQ66" s="207">
        <f>+IF($B66="",0,(1-VLOOKUP(MIN($B66,6),Assumption!$M$10:$N$16,2))*AP66)</f>
        <v>0</v>
      </c>
      <c r="AR66" s="207">
        <f>+IF($B66&gt;Coverage,0,ROUND((AS65+($F66+$G66-$H66-$Q66)*PML_LF)*(1+VLOOKUP(AR$3,Assumption!$H$35:$K$43,4,0))^0.5-($M66+$R66)*PML_LF-($S66*PML_LF*AS65),0))</f>
        <v>0</v>
      </c>
      <c r="AS66" s="207">
        <f>+IF($B66&gt;Coverage,0,ROUND(AR66*(1+VLOOKUP(AR$3,Assumption!$H$35:$K$43,4,0))^0.5,0))</f>
        <v>0</v>
      </c>
      <c r="AT66" s="207">
        <f>+IF($B66="",0,(1-VLOOKUP(MIN($B66,6),Assumption!$M$10:$N$16,2))*AS66)</f>
        <v>0</v>
      </c>
      <c r="AU66" s="207">
        <f>+IF($B66&gt;Coverage,0,ROUND((AV65+($F66+$G66-$H66-$Q66)*PML_BF)*(1+VLOOKUP(AU$3,Assumption!$H$35:$K$43,4,0))^0.5-($M66+$R66)*PML_BF-($S66*PML_BF*AV65),0))</f>
        <v>0</v>
      </c>
      <c r="AV66" s="207">
        <f>+IF($B66&gt;Coverage,0,ROUND(AU66*(1+VLOOKUP(AU$3,Assumption!$H$35:$K$43,4,0))^0.5,0))</f>
        <v>0</v>
      </c>
      <c r="AW66" s="207">
        <f>+IF($B66="",0,(1-VLOOKUP(MIN($B66,6),Assumption!$M$10:$N$16,2))*AV66)</f>
        <v>0</v>
      </c>
      <c r="AX66" s="207">
        <f>+IF($B66&gt;Coverage,0,ROUND((AY65+($F66+$G66-$H66-$Q66)*PML_EF)*(1+VLOOKUP(AX$3,Assumption!$H$35:$K$43,4,0))^0.5-($M66+$R66)*PML_EF-($S66*PML_EF*AY65),0))</f>
        <v>0</v>
      </c>
      <c r="AY66" s="207">
        <f>+IF($B66&gt;Coverage,0,ROUND(AX66*(1+VLOOKUP(AX$3,Assumption!$H$35:$K$43,4,0))^0.5,0))</f>
        <v>0</v>
      </c>
      <c r="AZ66" s="207">
        <f>+IF($B66="",0,(1-VLOOKUP(MIN($B66,6),Assumption!$M$10:$N$16,2))*AY66)</f>
        <v>0</v>
      </c>
      <c r="BA66" s="207">
        <f>+IF($B66&gt;Coverage,0,ROUND((BB65+($F66+$G66-$H66-$Q66)*PML_FI)*(1+VLOOKUP(BA$3,Assumption!$H$35:$K$43,4,0))^0.5-($M66+$R66)*PML_FI-($S66*PML_FI*BB65),0))</f>
        <v>0</v>
      </c>
      <c r="BB66" s="207">
        <f>+IF($B66&gt;Coverage,0,ROUND(BA66*(1+VLOOKUP(BA$3,Assumption!$H$35:$K$43,4,0))^0.5,0))</f>
        <v>0</v>
      </c>
      <c r="BC66" s="207">
        <f>+IF($B66="",0,(1-VLOOKUP(MIN($B66,6),Assumption!$M$10:$N$16,2))*BB66)</f>
        <v>0</v>
      </c>
    </row>
    <row r="67" ht="14.25" customHeight="1">
      <c r="A67" s="126">
        <v>60.0</v>
      </c>
      <c r="B67" s="129" t="str">
        <f>+IF(A67&gt;Coverage,"",A67)</f>
        <v/>
      </c>
      <c r="C67" s="134" t="str">
        <f>+IF(B67=1,Insured_Age,IF(B67="","",C66+1))</f>
        <v/>
      </c>
      <c r="D67" s="134" t="str">
        <f>+IF(B67&gt;Coverage,"",IF(B67=1,input!$H$11,D66+1))</f>
        <v/>
      </c>
      <c r="E67" s="134" t="str">
        <f>IF(B67=1,premi_dasar,IF(B67&gt;Coverage,"",0))</f>
        <v/>
      </c>
      <c r="F67" s="134" t="str">
        <f>IF(B67&gt;Coverage,"",SUM(E67))</f>
        <v/>
      </c>
      <c r="G67" s="134" t="str">
        <f>IF(B67&gt;Coverage,"",SUMIFS(input!$E$38:$E$50,input!$C$38:$C$50,$C67))</f>
        <v/>
      </c>
      <c r="H67" s="134" t="str">
        <f>IF(B67&gt;Coverage,"",SUMIFS(input!$E$53:$E$87,input!$C$53:$C$87,$C67))</f>
        <v/>
      </c>
      <c r="I67" s="66" t="str">
        <f>+IF(B67="","",Sum_Assured*VLOOKUP(MIN(C67,10),Assumption!$M$19:$N$28,2,0))</f>
        <v/>
      </c>
      <c r="J67" s="66" t="str">
        <f>IF(B67="","",input!$D$33)</f>
        <v/>
      </c>
      <c r="K67" s="66" t="str">
        <f>IF(B67&gt;Coverage,"",VLOOKUP($C67,COI_Tab[],IF(sex="Male",2,3),0)*I67*(1+EM_Basic)/1000)</f>
        <v/>
      </c>
      <c r="L67" s="66" t="str">
        <f>IF(B67&gt;Coverage,"",VLOOKUP($C67,COI_Tab[],4,0)*J67*(1+EM_Basic)/1000)</f>
        <v/>
      </c>
      <c r="M67" s="207" t="str">
        <f>IF(B67&gt;Coverage,"",ROUND(K67+L67,0))</f>
        <v/>
      </c>
      <c r="N67" s="134" t="str">
        <f>IF(B67&gt;Coverage,"",VLOOKUP($B67,Assumption!$H$11:$I$15,2)*E67)</f>
        <v/>
      </c>
      <c r="O67" s="134" t="str">
        <f>IF(B67&gt;Coverage,"",Assumption!$J$11*$G67)</f>
        <v/>
      </c>
      <c r="P67" s="134" t="str">
        <f>IF(B67&gt;Coverage,"",H67*VLOOKUP(MIN(B67,6),Assumption!$M$11:$N$16,2,0))</f>
        <v/>
      </c>
      <c r="Q67" s="134" t="str">
        <f>IF(B67&gt;Coverage,"",SUM(N67:P67))</f>
        <v/>
      </c>
      <c r="R67" s="207" t="str">
        <f>+IF($B67&gt;Coverage,"",Assumption!$I$18*12)</f>
        <v/>
      </c>
      <c r="S67" s="208" t="str">
        <f>+IF($B67&gt;Coverage,"",Assumption!$I$20)</f>
        <v/>
      </c>
      <c r="T67" s="207">
        <f>+IF($B67&gt;Coverage,0,ROUND((U66+($F67+$G67-$H67-$Q67)*PML_LF)*(1+VLOOKUP(T$3,Assumption!$H$35:$K$43,2,0))^0.5-($M67+$R67)*PML_LF-($S67*PML_LF*U66),0))</f>
        <v>0</v>
      </c>
      <c r="U67" s="207">
        <f>+IF($B67&gt;Coverage,0,ROUND(T67*(1+VLOOKUP(T$3,Assumption!$H$35:$K$43,2,0))^0.5,0))</f>
        <v>0</v>
      </c>
      <c r="V67" s="207">
        <f>+IF($B67="",0,(1-VLOOKUP(MIN($B67,6),Assumption!$M$10:$N$16,2))*U67)</f>
        <v>0</v>
      </c>
      <c r="W67" s="207">
        <f>+IF($B67&gt;Coverage,0,ROUND((X66+($F67+$G67-$H67-$Q67)*PML_BF)*(1+VLOOKUP(W$3,Assumption!$H$35:$K$43,2,0))^0.5-($M67+$R67)*PML_BF-($S67*PML_BF*X66),0))</f>
        <v>0</v>
      </c>
      <c r="X67" s="207">
        <f>+IF($B67&gt;Coverage,0,ROUND(W67*(1+VLOOKUP(W$3,Assumption!$H$35:$K$43,2,0))^0.5,0))</f>
        <v>0</v>
      </c>
      <c r="Y67" s="207">
        <f>+IF($B67="",0,(1-VLOOKUP(MIN($B67,6),Assumption!$M$10:$N$16,2))*X67)</f>
        <v>0</v>
      </c>
      <c r="Z67" s="207">
        <f>+IF($B67&gt;Coverage,0,ROUND((AA66+($F67+$G67-$H67-$Q67)*PML_EF)*(1+VLOOKUP(Z$3,Assumption!$H$35:$K$43,2,0))^0.5-($M67+$R67)*PML_EF-($S67*PML_EF*AA66),0))</f>
        <v>0</v>
      </c>
      <c r="AA67" s="207">
        <f>+IF($B67&gt;Coverage,0,ROUND(Z67*(1+VLOOKUP(Z$3,Assumption!$H$35:$K$43,2,0))^0.5,0))</f>
        <v>0</v>
      </c>
      <c r="AB67" s="207">
        <f>+IF($B67="",0,(1-VLOOKUP(MIN($B67,6),Assumption!$M$10:$N$16,2))*AA67)</f>
        <v>0</v>
      </c>
      <c r="AC67" s="207">
        <f>+IF($B67&gt;Coverage,0,ROUND((AD66+($F67+$G67-$H67-$Q67)*PML_FI)*(1+VLOOKUP(AC$3,Assumption!$H$35:$K$43,2,0))^0.5-($M67+$R67)*PML_FI-($S67*PML_FI*AD66),0))</f>
        <v>0</v>
      </c>
      <c r="AD67" s="207">
        <f>+IF($B67&gt;Coverage,0,ROUND(AC67*(1+VLOOKUP(AC$3,Assumption!$H$35:$K$43,2,0))^0.5,0))</f>
        <v>0</v>
      </c>
      <c r="AE67" s="207">
        <f>+IF($B67="",0,(1-VLOOKUP(MIN($B67,6),Assumption!$M$10:$N$16,2))*AD67)</f>
        <v>0</v>
      </c>
      <c r="AF67" s="207">
        <f>+IF($B67&gt;Coverage,0,ROUND((AG66+($F67+$G67-$H67-$Q67)*PML_LF)*(1+VLOOKUP(AF$3,Assumption!$H$35:$K$43,3,0))^0.5-($M67+$R67)*PML_LF-($S67*PML_LF*AG66),0))</f>
        <v>0</v>
      </c>
      <c r="AG67" s="207">
        <f>+IF($B67&gt;Coverage,0,ROUND(AF67*(1+VLOOKUP(AF$3,Assumption!$H$35:$K$43,3,0))^0.5,0))</f>
        <v>0</v>
      </c>
      <c r="AH67" s="207">
        <f>+IF($B67="",0,(1-VLOOKUP(MIN($B67,6),Assumption!$M$10:$N$16,2))*AG67)</f>
        <v>0</v>
      </c>
      <c r="AI67" s="207">
        <f>+IF($B67&gt;Coverage,0,ROUND((AJ66+($F67+$G67-$H67-$Q67)*PML_BF)*(1+VLOOKUP(AI$3,Assumption!$H$35:$K$43,3,0))^0.5-($M67+$R67)*PML_BF-($S67*PML_BF*AJ66),0))</f>
        <v>0</v>
      </c>
      <c r="AJ67" s="207">
        <f>+IF($B67&gt;Coverage,0,ROUND(AI67*(1+VLOOKUP(AI$3,Assumption!$H$35:$K$43,3,0))^0.5,0))</f>
        <v>0</v>
      </c>
      <c r="AK67" s="207">
        <f>+IF($B67="",0,(1-VLOOKUP(MIN($B67,6),Assumption!$M$10:$N$16,2))*AJ67)</f>
        <v>0</v>
      </c>
      <c r="AL67" s="207">
        <f>+IF($B67&gt;Coverage,0,ROUND((AM66+($F67+$G67-$H67-$Q67)*PML_EF)*(1+VLOOKUP(AL$3,Assumption!$H$35:$K$43,3,0))^0.5-($M67+$R67)*PML_EF-($S67*PML_EF*AM66),0))</f>
        <v>0</v>
      </c>
      <c r="AM67" s="207">
        <f>+IF($B67&gt;Coverage,0,ROUND(AL67*(1+VLOOKUP(AL$3,Assumption!$H$35:$K$43,3,0))^0.5,0))</f>
        <v>0</v>
      </c>
      <c r="AN67" s="207">
        <f>+IF($B67="",0,(1-VLOOKUP(MIN($B67,6),Assumption!$M$10:$N$16,2))*AM67)</f>
        <v>0</v>
      </c>
      <c r="AO67" s="207">
        <f>+IF($B67&gt;Coverage,0,ROUND((AP66+($F67+$G67-$H67-$Q67)*PML_FI)*(1+VLOOKUP(AO$3,Assumption!$H$35:$K$43,3,0))^0.5-($M67+$R67)*PML_FI-($S67*PML_FI*AP66),0))</f>
        <v>0</v>
      </c>
      <c r="AP67" s="207">
        <f>+IF($B67&gt;Coverage,0,ROUND(AO67*(1+VLOOKUP(AO$3,Assumption!$H$35:$K$43,3,0))^0.5,0))</f>
        <v>0</v>
      </c>
      <c r="AQ67" s="207">
        <f>+IF($B67="",0,(1-VLOOKUP(MIN($B67,6),Assumption!$M$10:$N$16,2))*AP67)</f>
        <v>0</v>
      </c>
      <c r="AR67" s="207">
        <f>+IF($B67&gt;Coverage,0,ROUND((AS66+($F67+$G67-$H67-$Q67)*PML_LF)*(1+VLOOKUP(AR$3,Assumption!$H$35:$K$43,4,0))^0.5-($M67+$R67)*PML_LF-($S67*PML_LF*AS66),0))</f>
        <v>0</v>
      </c>
      <c r="AS67" s="207">
        <f>+IF($B67&gt;Coverage,0,ROUND(AR67*(1+VLOOKUP(AR$3,Assumption!$H$35:$K$43,4,0))^0.5,0))</f>
        <v>0</v>
      </c>
      <c r="AT67" s="207">
        <f>+IF($B67="",0,(1-VLOOKUP(MIN($B67,6),Assumption!$M$10:$N$16,2))*AS67)</f>
        <v>0</v>
      </c>
      <c r="AU67" s="207">
        <f>+IF($B67&gt;Coverage,0,ROUND((AV66+($F67+$G67-$H67-$Q67)*PML_BF)*(1+VLOOKUP(AU$3,Assumption!$H$35:$K$43,4,0))^0.5-($M67+$R67)*PML_BF-($S67*PML_BF*AV66),0))</f>
        <v>0</v>
      </c>
      <c r="AV67" s="207">
        <f>+IF($B67&gt;Coverage,0,ROUND(AU67*(1+VLOOKUP(AU$3,Assumption!$H$35:$K$43,4,0))^0.5,0))</f>
        <v>0</v>
      </c>
      <c r="AW67" s="207">
        <f>+IF($B67="",0,(1-VLOOKUP(MIN($B67,6),Assumption!$M$10:$N$16,2))*AV67)</f>
        <v>0</v>
      </c>
      <c r="AX67" s="207">
        <f>+IF($B67&gt;Coverage,0,ROUND((AY66+($F67+$G67-$H67-$Q67)*PML_EF)*(1+VLOOKUP(AX$3,Assumption!$H$35:$K$43,4,0))^0.5-($M67+$R67)*PML_EF-($S67*PML_EF*AY66),0))</f>
        <v>0</v>
      </c>
      <c r="AY67" s="207">
        <f>+IF($B67&gt;Coverage,0,ROUND(AX67*(1+VLOOKUP(AX$3,Assumption!$H$35:$K$43,4,0))^0.5,0))</f>
        <v>0</v>
      </c>
      <c r="AZ67" s="207">
        <f>+IF($B67="",0,(1-VLOOKUP(MIN($B67,6),Assumption!$M$10:$N$16,2))*AY67)</f>
        <v>0</v>
      </c>
      <c r="BA67" s="207">
        <f>+IF($B67&gt;Coverage,0,ROUND((BB66+($F67+$G67-$H67-$Q67)*PML_FI)*(1+VLOOKUP(BA$3,Assumption!$H$35:$K$43,4,0))^0.5-($M67+$R67)*PML_FI-($S67*PML_FI*BB66),0))</f>
        <v>0</v>
      </c>
      <c r="BB67" s="207">
        <f>+IF($B67&gt;Coverage,0,ROUND(BA67*(1+VLOOKUP(BA$3,Assumption!$H$35:$K$43,4,0))^0.5,0))</f>
        <v>0</v>
      </c>
      <c r="BC67" s="207">
        <f>+IF($B67="",0,(1-VLOOKUP(MIN($B67,6),Assumption!$M$10:$N$16,2))*BB67)</f>
        <v>0</v>
      </c>
    </row>
    <row r="68" ht="14.25" customHeight="1">
      <c r="A68" s="126">
        <v>61.0</v>
      </c>
      <c r="B68" s="129" t="str">
        <f>+IF(A68&gt;Coverage,"",A68)</f>
        <v/>
      </c>
      <c r="C68" s="134" t="str">
        <f>+IF(B68=1,Insured_Age,IF(B68="","",C67+1))</f>
        <v/>
      </c>
      <c r="D68" s="134" t="str">
        <f>+IF(B68&gt;Coverage,"",IF(B68=1,input!$H$11,D67+1))</f>
        <v/>
      </c>
      <c r="E68" s="134" t="str">
        <f>IF(B68=1,premi_dasar,IF(B68&gt;Coverage,"",0))</f>
        <v/>
      </c>
      <c r="F68" s="134" t="str">
        <f>IF(B68&gt;Coverage,"",SUM(E68))</f>
        <v/>
      </c>
      <c r="G68" s="134" t="str">
        <f>IF(B68&gt;Coverage,"",SUMIFS(input!$E$38:$E$50,input!$C$38:$C$50,$C68))</f>
        <v/>
      </c>
      <c r="H68" s="134" t="str">
        <f>IF(B68&gt;Coverage,"",SUMIFS(input!$E$53:$E$87,input!$C$53:$C$87,$C68))</f>
        <v/>
      </c>
      <c r="I68" s="66" t="str">
        <f>+IF(B68="","",Sum_Assured*VLOOKUP(MIN(C68,10),Assumption!$M$19:$N$28,2,0))</f>
        <v/>
      </c>
      <c r="J68" s="66" t="str">
        <f>IF(B68="","",input!$D$33)</f>
        <v/>
      </c>
      <c r="K68" s="66" t="str">
        <f>IF(B68&gt;Coverage,"",VLOOKUP($C68,COI_Tab[],IF(sex="Male",2,3),0)*I68*(1+EM_Basic)/1000)</f>
        <v/>
      </c>
      <c r="L68" s="66" t="str">
        <f>IF(B68&gt;Coverage,"",VLOOKUP($C68,COI_Tab[],4,0)*J68*(1+EM_Basic)/1000)</f>
        <v/>
      </c>
      <c r="M68" s="207" t="str">
        <f>IF(B68&gt;Coverage,"",ROUND(K68+L68,0))</f>
        <v/>
      </c>
      <c r="N68" s="134" t="str">
        <f>IF(B68&gt;Coverage,"",VLOOKUP($B68,Assumption!$H$11:$I$15,2)*E68)</f>
        <v/>
      </c>
      <c r="O68" s="134" t="str">
        <f>IF(B68&gt;Coverage,"",Assumption!$J$11*$G68)</f>
        <v/>
      </c>
      <c r="P68" s="134" t="str">
        <f>IF(B68&gt;Coverage,"",H68*VLOOKUP(MIN(B68,6),Assumption!$M$11:$N$16,2,0))</f>
        <v/>
      </c>
      <c r="Q68" s="134" t="str">
        <f>IF(B68&gt;Coverage,"",SUM(N68:P68))</f>
        <v/>
      </c>
      <c r="R68" s="207" t="str">
        <f>+IF($B68&gt;Coverage,"",Assumption!$I$18*12)</f>
        <v/>
      </c>
      <c r="S68" s="208" t="str">
        <f>+IF($B68&gt;Coverage,"",Assumption!$I$20)</f>
        <v/>
      </c>
      <c r="T68" s="207">
        <f>+IF($B68&gt;Coverage,0,ROUND((U67+($F68+$G68-$H68-$Q68)*PML_LF)*(1+VLOOKUP(T$3,Assumption!$H$35:$K$43,2,0))^0.5-($M68+$R68)*PML_LF-($S68*PML_LF*U67),0))</f>
        <v>0</v>
      </c>
      <c r="U68" s="207">
        <f>+IF($B68&gt;Coverage,0,ROUND(T68*(1+VLOOKUP(T$3,Assumption!$H$35:$K$43,2,0))^0.5,0))</f>
        <v>0</v>
      </c>
      <c r="V68" s="207">
        <f>+IF($B68="",0,(1-VLOOKUP(MIN($B68,6),Assumption!$M$10:$N$16,2))*U68)</f>
        <v>0</v>
      </c>
      <c r="W68" s="207">
        <f>+IF($B68&gt;Coverage,0,ROUND((X67+($F68+$G68-$H68-$Q68)*PML_BF)*(1+VLOOKUP(W$3,Assumption!$H$35:$K$43,2,0))^0.5-($M68+$R68)*PML_BF-($S68*PML_BF*X67),0))</f>
        <v>0</v>
      </c>
      <c r="X68" s="207">
        <f>+IF($B68&gt;Coverage,0,ROUND(W68*(1+VLOOKUP(W$3,Assumption!$H$35:$K$43,2,0))^0.5,0))</f>
        <v>0</v>
      </c>
      <c r="Y68" s="207">
        <f>+IF($B68="",0,(1-VLOOKUP(MIN($B68,6),Assumption!$M$10:$N$16,2))*X68)</f>
        <v>0</v>
      </c>
      <c r="Z68" s="207">
        <f>+IF($B68&gt;Coverage,0,ROUND((AA67+($F68+$G68-$H68-$Q68)*PML_EF)*(1+VLOOKUP(Z$3,Assumption!$H$35:$K$43,2,0))^0.5-($M68+$R68)*PML_EF-($S68*PML_EF*AA67),0))</f>
        <v>0</v>
      </c>
      <c r="AA68" s="207">
        <f>+IF($B68&gt;Coverage,0,ROUND(Z68*(1+VLOOKUP(Z$3,Assumption!$H$35:$K$43,2,0))^0.5,0))</f>
        <v>0</v>
      </c>
      <c r="AB68" s="207">
        <f>+IF($B68="",0,(1-VLOOKUP(MIN($B68,6),Assumption!$M$10:$N$16,2))*AA68)</f>
        <v>0</v>
      </c>
      <c r="AC68" s="207">
        <f>+IF($B68&gt;Coverage,0,ROUND((AD67+($F68+$G68-$H68-$Q68)*PML_FI)*(1+VLOOKUP(AC$3,Assumption!$H$35:$K$43,2,0))^0.5-($M68+$R68)*PML_FI-($S68*PML_FI*AD67),0))</f>
        <v>0</v>
      </c>
      <c r="AD68" s="207">
        <f>+IF($B68&gt;Coverage,0,ROUND(AC68*(1+VLOOKUP(AC$3,Assumption!$H$35:$K$43,2,0))^0.5,0))</f>
        <v>0</v>
      </c>
      <c r="AE68" s="207">
        <f>+IF($B68="",0,(1-VLOOKUP(MIN($B68,6),Assumption!$M$10:$N$16,2))*AD68)</f>
        <v>0</v>
      </c>
      <c r="AF68" s="207">
        <f>+IF($B68&gt;Coverage,0,ROUND((AG67+($F68+$G68-$H68-$Q68)*PML_LF)*(1+VLOOKUP(AF$3,Assumption!$H$35:$K$43,3,0))^0.5-($M68+$R68)*PML_LF-($S68*PML_LF*AG67),0))</f>
        <v>0</v>
      </c>
      <c r="AG68" s="207">
        <f>+IF($B68&gt;Coverage,0,ROUND(AF68*(1+VLOOKUP(AF$3,Assumption!$H$35:$K$43,3,0))^0.5,0))</f>
        <v>0</v>
      </c>
      <c r="AH68" s="207">
        <f>+IF($B68="",0,(1-VLOOKUP(MIN($B68,6),Assumption!$M$10:$N$16,2))*AG68)</f>
        <v>0</v>
      </c>
      <c r="AI68" s="207">
        <f>+IF($B68&gt;Coverage,0,ROUND((AJ67+($F68+$G68-$H68-$Q68)*PML_BF)*(1+VLOOKUP(AI$3,Assumption!$H$35:$K$43,3,0))^0.5-($M68+$R68)*PML_BF-($S68*PML_BF*AJ67),0))</f>
        <v>0</v>
      </c>
      <c r="AJ68" s="207">
        <f>+IF($B68&gt;Coverage,0,ROUND(AI68*(1+VLOOKUP(AI$3,Assumption!$H$35:$K$43,3,0))^0.5,0))</f>
        <v>0</v>
      </c>
      <c r="AK68" s="207">
        <f>+IF($B68="",0,(1-VLOOKUP(MIN($B68,6),Assumption!$M$10:$N$16,2))*AJ68)</f>
        <v>0</v>
      </c>
      <c r="AL68" s="207">
        <f>+IF($B68&gt;Coverage,0,ROUND((AM67+($F68+$G68-$H68-$Q68)*PML_EF)*(1+VLOOKUP(AL$3,Assumption!$H$35:$K$43,3,0))^0.5-($M68+$R68)*PML_EF-($S68*PML_EF*AM67),0))</f>
        <v>0</v>
      </c>
      <c r="AM68" s="207">
        <f>+IF($B68&gt;Coverage,0,ROUND(AL68*(1+VLOOKUP(AL$3,Assumption!$H$35:$K$43,3,0))^0.5,0))</f>
        <v>0</v>
      </c>
      <c r="AN68" s="207">
        <f>+IF($B68="",0,(1-VLOOKUP(MIN($B68,6),Assumption!$M$10:$N$16,2))*AM68)</f>
        <v>0</v>
      </c>
      <c r="AO68" s="207">
        <f>+IF($B68&gt;Coverage,0,ROUND((AP67+($F68+$G68-$H68-$Q68)*PML_FI)*(1+VLOOKUP(AO$3,Assumption!$H$35:$K$43,3,0))^0.5-($M68+$R68)*PML_FI-($S68*PML_FI*AP67),0))</f>
        <v>0</v>
      </c>
      <c r="AP68" s="207">
        <f>+IF($B68&gt;Coverage,0,ROUND(AO68*(1+VLOOKUP(AO$3,Assumption!$H$35:$K$43,3,0))^0.5,0))</f>
        <v>0</v>
      </c>
      <c r="AQ68" s="207">
        <f>+IF($B68="",0,(1-VLOOKUP(MIN($B68,6),Assumption!$M$10:$N$16,2))*AP68)</f>
        <v>0</v>
      </c>
      <c r="AR68" s="207">
        <f>+IF($B68&gt;Coverage,0,ROUND((AS67+($F68+$G68-$H68-$Q68)*PML_LF)*(1+VLOOKUP(AR$3,Assumption!$H$35:$K$43,4,0))^0.5-($M68+$R68)*PML_LF-($S68*PML_LF*AS67),0))</f>
        <v>0</v>
      </c>
      <c r="AS68" s="207">
        <f>+IF($B68&gt;Coverage,0,ROUND(AR68*(1+VLOOKUP(AR$3,Assumption!$H$35:$K$43,4,0))^0.5,0))</f>
        <v>0</v>
      </c>
      <c r="AT68" s="207">
        <f>+IF($B68="",0,(1-VLOOKUP(MIN($B68,6),Assumption!$M$10:$N$16,2))*AS68)</f>
        <v>0</v>
      </c>
      <c r="AU68" s="207">
        <f>+IF($B68&gt;Coverage,0,ROUND((AV67+($F68+$G68-$H68-$Q68)*PML_BF)*(1+VLOOKUP(AU$3,Assumption!$H$35:$K$43,4,0))^0.5-($M68+$R68)*PML_BF-($S68*PML_BF*AV67),0))</f>
        <v>0</v>
      </c>
      <c r="AV68" s="207">
        <f>+IF($B68&gt;Coverage,0,ROUND(AU68*(1+VLOOKUP(AU$3,Assumption!$H$35:$K$43,4,0))^0.5,0))</f>
        <v>0</v>
      </c>
      <c r="AW68" s="207">
        <f>+IF($B68="",0,(1-VLOOKUP(MIN($B68,6),Assumption!$M$10:$N$16,2))*AV68)</f>
        <v>0</v>
      </c>
      <c r="AX68" s="207">
        <f>+IF($B68&gt;Coverage,0,ROUND((AY67+($F68+$G68-$H68-$Q68)*PML_EF)*(1+VLOOKUP(AX$3,Assumption!$H$35:$K$43,4,0))^0.5-($M68+$R68)*PML_EF-($S68*PML_EF*AY67),0))</f>
        <v>0</v>
      </c>
      <c r="AY68" s="207">
        <f>+IF($B68&gt;Coverage,0,ROUND(AX68*(1+VLOOKUP(AX$3,Assumption!$H$35:$K$43,4,0))^0.5,0))</f>
        <v>0</v>
      </c>
      <c r="AZ68" s="207">
        <f>+IF($B68="",0,(1-VLOOKUP(MIN($B68,6),Assumption!$M$10:$N$16,2))*AY68)</f>
        <v>0</v>
      </c>
      <c r="BA68" s="207">
        <f>+IF($B68&gt;Coverage,0,ROUND((BB67+($F68+$G68-$H68-$Q68)*PML_FI)*(1+VLOOKUP(BA$3,Assumption!$H$35:$K$43,4,0))^0.5-($M68+$R68)*PML_FI-($S68*PML_FI*BB67),0))</f>
        <v>0</v>
      </c>
      <c r="BB68" s="207">
        <f>+IF($B68&gt;Coverage,0,ROUND(BA68*(1+VLOOKUP(BA$3,Assumption!$H$35:$K$43,4,0))^0.5,0))</f>
        <v>0</v>
      </c>
      <c r="BC68" s="207">
        <f>+IF($B68="",0,(1-VLOOKUP(MIN($B68,6),Assumption!$M$10:$N$16,2))*BB68)</f>
        <v>0</v>
      </c>
    </row>
    <row r="69" ht="14.25" customHeight="1">
      <c r="A69" s="126">
        <v>62.0</v>
      </c>
      <c r="B69" s="129" t="str">
        <f>+IF(A69&gt;Coverage,"",A69)</f>
        <v/>
      </c>
      <c r="C69" s="134" t="str">
        <f>+IF(B69=1,Insured_Age,IF(B69="","",C68+1))</f>
        <v/>
      </c>
      <c r="D69" s="134" t="str">
        <f>+IF(B69&gt;Coverage,"",IF(B69=1,input!$H$11,D68+1))</f>
        <v/>
      </c>
      <c r="E69" s="134" t="str">
        <f>IF(B69=1,premi_dasar,IF(B69&gt;Coverage,"",0))</f>
        <v/>
      </c>
      <c r="F69" s="134" t="str">
        <f>IF(B69&gt;Coverage,"",SUM(E69))</f>
        <v/>
      </c>
      <c r="G69" s="134" t="str">
        <f>IF(B69&gt;Coverage,"",SUMIFS(input!$E$38:$E$50,input!$C$38:$C$50,$C69))</f>
        <v/>
      </c>
      <c r="H69" s="134" t="str">
        <f>IF(B69&gt;Coverage,"",SUMIFS(input!$E$53:$E$87,input!$C$53:$C$87,$C69))</f>
        <v/>
      </c>
      <c r="I69" s="66" t="str">
        <f>+IF(B69="","",Sum_Assured*VLOOKUP(MIN(C69,10),Assumption!$M$19:$N$28,2,0))</f>
        <v/>
      </c>
      <c r="J69" s="66" t="str">
        <f>IF(B69="","",input!$D$33)</f>
        <v/>
      </c>
      <c r="K69" s="66" t="str">
        <f>IF(B69&gt;Coverage,"",VLOOKUP($C69,COI_Tab[],IF(sex="Male",2,3),0)*I69*(1+EM_Basic)/1000)</f>
        <v/>
      </c>
      <c r="L69" s="66" t="str">
        <f>IF(B69&gt;Coverage,"",VLOOKUP($C69,COI_Tab[],4,0)*J69*(1+EM_Basic)/1000)</f>
        <v/>
      </c>
      <c r="M69" s="207" t="str">
        <f>IF(B69&gt;Coverage,"",ROUND(K69+L69,0))</f>
        <v/>
      </c>
      <c r="N69" s="134" t="str">
        <f>IF(B69&gt;Coverage,"",VLOOKUP($B69,Assumption!$H$11:$I$15,2)*E69)</f>
        <v/>
      </c>
      <c r="O69" s="134" t="str">
        <f>IF(B69&gt;Coverage,"",Assumption!$J$11*$G69)</f>
        <v/>
      </c>
      <c r="P69" s="134" t="str">
        <f>IF(B69&gt;Coverage,"",H69*VLOOKUP(MIN(B69,6),Assumption!$M$11:$N$16,2,0))</f>
        <v/>
      </c>
      <c r="Q69" s="134" t="str">
        <f>IF(B69&gt;Coverage,"",SUM(N69:P69))</f>
        <v/>
      </c>
      <c r="R69" s="207" t="str">
        <f>+IF($B69&gt;Coverage,"",Assumption!$I$18*12)</f>
        <v/>
      </c>
      <c r="S69" s="208" t="str">
        <f>+IF($B69&gt;Coverage,"",Assumption!$I$20)</f>
        <v/>
      </c>
      <c r="T69" s="207">
        <f>+IF($B69&gt;Coverage,0,ROUND((U68+($F69+$G69-$H69-$Q69)*PML_LF)*(1+VLOOKUP(T$3,Assumption!$H$35:$K$43,2,0))^0.5-($M69+$R69)*PML_LF-($S69*PML_LF*U68),0))</f>
        <v>0</v>
      </c>
      <c r="U69" s="207">
        <f>+IF($B69&gt;Coverage,0,ROUND(T69*(1+VLOOKUP(T$3,Assumption!$H$35:$K$43,2,0))^0.5,0))</f>
        <v>0</v>
      </c>
      <c r="V69" s="207">
        <f>+IF($B69="",0,(1-VLOOKUP(MIN($B69,6),Assumption!$M$10:$N$16,2))*U69)</f>
        <v>0</v>
      </c>
      <c r="W69" s="207">
        <f>+IF($B69&gt;Coverage,0,ROUND((X68+($F69+$G69-$H69-$Q69)*PML_BF)*(1+VLOOKUP(W$3,Assumption!$H$35:$K$43,2,0))^0.5-($M69+$R69)*PML_BF-($S69*PML_BF*X68),0))</f>
        <v>0</v>
      </c>
      <c r="X69" s="207">
        <f>+IF($B69&gt;Coverage,0,ROUND(W69*(1+VLOOKUP(W$3,Assumption!$H$35:$K$43,2,0))^0.5,0))</f>
        <v>0</v>
      </c>
      <c r="Y69" s="207">
        <f>+IF($B69="",0,(1-VLOOKUP(MIN($B69,6),Assumption!$M$10:$N$16,2))*X69)</f>
        <v>0</v>
      </c>
      <c r="Z69" s="207">
        <f>+IF($B69&gt;Coverage,0,ROUND((AA68+($F69+$G69-$H69-$Q69)*PML_EF)*(1+VLOOKUP(Z$3,Assumption!$H$35:$K$43,2,0))^0.5-($M69+$R69)*PML_EF-($S69*PML_EF*AA68),0))</f>
        <v>0</v>
      </c>
      <c r="AA69" s="207">
        <f>+IF($B69&gt;Coverage,0,ROUND(Z69*(1+VLOOKUP(Z$3,Assumption!$H$35:$K$43,2,0))^0.5,0))</f>
        <v>0</v>
      </c>
      <c r="AB69" s="207">
        <f>+IF($B69="",0,(1-VLOOKUP(MIN($B69,6),Assumption!$M$10:$N$16,2))*AA69)</f>
        <v>0</v>
      </c>
      <c r="AC69" s="207">
        <f>+IF($B69&gt;Coverage,0,ROUND((AD68+($F69+$G69-$H69-$Q69)*PML_FI)*(1+VLOOKUP(AC$3,Assumption!$H$35:$K$43,2,0))^0.5-($M69+$R69)*PML_FI-($S69*PML_FI*AD68),0))</f>
        <v>0</v>
      </c>
      <c r="AD69" s="207">
        <f>+IF($B69&gt;Coverage,0,ROUND(AC69*(1+VLOOKUP(AC$3,Assumption!$H$35:$K$43,2,0))^0.5,0))</f>
        <v>0</v>
      </c>
      <c r="AE69" s="207">
        <f>+IF($B69="",0,(1-VLOOKUP(MIN($B69,6),Assumption!$M$10:$N$16,2))*AD69)</f>
        <v>0</v>
      </c>
      <c r="AF69" s="207">
        <f>+IF($B69&gt;Coverage,0,ROUND((AG68+($F69+$G69-$H69-$Q69)*PML_LF)*(1+VLOOKUP(AF$3,Assumption!$H$35:$K$43,3,0))^0.5-($M69+$R69)*PML_LF-($S69*PML_LF*AG68),0))</f>
        <v>0</v>
      </c>
      <c r="AG69" s="207">
        <f>+IF($B69&gt;Coverage,0,ROUND(AF69*(1+VLOOKUP(AF$3,Assumption!$H$35:$K$43,3,0))^0.5,0))</f>
        <v>0</v>
      </c>
      <c r="AH69" s="207">
        <f>+IF($B69="",0,(1-VLOOKUP(MIN($B69,6),Assumption!$M$10:$N$16,2))*AG69)</f>
        <v>0</v>
      </c>
      <c r="AI69" s="207">
        <f>+IF($B69&gt;Coverage,0,ROUND((AJ68+($F69+$G69-$H69-$Q69)*PML_BF)*(1+VLOOKUP(AI$3,Assumption!$H$35:$K$43,3,0))^0.5-($M69+$R69)*PML_BF-($S69*PML_BF*AJ68),0))</f>
        <v>0</v>
      </c>
      <c r="AJ69" s="207">
        <f>+IF($B69&gt;Coverage,0,ROUND(AI69*(1+VLOOKUP(AI$3,Assumption!$H$35:$K$43,3,0))^0.5,0))</f>
        <v>0</v>
      </c>
      <c r="AK69" s="207">
        <f>+IF($B69="",0,(1-VLOOKUP(MIN($B69,6),Assumption!$M$10:$N$16,2))*AJ69)</f>
        <v>0</v>
      </c>
      <c r="AL69" s="207">
        <f>+IF($B69&gt;Coverage,0,ROUND((AM68+($F69+$G69-$H69-$Q69)*PML_EF)*(1+VLOOKUP(AL$3,Assumption!$H$35:$K$43,3,0))^0.5-($M69+$R69)*PML_EF-($S69*PML_EF*AM68),0))</f>
        <v>0</v>
      </c>
      <c r="AM69" s="207">
        <f>+IF($B69&gt;Coverage,0,ROUND(AL69*(1+VLOOKUP(AL$3,Assumption!$H$35:$K$43,3,0))^0.5,0))</f>
        <v>0</v>
      </c>
      <c r="AN69" s="207">
        <f>+IF($B69="",0,(1-VLOOKUP(MIN($B69,6),Assumption!$M$10:$N$16,2))*AM69)</f>
        <v>0</v>
      </c>
      <c r="AO69" s="207">
        <f>+IF($B69&gt;Coverage,0,ROUND((AP68+($F69+$G69-$H69-$Q69)*PML_FI)*(1+VLOOKUP(AO$3,Assumption!$H$35:$K$43,3,0))^0.5-($M69+$R69)*PML_FI-($S69*PML_FI*AP68),0))</f>
        <v>0</v>
      </c>
      <c r="AP69" s="207">
        <f>+IF($B69&gt;Coverage,0,ROUND(AO69*(1+VLOOKUP(AO$3,Assumption!$H$35:$K$43,3,0))^0.5,0))</f>
        <v>0</v>
      </c>
      <c r="AQ69" s="207">
        <f>+IF($B69="",0,(1-VLOOKUP(MIN($B69,6),Assumption!$M$10:$N$16,2))*AP69)</f>
        <v>0</v>
      </c>
      <c r="AR69" s="207">
        <f>+IF($B69&gt;Coverage,0,ROUND((AS68+($F69+$G69-$H69-$Q69)*PML_LF)*(1+VLOOKUP(AR$3,Assumption!$H$35:$K$43,4,0))^0.5-($M69+$R69)*PML_LF-($S69*PML_LF*AS68),0))</f>
        <v>0</v>
      </c>
      <c r="AS69" s="207">
        <f>+IF($B69&gt;Coverage,0,ROUND(AR69*(1+VLOOKUP(AR$3,Assumption!$H$35:$K$43,4,0))^0.5,0))</f>
        <v>0</v>
      </c>
      <c r="AT69" s="207">
        <f>+IF($B69="",0,(1-VLOOKUP(MIN($B69,6),Assumption!$M$10:$N$16,2))*AS69)</f>
        <v>0</v>
      </c>
      <c r="AU69" s="207">
        <f>+IF($B69&gt;Coverage,0,ROUND((AV68+($F69+$G69-$H69-$Q69)*PML_BF)*(1+VLOOKUP(AU$3,Assumption!$H$35:$K$43,4,0))^0.5-($M69+$R69)*PML_BF-($S69*PML_BF*AV68),0))</f>
        <v>0</v>
      </c>
      <c r="AV69" s="207">
        <f>+IF($B69&gt;Coverage,0,ROUND(AU69*(1+VLOOKUP(AU$3,Assumption!$H$35:$K$43,4,0))^0.5,0))</f>
        <v>0</v>
      </c>
      <c r="AW69" s="207">
        <f>+IF($B69="",0,(1-VLOOKUP(MIN($B69,6),Assumption!$M$10:$N$16,2))*AV69)</f>
        <v>0</v>
      </c>
      <c r="AX69" s="207">
        <f>+IF($B69&gt;Coverage,0,ROUND((AY68+($F69+$G69-$H69-$Q69)*PML_EF)*(1+VLOOKUP(AX$3,Assumption!$H$35:$K$43,4,0))^0.5-($M69+$R69)*PML_EF-($S69*PML_EF*AY68),0))</f>
        <v>0</v>
      </c>
      <c r="AY69" s="207">
        <f>+IF($B69&gt;Coverage,0,ROUND(AX69*(1+VLOOKUP(AX$3,Assumption!$H$35:$K$43,4,0))^0.5,0))</f>
        <v>0</v>
      </c>
      <c r="AZ69" s="207">
        <f>+IF($B69="",0,(1-VLOOKUP(MIN($B69,6),Assumption!$M$10:$N$16,2))*AY69)</f>
        <v>0</v>
      </c>
      <c r="BA69" s="207">
        <f>+IF($B69&gt;Coverage,0,ROUND((BB68+($F69+$G69-$H69-$Q69)*PML_FI)*(1+VLOOKUP(BA$3,Assumption!$H$35:$K$43,4,0))^0.5-($M69+$R69)*PML_FI-($S69*PML_FI*BB68),0))</f>
        <v>0</v>
      </c>
      <c r="BB69" s="207">
        <f>+IF($B69&gt;Coverage,0,ROUND(BA69*(1+VLOOKUP(BA$3,Assumption!$H$35:$K$43,4,0))^0.5,0))</f>
        <v>0</v>
      </c>
      <c r="BC69" s="207">
        <f>+IF($B69="",0,(1-VLOOKUP(MIN($B69,6),Assumption!$M$10:$N$16,2))*BB69)</f>
        <v>0</v>
      </c>
    </row>
    <row r="70" ht="14.25" customHeight="1">
      <c r="A70" s="126">
        <v>63.0</v>
      </c>
      <c r="B70" s="129" t="str">
        <f>+IF(A70&gt;Coverage,"",A70)</f>
        <v/>
      </c>
      <c r="C70" s="134" t="str">
        <f>+IF(B70=1,Insured_Age,IF(B70="","",C69+1))</f>
        <v/>
      </c>
      <c r="D70" s="134" t="str">
        <f>+IF(B70&gt;Coverage,"",IF(B70=1,input!$H$11,D69+1))</f>
        <v/>
      </c>
      <c r="E70" s="134" t="str">
        <f>IF(B70=1,premi_dasar,IF(B70&gt;Coverage,"",0))</f>
        <v/>
      </c>
      <c r="F70" s="134" t="str">
        <f>IF(B70&gt;Coverage,"",SUM(E70))</f>
        <v/>
      </c>
      <c r="G70" s="134" t="str">
        <f>IF(B70&gt;Coverage,"",SUMIFS(input!$E$38:$E$50,input!$C$38:$C$50,$C70))</f>
        <v/>
      </c>
      <c r="H70" s="134" t="str">
        <f>IF(B70&gt;Coverage,"",SUMIFS(input!$E$53:$E$87,input!$C$53:$C$87,$C70))</f>
        <v/>
      </c>
      <c r="I70" s="66" t="str">
        <f>+IF(B70="","",Sum_Assured*VLOOKUP(MIN(C70,10),Assumption!$M$19:$N$28,2,0))</f>
        <v/>
      </c>
      <c r="J70" s="66" t="str">
        <f>IF(B70="","",input!$D$33)</f>
        <v/>
      </c>
      <c r="K70" s="66" t="str">
        <f>IF(B70&gt;Coverage,"",VLOOKUP($C70,COI_Tab[],IF(sex="Male",2,3),0)*I70*(1+EM_Basic)/1000)</f>
        <v/>
      </c>
      <c r="L70" s="66" t="str">
        <f>IF(B70&gt;Coverage,"",VLOOKUP($C70,COI_Tab[],4,0)*J70*(1+EM_Basic)/1000)</f>
        <v/>
      </c>
      <c r="M70" s="207" t="str">
        <f>IF(B70&gt;Coverage,"",ROUND(K70+L70,0))</f>
        <v/>
      </c>
      <c r="N70" s="134" t="str">
        <f>IF(B70&gt;Coverage,"",VLOOKUP($B70,Assumption!$H$11:$I$15,2)*E70)</f>
        <v/>
      </c>
      <c r="O70" s="134" t="str">
        <f>IF(B70&gt;Coverage,"",Assumption!$J$11*$G70)</f>
        <v/>
      </c>
      <c r="P70" s="134" t="str">
        <f>IF(B70&gt;Coverage,"",H70*VLOOKUP(MIN(B70,6),Assumption!$M$11:$N$16,2,0))</f>
        <v/>
      </c>
      <c r="Q70" s="134" t="str">
        <f>IF(B70&gt;Coverage,"",SUM(N70:P70))</f>
        <v/>
      </c>
      <c r="R70" s="207" t="str">
        <f>+IF($B70&gt;Coverage,"",Assumption!$I$18*12)</f>
        <v/>
      </c>
      <c r="S70" s="208" t="str">
        <f>+IF($B70&gt;Coverage,"",Assumption!$I$20)</f>
        <v/>
      </c>
      <c r="T70" s="207">
        <f>+IF($B70&gt;Coverage,0,ROUND((U69+($F70+$G70-$H70-$Q70)*PML_LF)*(1+VLOOKUP(T$3,Assumption!$H$35:$K$43,2,0))^0.5-($M70+$R70)*PML_LF-($S70*PML_LF*U69),0))</f>
        <v>0</v>
      </c>
      <c r="U70" s="207">
        <f>+IF($B70&gt;Coverage,0,ROUND(T70*(1+VLOOKUP(T$3,Assumption!$H$35:$K$43,2,0))^0.5,0))</f>
        <v>0</v>
      </c>
      <c r="V70" s="207">
        <f>+IF($B70="",0,(1-VLOOKUP(MIN($B70,6),Assumption!$M$10:$N$16,2))*U70)</f>
        <v>0</v>
      </c>
      <c r="W70" s="207">
        <f>+IF($B70&gt;Coverage,0,ROUND((X69+($F70+$G70-$H70-$Q70)*PML_BF)*(1+VLOOKUP(W$3,Assumption!$H$35:$K$43,2,0))^0.5-($M70+$R70)*PML_BF-($S70*PML_BF*X69),0))</f>
        <v>0</v>
      </c>
      <c r="X70" s="207">
        <f>+IF($B70&gt;Coverage,0,ROUND(W70*(1+VLOOKUP(W$3,Assumption!$H$35:$K$43,2,0))^0.5,0))</f>
        <v>0</v>
      </c>
      <c r="Y70" s="207">
        <f>+IF($B70="",0,(1-VLOOKUP(MIN($B70,6),Assumption!$M$10:$N$16,2))*X70)</f>
        <v>0</v>
      </c>
      <c r="Z70" s="207">
        <f>+IF($B70&gt;Coverage,0,ROUND((AA69+($F70+$G70-$H70-$Q70)*PML_EF)*(1+VLOOKUP(Z$3,Assumption!$H$35:$K$43,2,0))^0.5-($M70+$R70)*PML_EF-($S70*PML_EF*AA69),0))</f>
        <v>0</v>
      </c>
      <c r="AA70" s="207">
        <f>+IF($B70&gt;Coverage,0,ROUND(Z70*(1+VLOOKUP(Z$3,Assumption!$H$35:$K$43,2,0))^0.5,0))</f>
        <v>0</v>
      </c>
      <c r="AB70" s="207">
        <f>+IF($B70="",0,(1-VLOOKUP(MIN($B70,6),Assumption!$M$10:$N$16,2))*AA70)</f>
        <v>0</v>
      </c>
      <c r="AC70" s="207">
        <f>+IF($B70&gt;Coverage,0,ROUND((AD69+($F70+$G70-$H70-$Q70)*PML_FI)*(1+VLOOKUP(AC$3,Assumption!$H$35:$K$43,2,0))^0.5-($M70+$R70)*PML_FI-($S70*PML_FI*AD69),0))</f>
        <v>0</v>
      </c>
      <c r="AD70" s="207">
        <f>+IF($B70&gt;Coverage,0,ROUND(AC70*(1+VLOOKUP(AC$3,Assumption!$H$35:$K$43,2,0))^0.5,0))</f>
        <v>0</v>
      </c>
      <c r="AE70" s="207">
        <f>+IF($B70="",0,(1-VLOOKUP(MIN($B70,6),Assumption!$M$10:$N$16,2))*AD70)</f>
        <v>0</v>
      </c>
      <c r="AF70" s="207">
        <f>+IF($B70&gt;Coverage,0,ROUND((AG69+($F70+$G70-$H70-$Q70)*PML_LF)*(1+VLOOKUP(AF$3,Assumption!$H$35:$K$43,3,0))^0.5-($M70+$R70)*PML_LF-($S70*PML_LF*AG69),0))</f>
        <v>0</v>
      </c>
      <c r="AG70" s="207">
        <f>+IF($B70&gt;Coverage,0,ROUND(AF70*(1+VLOOKUP(AF$3,Assumption!$H$35:$K$43,3,0))^0.5,0))</f>
        <v>0</v>
      </c>
      <c r="AH70" s="207">
        <f>+IF($B70="",0,(1-VLOOKUP(MIN($B70,6),Assumption!$M$10:$N$16,2))*AG70)</f>
        <v>0</v>
      </c>
      <c r="AI70" s="207">
        <f>+IF($B70&gt;Coverage,0,ROUND((AJ69+($F70+$G70-$H70-$Q70)*PML_BF)*(1+VLOOKUP(AI$3,Assumption!$H$35:$K$43,3,0))^0.5-($M70+$R70)*PML_BF-($S70*PML_BF*AJ69),0))</f>
        <v>0</v>
      </c>
      <c r="AJ70" s="207">
        <f>+IF($B70&gt;Coverage,0,ROUND(AI70*(1+VLOOKUP(AI$3,Assumption!$H$35:$K$43,3,0))^0.5,0))</f>
        <v>0</v>
      </c>
      <c r="AK70" s="207">
        <f>+IF($B70="",0,(1-VLOOKUP(MIN($B70,6),Assumption!$M$10:$N$16,2))*AJ70)</f>
        <v>0</v>
      </c>
      <c r="AL70" s="207">
        <f>+IF($B70&gt;Coverage,0,ROUND((AM69+($F70+$G70-$H70-$Q70)*PML_EF)*(1+VLOOKUP(AL$3,Assumption!$H$35:$K$43,3,0))^0.5-($M70+$R70)*PML_EF-($S70*PML_EF*AM69),0))</f>
        <v>0</v>
      </c>
      <c r="AM70" s="207">
        <f>+IF($B70&gt;Coverage,0,ROUND(AL70*(1+VLOOKUP(AL$3,Assumption!$H$35:$K$43,3,0))^0.5,0))</f>
        <v>0</v>
      </c>
      <c r="AN70" s="207">
        <f>+IF($B70="",0,(1-VLOOKUP(MIN($B70,6),Assumption!$M$10:$N$16,2))*AM70)</f>
        <v>0</v>
      </c>
      <c r="AO70" s="207">
        <f>+IF($B70&gt;Coverage,0,ROUND((AP69+($F70+$G70-$H70-$Q70)*PML_FI)*(1+VLOOKUP(AO$3,Assumption!$H$35:$K$43,3,0))^0.5-($M70+$R70)*PML_FI-($S70*PML_FI*AP69),0))</f>
        <v>0</v>
      </c>
      <c r="AP70" s="207">
        <f>+IF($B70&gt;Coverage,0,ROUND(AO70*(1+VLOOKUP(AO$3,Assumption!$H$35:$K$43,3,0))^0.5,0))</f>
        <v>0</v>
      </c>
      <c r="AQ70" s="207">
        <f>+IF($B70="",0,(1-VLOOKUP(MIN($B70,6),Assumption!$M$10:$N$16,2))*AP70)</f>
        <v>0</v>
      </c>
      <c r="AR70" s="207">
        <f>+IF($B70&gt;Coverage,0,ROUND((AS69+($F70+$G70-$H70-$Q70)*PML_LF)*(1+VLOOKUP(AR$3,Assumption!$H$35:$K$43,4,0))^0.5-($M70+$R70)*PML_LF-($S70*PML_LF*AS69),0))</f>
        <v>0</v>
      </c>
      <c r="AS70" s="207">
        <f>+IF($B70&gt;Coverage,0,ROUND(AR70*(1+VLOOKUP(AR$3,Assumption!$H$35:$K$43,4,0))^0.5,0))</f>
        <v>0</v>
      </c>
      <c r="AT70" s="207">
        <f>+IF($B70="",0,(1-VLOOKUP(MIN($B70,6),Assumption!$M$10:$N$16,2))*AS70)</f>
        <v>0</v>
      </c>
      <c r="AU70" s="207">
        <f>+IF($B70&gt;Coverage,0,ROUND((AV69+($F70+$G70-$H70-$Q70)*PML_BF)*(1+VLOOKUP(AU$3,Assumption!$H$35:$K$43,4,0))^0.5-($M70+$R70)*PML_BF-($S70*PML_BF*AV69),0))</f>
        <v>0</v>
      </c>
      <c r="AV70" s="207">
        <f>+IF($B70&gt;Coverage,0,ROUND(AU70*(1+VLOOKUP(AU$3,Assumption!$H$35:$K$43,4,0))^0.5,0))</f>
        <v>0</v>
      </c>
      <c r="AW70" s="207">
        <f>+IF($B70="",0,(1-VLOOKUP(MIN($B70,6),Assumption!$M$10:$N$16,2))*AV70)</f>
        <v>0</v>
      </c>
      <c r="AX70" s="207">
        <f>+IF($B70&gt;Coverage,0,ROUND((AY69+($F70+$G70-$H70-$Q70)*PML_EF)*(1+VLOOKUP(AX$3,Assumption!$H$35:$K$43,4,0))^0.5-($M70+$R70)*PML_EF-($S70*PML_EF*AY69),0))</f>
        <v>0</v>
      </c>
      <c r="AY70" s="207">
        <f>+IF($B70&gt;Coverage,0,ROUND(AX70*(1+VLOOKUP(AX$3,Assumption!$H$35:$K$43,4,0))^0.5,0))</f>
        <v>0</v>
      </c>
      <c r="AZ70" s="207">
        <f>+IF($B70="",0,(1-VLOOKUP(MIN($B70,6),Assumption!$M$10:$N$16,2))*AY70)</f>
        <v>0</v>
      </c>
      <c r="BA70" s="207">
        <f>+IF($B70&gt;Coverage,0,ROUND((BB69+($F70+$G70-$H70-$Q70)*PML_FI)*(1+VLOOKUP(BA$3,Assumption!$H$35:$K$43,4,0))^0.5-($M70+$R70)*PML_FI-($S70*PML_FI*BB69),0))</f>
        <v>0</v>
      </c>
      <c r="BB70" s="207">
        <f>+IF($B70&gt;Coverage,0,ROUND(BA70*(1+VLOOKUP(BA$3,Assumption!$H$35:$K$43,4,0))^0.5,0))</f>
        <v>0</v>
      </c>
      <c r="BC70" s="207">
        <f>+IF($B70="",0,(1-VLOOKUP(MIN($B70,6),Assumption!$M$10:$N$16,2))*BB70)</f>
        <v>0</v>
      </c>
    </row>
    <row r="71" ht="14.25" customHeight="1">
      <c r="A71" s="126">
        <v>64.0</v>
      </c>
      <c r="B71" s="129" t="str">
        <f>+IF(A71&gt;Coverage,"",A71)</f>
        <v/>
      </c>
      <c r="C71" s="134" t="str">
        <f>+IF(B71=1,Insured_Age,IF(B71="","",C70+1))</f>
        <v/>
      </c>
      <c r="D71" s="134" t="str">
        <f>+IF(B71&gt;Coverage,"",IF(B71=1,input!$H$11,D70+1))</f>
        <v/>
      </c>
      <c r="E71" s="134" t="str">
        <f>IF(B71=1,premi_dasar,IF(B71&gt;Coverage,"",0))</f>
        <v/>
      </c>
      <c r="F71" s="134" t="str">
        <f>IF(B71&gt;Coverage,"",SUM(E71))</f>
        <v/>
      </c>
      <c r="G71" s="134" t="str">
        <f>IF(B71&gt;Coverage,"",SUMIFS(input!$E$38:$E$50,input!$C$38:$C$50,$C71))</f>
        <v/>
      </c>
      <c r="H71" s="134" t="str">
        <f>IF(B71&gt;Coverage,"",SUMIFS(input!$E$53:$E$87,input!$C$53:$C$87,$C71))</f>
        <v/>
      </c>
      <c r="I71" s="66" t="str">
        <f>+IF(B71="","",Sum_Assured*VLOOKUP(MIN(C71,10),Assumption!$M$19:$N$28,2,0))</f>
        <v/>
      </c>
      <c r="J71" s="66" t="str">
        <f>IF(B71="","",input!$D$33)</f>
        <v/>
      </c>
      <c r="K71" s="66" t="str">
        <f>IF(B71&gt;Coverage,"",VLOOKUP($C71,COI_Tab[],IF(sex="Male",2,3),0)*I71*(1+EM_Basic)/1000)</f>
        <v/>
      </c>
      <c r="L71" s="66" t="str">
        <f>IF(B71&gt;Coverage,"",VLOOKUP($C71,COI_Tab[],4,0)*J71*(1+EM_Basic)/1000)</f>
        <v/>
      </c>
      <c r="M71" s="207" t="str">
        <f>IF(B71&gt;Coverage,"",ROUND(K71+L71,0))</f>
        <v/>
      </c>
      <c r="N71" s="134" t="str">
        <f>IF(B71&gt;Coverage,"",VLOOKUP($B71,Assumption!$H$11:$I$15,2)*E71)</f>
        <v/>
      </c>
      <c r="O71" s="134" t="str">
        <f>IF(B71&gt;Coverage,"",Assumption!$J$11*$G71)</f>
        <v/>
      </c>
      <c r="P71" s="134" t="str">
        <f>IF(B71&gt;Coverage,"",H71*VLOOKUP(MIN(B71,6),Assumption!$M$11:$N$16,2,0))</f>
        <v/>
      </c>
      <c r="Q71" s="134" t="str">
        <f>IF(B71&gt;Coverage,"",SUM(N71:P71))</f>
        <v/>
      </c>
      <c r="R71" s="207" t="str">
        <f>+IF($B71&gt;Coverage,"",Assumption!$I$18*12)</f>
        <v/>
      </c>
      <c r="S71" s="208" t="str">
        <f>+IF($B71&gt;Coverage,"",Assumption!$I$20)</f>
        <v/>
      </c>
      <c r="T71" s="207">
        <f>+IF($B71&gt;Coverage,0,ROUND((U70+($F71+$G71-$H71-$Q71)*PML_LF)*(1+VLOOKUP(T$3,Assumption!$H$35:$K$43,2,0))^0.5-($M71+$R71)*PML_LF-($S71*PML_LF*U70),0))</f>
        <v>0</v>
      </c>
      <c r="U71" s="207">
        <f>+IF($B71&gt;Coverage,0,ROUND(T71*(1+VLOOKUP(T$3,Assumption!$H$35:$K$43,2,0))^0.5,0))</f>
        <v>0</v>
      </c>
      <c r="V71" s="207">
        <f>+IF($B71="",0,(1-VLOOKUP(MIN($B71,6),Assumption!$M$10:$N$16,2))*U71)</f>
        <v>0</v>
      </c>
      <c r="W71" s="207">
        <f>+IF($B71&gt;Coverage,0,ROUND((X70+($F71+$G71-$H71-$Q71)*PML_BF)*(1+VLOOKUP(W$3,Assumption!$H$35:$K$43,2,0))^0.5-($M71+$R71)*PML_BF-($S71*PML_BF*X70),0))</f>
        <v>0</v>
      </c>
      <c r="X71" s="207">
        <f>+IF($B71&gt;Coverage,0,ROUND(W71*(1+VLOOKUP(W$3,Assumption!$H$35:$K$43,2,0))^0.5,0))</f>
        <v>0</v>
      </c>
      <c r="Y71" s="207">
        <f>+IF($B71="",0,(1-VLOOKUP(MIN($B71,6),Assumption!$M$10:$N$16,2))*X71)</f>
        <v>0</v>
      </c>
      <c r="Z71" s="207">
        <f>+IF($B71&gt;Coverage,0,ROUND((AA70+($F71+$G71-$H71-$Q71)*PML_EF)*(1+VLOOKUP(Z$3,Assumption!$H$35:$K$43,2,0))^0.5-($M71+$R71)*PML_EF-($S71*PML_EF*AA70),0))</f>
        <v>0</v>
      </c>
      <c r="AA71" s="207">
        <f>+IF($B71&gt;Coverage,0,ROUND(Z71*(1+VLOOKUP(Z$3,Assumption!$H$35:$K$43,2,0))^0.5,0))</f>
        <v>0</v>
      </c>
      <c r="AB71" s="207">
        <f>+IF($B71="",0,(1-VLOOKUP(MIN($B71,6),Assumption!$M$10:$N$16,2))*AA71)</f>
        <v>0</v>
      </c>
      <c r="AC71" s="207">
        <f>+IF($B71&gt;Coverage,0,ROUND((AD70+($F71+$G71-$H71-$Q71)*PML_FI)*(1+VLOOKUP(AC$3,Assumption!$H$35:$K$43,2,0))^0.5-($M71+$R71)*PML_FI-($S71*PML_FI*AD70),0))</f>
        <v>0</v>
      </c>
      <c r="AD71" s="207">
        <f>+IF($B71&gt;Coverage,0,ROUND(AC71*(1+VLOOKUP(AC$3,Assumption!$H$35:$K$43,2,0))^0.5,0))</f>
        <v>0</v>
      </c>
      <c r="AE71" s="207">
        <f>+IF($B71="",0,(1-VLOOKUP(MIN($B71,6),Assumption!$M$10:$N$16,2))*AD71)</f>
        <v>0</v>
      </c>
      <c r="AF71" s="207">
        <f>+IF($B71&gt;Coverage,0,ROUND((AG70+($F71+$G71-$H71-$Q71)*PML_LF)*(1+VLOOKUP(AF$3,Assumption!$H$35:$K$43,3,0))^0.5-($M71+$R71)*PML_LF-($S71*PML_LF*AG70),0))</f>
        <v>0</v>
      </c>
      <c r="AG71" s="207">
        <f>+IF($B71&gt;Coverage,0,ROUND(AF71*(1+VLOOKUP(AF$3,Assumption!$H$35:$K$43,3,0))^0.5,0))</f>
        <v>0</v>
      </c>
      <c r="AH71" s="207">
        <f>+IF($B71="",0,(1-VLOOKUP(MIN($B71,6),Assumption!$M$10:$N$16,2))*AG71)</f>
        <v>0</v>
      </c>
      <c r="AI71" s="207">
        <f>+IF($B71&gt;Coverage,0,ROUND((AJ70+($F71+$G71-$H71-$Q71)*PML_BF)*(1+VLOOKUP(AI$3,Assumption!$H$35:$K$43,3,0))^0.5-($M71+$R71)*PML_BF-($S71*PML_BF*AJ70),0))</f>
        <v>0</v>
      </c>
      <c r="AJ71" s="207">
        <f>+IF($B71&gt;Coverage,0,ROUND(AI71*(1+VLOOKUP(AI$3,Assumption!$H$35:$K$43,3,0))^0.5,0))</f>
        <v>0</v>
      </c>
      <c r="AK71" s="207">
        <f>+IF($B71="",0,(1-VLOOKUP(MIN($B71,6),Assumption!$M$10:$N$16,2))*AJ71)</f>
        <v>0</v>
      </c>
      <c r="AL71" s="207">
        <f>+IF($B71&gt;Coverage,0,ROUND((AM70+($F71+$G71-$H71-$Q71)*PML_EF)*(1+VLOOKUP(AL$3,Assumption!$H$35:$K$43,3,0))^0.5-($M71+$R71)*PML_EF-($S71*PML_EF*AM70),0))</f>
        <v>0</v>
      </c>
      <c r="AM71" s="207">
        <f>+IF($B71&gt;Coverage,0,ROUND(AL71*(1+VLOOKUP(AL$3,Assumption!$H$35:$K$43,3,0))^0.5,0))</f>
        <v>0</v>
      </c>
      <c r="AN71" s="207">
        <f>+IF($B71="",0,(1-VLOOKUP(MIN($B71,6),Assumption!$M$10:$N$16,2))*AM71)</f>
        <v>0</v>
      </c>
      <c r="AO71" s="207">
        <f>+IF($B71&gt;Coverage,0,ROUND((AP70+($F71+$G71-$H71-$Q71)*PML_FI)*(1+VLOOKUP(AO$3,Assumption!$H$35:$K$43,3,0))^0.5-($M71+$R71)*PML_FI-($S71*PML_FI*AP70),0))</f>
        <v>0</v>
      </c>
      <c r="AP71" s="207">
        <f>+IF($B71&gt;Coverage,0,ROUND(AO71*(1+VLOOKUP(AO$3,Assumption!$H$35:$K$43,3,0))^0.5,0))</f>
        <v>0</v>
      </c>
      <c r="AQ71" s="207">
        <f>+IF($B71="",0,(1-VLOOKUP(MIN($B71,6),Assumption!$M$10:$N$16,2))*AP71)</f>
        <v>0</v>
      </c>
      <c r="AR71" s="207">
        <f>+IF($B71&gt;Coverage,0,ROUND((AS70+($F71+$G71-$H71-$Q71)*PML_LF)*(1+VLOOKUP(AR$3,Assumption!$H$35:$K$43,4,0))^0.5-($M71+$R71)*PML_LF-($S71*PML_LF*AS70),0))</f>
        <v>0</v>
      </c>
      <c r="AS71" s="207">
        <f>+IF($B71&gt;Coverage,0,ROUND(AR71*(1+VLOOKUP(AR$3,Assumption!$H$35:$K$43,4,0))^0.5,0))</f>
        <v>0</v>
      </c>
      <c r="AT71" s="207">
        <f>+IF($B71="",0,(1-VLOOKUP(MIN($B71,6),Assumption!$M$10:$N$16,2))*AS71)</f>
        <v>0</v>
      </c>
      <c r="AU71" s="207">
        <f>+IF($B71&gt;Coverage,0,ROUND((AV70+($F71+$G71-$H71-$Q71)*PML_BF)*(1+VLOOKUP(AU$3,Assumption!$H$35:$K$43,4,0))^0.5-($M71+$R71)*PML_BF-($S71*PML_BF*AV70),0))</f>
        <v>0</v>
      </c>
      <c r="AV71" s="207">
        <f>+IF($B71&gt;Coverage,0,ROUND(AU71*(1+VLOOKUP(AU$3,Assumption!$H$35:$K$43,4,0))^0.5,0))</f>
        <v>0</v>
      </c>
      <c r="AW71" s="207">
        <f>+IF($B71="",0,(1-VLOOKUP(MIN($B71,6),Assumption!$M$10:$N$16,2))*AV71)</f>
        <v>0</v>
      </c>
      <c r="AX71" s="207">
        <f>+IF($B71&gt;Coverage,0,ROUND((AY70+($F71+$G71-$H71-$Q71)*PML_EF)*(1+VLOOKUP(AX$3,Assumption!$H$35:$K$43,4,0))^0.5-($M71+$R71)*PML_EF-($S71*PML_EF*AY70),0))</f>
        <v>0</v>
      </c>
      <c r="AY71" s="207">
        <f>+IF($B71&gt;Coverage,0,ROUND(AX71*(1+VLOOKUP(AX$3,Assumption!$H$35:$K$43,4,0))^0.5,0))</f>
        <v>0</v>
      </c>
      <c r="AZ71" s="207">
        <f>+IF($B71="",0,(1-VLOOKUP(MIN($B71,6),Assumption!$M$10:$N$16,2))*AY71)</f>
        <v>0</v>
      </c>
      <c r="BA71" s="207">
        <f>+IF($B71&gt;Coverage,0,ROUND((BB70+($F71+$G71-$H71-$Q71)*PML_FI)*(1+VLOOKUP(BA$3,Assumption!$H$35:$K$43,4,0))^0.5-($M71+$R71)*PML_FI-($S71*PML_FI*BB70),0))</f>
        <v>0</v>
      </c>
      <c r="BB71" s="207">
        <f>+IF($B71&gt;Coverage,0,ROUND(BA71*(1+VLOOKUP(BA$3,Assumption!$H$35:$K$43,4,0))^0.5,0))</f>
        <v>0</v>
      </c>
      <c r="BC71" s="207">
        <f>+IF($B71="",0,(1-VLOOKUP(MIN($B71,6),Assumption!$M$10:$N$16,2))*BB71)</f>
        <v>0</v>
      </c>
    </row>
    <row r="72" ht="14.25" customHeight="1">
      <c r="A72" s="126">
        <v>65.0</v>
      </c>
      <c r="B72" s="129" t="str">
        <f>+IF(A72&gt;Coverage,"",A72)</f>
        <v/>
      </c>
      <c r="C72" s="134" t="str">
        <f>+IF(B72=1,Insured_Age,IF(B72="","",C71+1))</f>
        <v/>
      </c>
      <c r="D72" s="134" t="str">
        <f>+IF(B72&gt;Coverage,"",IF(B72=1,input!$H$11,D71+1))</f>
        <v/>
      </c>
      <c r="E72" s="134" t="str">
        <f>IF(B72=1,premi_dasar,IF(B72&gt;Coverage,"",0))</f>
        <v/>
      </c>
      <c r="F72" s="134" t="str">
        <f>IF(B72&gt;Coverage,"",SUM(E72))</f>
        <v/>
      </c>
      <c r="G72" s="134" t="str">
        <f>IF(B72&gt;Coverage,"",SUMIFS(input!$E$38:$E$50,input!$C$38:$C$50,$C72))</f>
        <v/>
      </c>
      <c r="H72" s="134" t="str">
        <f>IF(B72&gt;Coverage,"",SUMIFS(input!$E$53:$E$87,input!$C$53:$C$87,$C72))</f>
        <v/>
      </c>
      <c r="I72" s="66" t="str">
        <f>+IF(B72="","",Sum_Assured*VLOOKUP(MIN(C72,10),Assumption!$M$19:$N$28,2,0))</f>
        <v/>
      </c>
      <c r="J72" s="66" t="str">
        <f>IF(B72="","",input!$D$33)</f>
        <v/>
      </c>
      <c r="K72" s="66" t="str">
        <f>IF(B72&gt;Coverage,"",VLOOKUP($C72,COI_Tab[],IF(sex="Male",2,3),0)*I72*(1+EM_Basic)/1000)</f>
        <v/>
      </c>
      <c r="L72" s="66" t="str">
        <f>IF(B72&gt;Coverage,"",VLOOKUP($C72,COI_Tab[],4,0)*J72*(1+EM_Basic)/1000)</f>
        <v/>
      </c>
      <c r="M72" s="207" t="str">
        <f>IF(B72&gt;Coverage,"",ROUND(K72+L72,0))</f>
        <v/>
      </c>
      <c r="N72" s="134" t="str">
        <f>IF(B72&gt;Coverage,"",VLOOKUP($B72,Assumption!$H$11:$I$15,2)*E72)</f>
        <v/>
      </c>
      <c r="O72" s="134" t="str">
        <f>IF(B72&gt;Coverage,"",Assumption!$J$11*$G72)</f>
        <v/>
      </c>
      <c r="P72" s="134" t="str">
        <f>IF(B72&gt;Coverage,"",H72*VLOOKUP(MIN(B72,6),Assumption!$M$11:$N$16,2,0))</f>
        <v/>
      </c>
      <c r="Q72" s="134" t="str">
        <f>IF(B72&gt;Coverage,"",SUM(N72:P72))</f>
        <v/>
      </c>
      <c r="R72" s="207" t="str">
        <f>+IF($B72&gt;Coverage,"",Assumption!$I$18*12)</f>
        <v/>
      </c>
      <c r="S72" s="208" t="str">
        <f>+IF($B72&gt;Coverage,"",Assumption!$I$20)</f>
        <v/>
      </c>
      <c r="T72" s="207">
        <f>+IF($B72&gt;Coverage,0,ROUND((U71+($F72+$G72-$H72-$Q72)*PML_LF)*(1+VLOOKUP(T$3,Assumption!$H$35:$K$43,2,0))^0.5-($M72+$R72)*PML_LF-($S72*PML_LF*U71),0))</f>
        <v>0</v>
      </c>
      <c r="U72" s="207">
        <f>+IF($B72&gt;Coverage,0,ROUND(T72*(1+VLOOKUP(T$3,Assumption!$H$35:$K$43,2,0))^0.5,0))</f>
        <v>0</v>
      </c>
      <c r="V72" s="207">
        <f>+IF($B72="",0,(1-VLOOKUP(MIN($B72,6),Assumption!$M$10:$N$16,2))*U72)</f>
        <v>0</v>
      </c>
      <c r="W72" s="207">
        <f>+IF($B72&gt;Coverage,0,ROUND((X71+($F72+$G72-$H72-$Q72)*PML_BF)*(1+VLOOKUP(W$3,Assumption!$H$35:$K$43,2,0))^0.5-($M72+$R72)*PML_BF-($S72*PML_BF*X71),0))</f>
        <v>0</v>
      </c>
      <c r="X72" s="207">
        <f>+IF($B72&gt;Coverage,0,ROUND(W72*(1+VLOOKUP(W$3,Assumption!$H$35:$K$43,2,0))^0.5,0))</f>
        <v>0</v>
      </c>
      <c r="Y72" s="207">
        <f>+IF($B72="",0,(1-VLOOKUP(MIN($B72,6),Assumption!$M$10:$N$16,2))*X72)</f>
        <v>0</v>
      </c>
      <c r="Z72" s="207">
        <f>+IF($B72&gt;Coverage,0,ROUND((AA71+($F72+$G72-$H72-$Q72)*PML_EF)*(1+VLOOKUP(Z$3,Assumption!$H$35:$K$43,2,0))^0.5-($M72+$R72)*PML_EF-($S72*PML_EF*AA71),0))</f>
        <v>0</v>
      </c>
      <c r="AA72" s="207">
        <f>+IF($B72&gt;Coverage,0,ROUND(Z72*(1+VLOOKUP(Z$3,Assumption!$H$35:$K$43,2,0))^0.5,0))</f>
        <v>0</v>
      </c>
      <c r="AB72" s="207">
        <f>+IF($B72="",0,(1-VLOOKUP(MIN($B72,6),Assumption!$M$10:$N$16,2))*AA72)</f>
        <v>0</v>
      </c>
      <c r="AC72" s="207">
        <f>+IF($B72&gt;Coverage,0,ROUND((AD71+($F72+$G72-$H72-$Q72)*PML_FI)*(1+VLOOKUP(AC$3,Assumption!$H$35:$K$43,2,0))^0.5-($M72+$R72)*PML_FI-($S72*PML_FI*AD71),0))</f>
        <v>0</v>
      </c>
      <c r="AD72" s="207">
        <f>+IF($B72&gt;Coverage,0,ROUND(AC72*(1+VLOOKUP(AC$3,Assumption!$H$35:$K$43,2,0))^0.5,0))</f>
        <v>0</v>
      </c>
      <c r="AE72" s="207">
        <f>+IF($B72="",0,(1-VLOOKUP(MIN($B72,6),Assumption!$M$10:$N$16,2))*AD72)</f>
        <v>0</v>
      </c>
      <c r="AF72" s="207">
        <f>+IF($B72&gt;Coverage,0,ROUND((AG71+($F72+$G72-$H72-$Q72)*PML_LF)*(1+VLOOKUP(AF$3,Assumption!$H$35:$K$43,3,0))^0.5-($M72+$R72)*PML_LF-($S72*PML_LF*AG71),0))</f>
        <v>0</v>
      </c>
      <c r="AG72" s="207">
        <f>+IF($B72&gt;Coverage,0,ROUND(AF72*(1+VLOOKUP(AF$3,Assumption!$H$35:$K$43,3,0))^0.5,0))</f>
        <v>0</v>
      </c>
      <c r="AH72" s="207">
        <f>+IF($B72="",0,(1-VLOOKUP(MIN($B72,6),Assumption!$M$10:$N$16,2))*AG72)</f>
        <v>0</v>
      </c>
      <c r="AI72" s="207">
        <f>+IF($B72&gt;Coverage,0,ROUND((AJ71+($F72+$G72-$H72-$Q72)*PML_BF)*(1+VLOOKUP(AI$3,Assumption!$H$35:$K$43,3,0))^0.5-($M72+$R72)*PML_BF-($S72*PML_BF*AJ71),0))</f>
        <v>0</v>
      </c>
      <c r="AJ72" s="207">
        <f>+IF($B72&gt;Coverage,0,ROUND(AI72*(1+VLOOKUP(AI$3,Assumption!$H$35:$K$43,3,0))^0.5,0))</f>
        <v>0</v>
      </c>
      <c r="AK72" s="207">
        <f>+IF($B72="",0,(1-VLOOKUP(MIN($B72,6),Assumption!$M$10:$N$16,2))*AJ72)</f>
        <v>0</v>
      </c>
      <c r="AL72" s="207">
        <f>+IF($B72&gt;Coverage,0,ROUND((AM71+($F72+$G72-$H72-$Q72)*PML_EF)*(1+VLOOKUP(AL$3,Assumption!$H$35:$K$43,3,0))^0.5-($M72+$R72)*PML_EF-($S72*PML_EF*AM71),0))</f>
        <v>0</v>
      </c>
      <c r="AM72" s="207">
        <f>+IF($B72&gt;Coverage,0,ROUND(AL72*(1+VLOOKUP(AL$3,Assumption!$H$35:$K$43,3,0))^0.5,0))</f>
        <v>0</v>
      </c>
      <c r="AN72" s="207">
        <f>+IF($B72="",0,(1-VLOOKUP(MIN($B72,6),Assumption!$M$10:$N$16,2))*AM72)</f>
        <v>0</v>
      </c>
      <c r="AO72" s="207">
        <f>+IF($B72&gt;Coverage,0,ROUND((AP71+($F72+$G72-$H72-$Q72)*PML_FI)*(1+VLOOKUP(AO$3,Assumption!$H$35:$K$43,3,0))^0.5-($M72+$R72)*PML_FI-($S72*PML_FI*AP71),0))</f>
        <v>0</v>
      </c>
      <c r="AP72" s="207">
        <f>+IF($B72&gt;Coverage,0,ROUND(AO72*(1+VLOOKUP(AO$3,Assumption!$H$35:$K$43,3,0))^0.5,0))</f>
        <v>0</v>
      </c>
      <c r="AQ72" s="207">
        <f>+IF($B72="",0,(1-VLOOKUP(MIN($B72,6),Assumption!$M$10:$N$16,2))*AP72)</f>
        <v>0</v>
      </c>
      <c r="AR72" s="207">
        <f>+IF($B72&gt;Coverage,0,ROUND((AS71+($F72+$G72-$H72-$Q72)*PML_LF)*(1+VLOOKUP(AR$3,Assumption!$H$35:$K$43,4,0))^0.5-($M72+$R72)*PML_LF-($S72*PML_LF*AS71),0))</f>
        <v>0</v>
      </c>
      <c r="AS72" s="207">
        <f>+IF($B72&gt;Coverage,0,ROUND(AR72*(1+VLOOKUP(AR$3,Assumption!$H$35:$K$43,4,0))^0.5,0))</f>
        <v>0</v>
      </c>
      <c r="AT72" s="207">
        <f>+IF($B72="",0,(1-VLOOKUP(MIN($B72,6),Assumption!$M$10:$N$16,2))*AS72)</f>
        <v>0</v>
      </c>
      <c r="AU72" s="207">
        <f>+IF($B72&gt;Coverage,0,ROUND((AV71+($F72+$G72-$H72-$Q72)*PML_BF)*(1+VLOOKUP(AU$3,Assumption!$H$35:$K$43,4,0))^0.5-($M72+$R72)*PML_BF-($S72*PML_BF*AV71),0))</f>
        <v>0</v>
      </c>
      <c r="AV72" s="207">
        <f>+IF($B72&gt;Coverage,0,ROUND(AU72*(1+VLOOKUP(AU$3,Assumption!$H$35:$K$43,4,0))^0.5,0))</f>
        <v>0</v>
      </c>
      <c r="AW72" s="207">
        <f>+IF($B72="",0,(1-VLOOKUP(MIN($B72,6),Assumption!$M$10:$N$16,2))*AV72)</f>
        <v>0</v>
      </c>
      <c r="AX72" s="207">
        <f>+IF($B72&gt;Coverage,0,ROUND((AY71+($F72+$G72-$H72-$Q72)*PML_EF)*(1+VLOOKUP(AX$3,Assumption!$H$35:$K$43,4,0))^0.5-($M72+$R72)*PML_EF-($S72*PML_EF*AY71),0))</f>
        <v>0</v>
      </c>
      <c r="AY72" s="207">
        <f>+IF($B72&gt;Coverage,0,ROUND(AX72*(1+VLOOKUP(AX$3,Assumption!$H$35:$K$43,4,0))^0.5,0))</f>
        <v>0</v>
      </c>
      <c r="AZ72" s="207">
        <f>+IF($B72="",0,(1-VLOOKUP(MIN($B72,6),Assumption!$M$10:$N$16,2))*AY72)</f>
        <v>0</v>
      </c>
      <c r="BA72" s="207">
        <f>+IF($B72&gt;Coverage,0,ROUND((BB71+($F72+$G72-$H72-$Q72)*PML_FI)*(1+VLOOKUP(BA$3,Assumption!$H$35:$K$43,4,0))^0.5-($M72+$R72)*PML_FI-($S72*PML_FI*BB71),0))</f>
        <v>0</v>
      </c>
      <c r="BB72" s="207">
        <f>+IF($B72&gt;Coverage,0,ROUND(BA72*(1+VLOOKUP(BA$3,Assumption!$H$35:$K$43,4,0))^0.5,0))</f>
        <v>0</v>
      </c>
      <c r="BC72" s="207">
        <f>+IF($B72="",0,(1-VLOOKUP(MIN($B72,6),Assumption!$M$10:$N$16,2))*BB72)</f>
        <v>0</v>
      </c>
    </row>
    <row r="73" ht="14.25" customHeight="1">
      <c r="A73" s="126">
        <v>66.0</v>
      </c>
      <c r="B73" s="129" t="str">
        <f>+IF(A73&gt;Coverage,"",A73)</f>
        <v/>
      </c>
      <c r="C73" s="134" t="str">
        <f>+IF(B73=1,Insured_Age,IF(B73="","",C72+1))</f>
        <v/>
      </c>
      <c r="D73" s="134" t="str">
        <f>+IF(B73&gt;Coverage,"",IF(B73=1,input!$H$11,D72+1))</f>
        <v/>
      </c>
      <c r="E73" s="134" t="str">
        <f>IF(B73=1,premi_dasar,IF(B73&gt;Coverage,"",0))</f>
        <v/>
      </c>
      <c r="F73" s="134" t="str">
        <f>IF(B73&gt;Coverage,"",SUM(E73))</f>
        <v/>
      </c>
      <c r="G73" s="134" t="str">
        <f>IF(B73&gt;Coverage,"",SUMIFS(input!$E$38:$E$50,input!$C$38:$C$50,$C73))</f>
        <v/>
      </c>
      <c r="H73" s="134" t="str">
        <f>IF(B73&gt;Coverage,"",SUMIFS(input!$E$53:$E$87,input!$C$53:$C$87,$C73))</f>
        <v/>
      </c>
      <c r="I73" s="66" t="str">
        <f>+IF(B73="","",Sum_Assured*VLOOKUP(MIN(C73,10),Assumption!$M$19:$N$28,2,0))</f>
        <v/>
      </c>
      <c r="J73" s="66" t="str">
        <f>IF(B73="","",input!$D$33)</f>
        <v/>
      </c>
      <c r="K73" s="66" t="str">
        <f>IF(B73&gt;Coverage,"",VLOOKUP($C73,COI_Tab[],IF(sex="Male",2,3),0)*I73*(1+EM_Basic)/1000)</f>
        <v/>
      </c>
      <c r="L73" s="66" t="str">
        <f>IF(B73&gt;Coverage,"",VLOOKUP($C73,COI_Tab[],4,0)*J73*(1+EM_Basic)/1000)</f>
        <v/>
      </c>
      <c r="M73" s="207" t="str">
        <f>IF(B73&gt;Coverage,"",ROUND(K73+L73,0))</f>
        <v/>
      </c>
      <c r="N73" s="134" t="str">
        <f>IF(B73&gt;Coverage,"",VLOOKUP($B73,Assumption!$H$11:$I$15,2)*E73)</f>
        <v/>
      </c>
      <c r="O73" s="134" t="str">
        <f>IF(B73&gt;Coverage,"",Assumption!$J$11*$G73)</f>
        <v/>
      </c>
      <c r="P73" s="134" t="str">
        <f>IF(B73&gt;Coverage,"",H73*VLOOKUP(MIN(B73,6),Assumption!$M$11:$N$16,2,0))</f>
        <v/>
      </c>
      <c r="Q73" s="134" t="str">
        <f>IF(B73&gt;Coverage,"",SUM(N73:P73))</f>
        <v/>
      </c>
      <c r="R73" s="207" t="str">
        <f>+IF($B73&gt;Coverage,"",Assumption!$I$18*12)</f>
        <v/>
      </c>
      <c r="S73" s="208" t="str">
        <f>+IF($B73&gt;Coverage,"",Assumption!$I$20)</f>
        <v/>
      </c>
      <c r="T73" s="207">
        <f>+IF($B73&gt;Coverage,0,ROUND((U72+($F73+$G73-$H73-$Q73)*PML_LF)*(1+VLOOKUP(T$3,Assumption!$H$35:$K$43,2,0))^0.5-($M73+$R73)*PML_LF-($S73*PML_LF*U72),0))</f>
        <v>0</v>
      </c>
      <c r="U73" s="207">
        <f>+IF($B73&gt;Coverage,0,ROUND(T73*(1+VLOOKUP(T$3,Assumption!$H$35:$K$43,2,0))^0.5,0))</f>
        <v>0</v>
      </c>
      <c r="V73" s="207">
        <f>+IF($B73="",0,(1-VLOOKUP(MIN($B73,6),Assumption!$M$10:$N$16,2))*U73)</f>
        <v>0</v>
      </c>
      <c r="W73" s="207">
        <f>+IF($B73&gt;Coverage,0,ROUND((X72+($F73+$G73-$H73-$Q73)*PML_BF)*(1+VLOOKUP(W$3,Assumption!$H$35:$K$43,2,0))^0.5-($M73+$R73)*PML_BF-($S73*PML_BF*X72),0))</f>
        <v>0</v>
      </c>
      <c r="X73" s="207">
        <f>+IF($B73&gt;Coverage,0,ROUND(W73*(1+VLOOKUP(W$3,Assumption!$H$35:$K$43,2,0))^0.5,0))</f>
        <v>0</v>
      </c>
      <c r="Y73" s="207">
        <f>+IF($B73="",0,(1-VLOOKUP(MIN($B73,6),Assumption!$M$10:$N$16,2))*X73)</f>
        <v>0</v>
      </c>
      <c r="Z73" s="207">
        <f>+IF($B73&gt;Coverage,0,ROUND((AA72+($F73+$G73-$H73-$Q73)*PML_EF)*(1+VLOOKUP(Z$3,Assumption!$H$35:$K$43,2,0))^0.5-($M73+$R73)*PML_EF-($S73*PML_EF*AA72),0))</f>
        <v>0</v>
      </c>
      <c r="AA73" s="207">
        <f>+IF($B73&gt;Coverage,0,ROUND(Z73*(1+VLOOKUP(Z$3,Assumption!$H$35:$K$43,2,0))^0.5,0))</f>
        <v>0</v>
      </c>
      <c r="AB73" s="207">
        <f>+IF($B73="",0,(1-VLOOKUP(MIN($B73,6),Assumption!$M$10:$N$16,2))*AA73)</f>
        <v>0</v>
      </c>
      <c r="AC73" s="207">
        <f>+IF($B73&gt;Coverage,0,ROUND((AD72+($F73+$G73-$H73-$Q73)*PML_FI)*(1+VLOOKUP(AC$3,Assumption!$H$35:$K$43,2,0))^0.5-($M73+$R73)*PML_FI-($S73*PML_FI*AD72),0))</f>
        <v>0</v>
      </c>
      <c r="AD73" s="207">
        <f>+IF($B73&gt;Coverage,0,ROUND(AC73*(1+VLOOKUP(AC$3,Assumption!$H$35:$K$43,2,0))^0.5,0))</f>
        <v>0</v>
      </c>
      <c r="AE73" s="207">
        <f>+IF($B73="",0,(1-VLOOKUP(MIN($B73,6),Assumption!$M$10:$N$16,2))*AD73)</f>
        <v>0</v>
      </c>
      <c r="AF73" s="207">
        <f>+IF($B73&gt;Coverage,0,ROUND((AG72+($F73+$G73-$H73-$Q73)*PML_LF)*(1+VLOOKUP(AF$3,Assumption!$H$35:$K$43,3,0))^0.5-($M73+$R73)*PML_LF-($S73*PML_LF*AG72),0))</f>
        <v>0</v>
      </c>
      <c r="AG73" s="207">
        <f>+IF($B73&gt;Coverage,0,ROUND(AF73*(1+VLOOKUP(AF$3,Assumption!$H$35:$K$43,3,0))^0.5,0))</f>
        <v>0</v>
      </c>
      <c r="AH73" s="207">
        <f>+IF($B73="",0,(1-VLOOKUP(MIN($B73,6),Assumption!$M$10:$N$16,2))*AG73)</f>
        <v>0</v>
      </c>
      <c r="AI73" s="207">
        <f>+IF($B73&gt;Coverage,0,ROUND((AJ72+($F73+$G73-$H73-$Q73)*PML_BF)*(1+VLOOKUP(AI$3,Assumption!$H$35:$K$43,3,0))^0.5-($M73+$R73)*PML_BF-($S73*PML_BF*AJ72),0))</f>
        <v>0</v>
      </c>
      <c r="AJ73" s="207">
        <f>+IF($B73&gt;Coverage,0,ROUND(AI73*(1+VLOOKUP(AI$3,Assumption!$H$35:$K$43,3,0))^0.5,0))</f>
        <v>0</v>
      </c>
      <c r="AK73" s="207">
        <f>+IF($B73="",0,(1-VLOOKUP(MIN($B73,6),Assumption!$M$10:$N$16,2))*AJ73)</f>
        <v>0</v>
      </c>
      <c r="AL73" s="207">
        <f>+IF($B73&gt;Coverage,0,ROUND((AM72+($F73+$G73-$H73-$Q73)*PML_EF)*(1+VLOOKUP(AL$3,Assumption!$H$35:$K$43,3,0))^0.5-($M73+$R73)*PML_EF-($S73*PML_EF*AM72),0))</f>
        <v>0</v>
      </c>
      <c r="AM73" s="207">
        <f>+IF($B73&gt;Coverage,0,ROUND(AL73*(1+VLOOKUP(AL$3,Assumption!$H$35:$K$43,3,0))^0.5,0))</f>
        <v>0</v>
      </c>
      <c r="AN73" s="207">
        <f>+IF($B73="",0,(1-VLOOKUP(MIN($B73,6),Assumption!$M$10:$N$16,2))*AM73)</f>
        <v>0</v>
      </c>
      <c r="AO73" s="207">
        <f>+IF($B73&gt;Coverage,0,ROUND((AP72+($F73+$G73-$H73-$Q73)*PML_FI)*(1+VLOOKUP(AO$3,Assumption!$H$35:$K$43,3,0))^0.5-($M73+$R73)*PML_FI-($S73*PML_FI*AP72),0))</f>
        <v>0</v>
      </c>
      <c r="AP73" s="207">
        <f>+IF($B73&gt;Coverage,0,ROUND(AO73*(1+VLOOKUP(AO$3,Assumption!$H$35:$K$43,3,0))^0.5,0))</f>
        <v>0</v>
      </c>
      <c r="AQ73" s="207">
        <f>+IF($B73="",0,(1-VLOOKUP(MIN($B73,6),Assumption!$M$10:$N$16,2))*AP73)</f>
        <v>0</v>
      </c>
      <c r="AR73" s="207">
        <f>+IF($B73&gt;Coverage,0,ROUND((AS72+($F73+$G73-$H73-$Q73)*PML_LF)*(1+VLOOKUP(AR$3,Assumption!$H$35:$K$43,4,0))^0.5-($M73+$R73)*PML_LF-($S73*PML_LF*AS72),0))</f>
        <v>0</v>
      </c>
      <c r="AS73" s="207">
        <f>+IF($B73&gt;Coverage,0,ROUND(AR73*(1+VLOOKUP(AR$3,Assumption!$H$35:$K$43,4,0))^0.5,0))</f>
        <v>0</v>
      </c>
      <c r="AT73" s="207">
        <f>+IF($B73="",0,(1-VLOOKUP(MIN($B73,6),Assumption!$M$10:$N$16,2))*AS73)</f>
        <v>0</v>
      </c>
      <c r="AU73" s="207">
        <f>+IF($B73&gt;Coverage,0,ROUND((AV72+($F73+$G73-$H73-$Q73)*PML_BF)*(1+VLOOKUP(AU$3,Assumption!$H$35:$K$43,4,0))^0.5-($M73+$R73)*PML_BF-($S73*PML_BF*AV72),0))</f>
        <v>0</v>
      </c>
      <c r="AV73" s="207">
        <f>+IF($B73&gt;Coverage,0,ROUND(AU73*(1+VLOOKUP(AU$3,Assumption!$H$35:$K$43,4,0))^0.5,0))</f>
        <v>0</v>
      </c>
      <c r="AW73" s="207">
        <f>+IF($B73="",0,(1-VLOOKUP(MIN($B73,6),Assumption!$M$10:$N$16,2))*AV73)</f>
        <v>0</v>
      </c>
      <c r="AX73" s="207">
        <f>+IF($B73&gt;Coverage,0,ROUND((AY72+($F73+$G73-$H73-$Q73)*PML_EF)*(1+VLOOKUP(AX$3,Assumption!$H$35:$K$43,4,0))^0.5-($M73+$R73)*PML_EF-($S73*PML_EF*AY72),0))</f>
        <v>0</v>
      </c>
      <c r="AY73" s="207">
        <f>+IF($B73&gt;Coverage,0,ROUND(AX73*(1+VLOOKUP(AX$3,Assumption!$H$35:$K$43,4,0))^0.5,0))</f>
        <v>0</v>
      </c>
      <c r="AZ73" s="207">
        <f>+IF($B73="",0,(1-VLOOKUP(MIN($B73,6),Assumption!$M$10:$N$16,2))*AY73)</f>
        <v>0</v>
      </c>
      <c r="BA73" s="207">
        <f>+IF($B73&gt;Coverage,0,ROUND((BB72+($F73+$G73-$H73-$Q73)*PML_FI)*(1+VLOOKUP(BA$3,Assumption!$H$35:$K$43,4,0))^0.5-($M73+$R73)*PML_FI-($S73*PML_FI*BB72),0))</f>
        <v>0</v>
      </c>
      <c r="BB73" s="207">
        <f>+IF($B73&gt;Coverage,0,ROUND(BA73*(1+VLOOKUP(BA$3,Assumption!$H$35:$K$43,4,0))^0.5,0))</f>
        <v>0</v>
      </c>
      <c r="BC73" s="207">
        <f>+IF($B73="",0,(1-VLOOKUP(MIN($B73,6),Assumption!$M$10:$N$16,2))*BB73)</f>
        <v>0</v>
      </c>
    </row>
    <row r="74" ht="14.25" customHeight="1">
      <c r="A74" s="126">
        <v>67.0</v>
      </c>
      <c r="B74" s="129" t="str">
        <f>+IF(A74&gt;Coverage,"",A74)</f>
        <v/>
      </c>
      <c r="C74" s="134" t="str">
        <f>+IF(B74=1,Insured_Age,IF(B74="","",C73+1))</f>
        <v/>
      </c>
      <c r="D74" s="134" t="str">
        <f>+IF(B74&gt;Coverage,"",IF(B74=1,input!$H$11,D73+1))</f>
        <v/>
      </c>
      <c r="E74" s="134" t="str">
        <f>IF(B74=1,premi_dasar,IF(B74&gt;Coverage,"",0))</f>
        <v/>
      </c>
      <c r="F74" s="134" t="str">
        <f>IF(B74&gt;Coverage,"",SUM(E74))</f>
        <v/>
      </c>
      <c r="G74" s="134" t="str">
        <f>IF(B74&gt;Coverage,"",SUMIFS(input!$E$38:$E$50,input!$C$38:$C$50,$C74))</f>
        <v/>
      </c>
      <c r="H74" s="134" t="str">
        <f>IF(B74&gt;Coverage,"",SUMIFS(input!$E$53:$E$87,input!$C$53:$C$87,$C74))</f>
        <v/>
      </c>
      <c r="I74" s="66" t="str">
        <f>+IF(B74="","",Sum_Assured*VLOOKUP(MIN(C74,10),Assumption!$M$19:$N$28,2,0))</f>
        <v/>
      </c>
      <c r="J74" s="66" t="str">
        <f>IF(B74="","",input!$D$33)</f>
        <v/>
      </c>
      <c r="K74" s="66" t="str">
        <f>IF(B74&gt;Coverage,"",VLOOKUP($C74,COI_Tab[],IF(sex="Male",2,3),0)*I74*(1+EM_Basic)/1000)</f>
        <v/>
      </c>
      <c r="L74" s="66" t="str">
        <f>IF(B74&gt;Coverage,"",VLOOKUP($C74,COI_Tab[],4,0)*J74*(1+EM_Basic)/1000)</f>
        <v/>
      </c>
      <c r="M74" s="207" t="str">
        <f>IF(B74&gt;Coverage,"",ROUND(K74+L74,0))</f>
        <v/>
      </c>
      <c r="N74" s="134" t="str">
        <f>IF(B74&gt;Coverage,"",VLOOKUP($B74,Assumption!$H$11:$I$15,2)*E74)</f>
        <v/>
      </c>
      <c r="O74" s="134" t="str">
        <f>IF(B74&gt;Coverage,"",Assumption!$J$11*$G74)</f>
        <v/>
      </c>
      <c r="P74" s="134" t="str">
        <f>IF(B74&gt;Coverage,"",H74*VLOOKUP(MIN(B74,6),Assumption!$M$11:$N$16,2,0))</f>
        <v/>
      </c>
      <c r="Q74" s="134" t="str">
        <f>IF(B74&gt;Coverage,"",SUM(N74:P74))</f>
        <v/>
      </c>
      <c r="R74" s="207" t="str">
        <f>+IF($B74&gt;Coverage,"",Assumption!$I$18*12)</f>
        <v/>
      </c>
      <c r="S74" s="208" t="str">
        <f>+IF($B74&gt;Coverage,"",Assumption!$I$20)</f>
        <v/>
      </c>
      <c r="T74" s="207">
        <f>+IF($B74&gt;Coverage,0,ROUND((U73+($F74+$G74-$H74-$Q74)*PML_LF)*(1+VLOOKUP(T$3,Assumption!$H$35:$K$43,2,0))^0.5-($M74+$R74)*PML_LF-($S74*PML_LF*U73),0))</f>
        <v>0</v>
      </c>
      <c r="U74" s="207">
        <f>+IF($B74&gt;Coverage,0,ROUND(T74*(1+VLOOKUP(T$3,Assumption!$H$35:$K$43,2,0))^0.5,0))</f>
        <v>0</v>
      </c>
      <c r="V74" s="207">
        <f>+IF($B74="",0,(1-VLOOKUP(MIN($B74,6),Assumption!$M$10:$N$16,2))*U74)</f>
        <v>0</v>
      </c>
      <c r="W74" s="207">
        <f>+IF($B74&gt;Coverage,0,ROUND((X73+($F74+$G74-$H74-$Q74)*PML_BF)*(1+VLOOKUP(W$3,Assumption!$H$35:$K$43,2,0))^0.5-($M74+$R74)*PML_BF-($S74*PML_BF*X73),0))</f>
        <v>0</v>
      </c>
      <c r="X74" s="207">
        <f>+IF($B74&gt;Coverage,0,ROUND(W74*(1+VLOOKUP(W$3,Assumption!$H$35:$K$43,2,0))^0.5,0))</f>
        <v>0</v>
      </c>
      <c r="Y74" s="207">
        <f>+IF($B74="",0,(1-VLOOKUP(MIN($B74,6),Assumption!$M$10:$N$16,2))*X74)</f>
        <v>0</v>
      </c>
      <c r="Z74" s="207">
        <f>+IF($B74&gt;Coverage,0,ROUND((AA73+($F74+$G74-$H74-$Q74)*PML_EF)*(1+VLOOKUP(Z$3,Assumption!$H$35:$K$43,2,0))^0.5-($M74+$R74)*PML_EF-($S74*PML_EF*AA73),0))</f>
        <v>0</v>
      </c>
      <c r="AA74" s="207">
        <f>+IF($B74&gt;Coverage,0,ROUND(Z74*(1+VLOOKUP(Z$3,Assumption!$H$35:$K$43,2,0))^0.5,0))</f>
        <v>0</v>
      </c>
      <c r="AB74" s="207">
        <f>+IF($B74="",0,(1-VLOOKUP(MIN($B74,6),Assumption!$M$10:$N$16,2))*AA74)</f>
        <v>0</v>
      </c>
      <c r="AC74" s="207">
        <f>+IF($B74&gt;Coverage,0,ROUND((AD73+($F74+$G74-$H74-$Q74)*PML_FI)*(1+VLOOKUP(AC$3,Assumption!$H$35:$K$43,2,0))^0.5-($M74+$R74)*PML_FI-($S74*PML_FI*AD73),0))</f>
        <v>0</v>
      </c>
      <c r="AD74" s="207">
        <f>+IF($B74&gt;Coverage,0,ROUND(AC74*(1+VLOOKUP(AC$3,Assumption!$H$35:$K$43,2,0))^0.5,0))</f>
        <v>0</v>
      </c>
      <c r="AE74" s="207">
        <f>+IF($B74="",0,(1-VLOOKUP(MIN($B74,6),Assumption!$M$10:$N$16,2))*AD74)</f>
        <v>0</v>
      </c>
      <c r="AF74" s="207">
        <f>+IF($B74&gt;Coverage,0,ROUND((AG73+($F74+$G74-$H74-$Q74)*PML_LF)*(1+VLOOKUP(AF$3,Assumption!$H$35:$K$43,3,0))^0.5-($M74+$R74)*PML_LF-($S74*PML_LF*AG73),0))</f>
        <v>0</v>
      </c>
      <c r="AG74" s="207">
        <f>+IF($B74&gt;Coverage,0,ROUND(AF74*(1+VLOOKUP(AF$3,Assumption!$H$35:$K$43,3,0))^0.5,0))</f>
        <v>0</v>
      </c>
      <c r="AH74" s="207">
        <f>+IF($B74="",0,(1-VLOOKUP(MIN($B74,6),Assumption!$M$10:$N$16,2))*AG74)</f>
        <v>0</v>
      </c>
      <c r="AI74" s="207">
        <f>+IF($B74&gt;Coverage,0,ROUND((AJ73+($F74+$G74-$H74-$Q74)*PML_BF)*(1+VLOOKUP(AI$3,Assumption!$H$35:$K$43,3,0))^0.5-($M74+$R74)*PML_BF-($S74*PML_BF*AJ73),0))</f>
        <v>0</v>
      </c>
      <c r="AJ74" s="207">
        <f>+IF($B74&gt;Coverage,0,ROUND(AI74*(1+VLOOKUP(AI$3,Assumption!$H$35:$K$43,3,0))^0.5,0))</f>
        <v>0</v>
      </c>
      <c r="AK74" s="207">
        <f>+IF($B74="",0,(1-VLOOKUP(MIN($B74,6),Assumption!$M$10:$N$16,2))*AJ74)</f>
        <v>0</v>
      </c>
      <c r="AL74" s="207">
        <f>+IF($B74&gt;Coverage,0,ROUND((AM73+($F74+$G74-$H74-$Q74)*PML_EF)*(1+VLOOKUP(AL$3,Assumption!$H$35:$K$43,3,0))^0.5-($M74+$R74)*PML_EF-($S74*PML_EF*AM73),0))</f>
        <v>0</v>
      </c>
      <c r="AM74" s="207">
        <f>+IF($B74&gt;Coverage,0,ROUND(AL74*(1+VLOOKUP(AL$3,Assumption!$H$35:$K$43,3,0))^0.5,0))</f>
        <v>0</v>
      </c>
      <c r="AN74" s="207">
        <f>+IF($B74="",0,(1-VLOOKUP(MIN($B74,6),Assumption!$M$10:$N$16,2))*AM74)</f>
        <v>0</v>
      </c>
      <c r="AO74" s="207">
        <f>+IF($B74&gt;Coverage,0,ROUND((AP73+($F74+$G74-$H74-$Q74)*PML_FI)*(1+VLOOKUP(AO$3,Assumption!$H$35:$K$43,3,0))^0.5-($M74+$R74)*PML_FI-($S74*PML_FI*AP73),0))</f>
        <v>0</v>
      </c>
      <c r="AP74" s="207">
        <f>+IF($B74&gt;Coverage,0,ROUND(AO74*(1+VLOOKUP(AO$3,Assumption!$H$35:$K$43,3,0))^0.5,0))</f>
        <v>0</v>
      </c>
      <c r="AQ74" s="207">
        <f>+IF($B74="",0,(1-VLOOKUP(MIN($B74,6),Assumption!$M$10:$N$16,2))*AP74)</f>
        <v>0</v>
      </c>
      <c r="AR74" s="207">
        <f>+IF($B74&gt;Coverage,0,ROUND((AS73+($F74+$G74-$H74-$Q74)*PML_LF)*(1+VLOOKUP(AR$3,Assumption!$H$35:$K$43,4,0))^0.5-($M74+$R74)*PML_LF-($S74*PML_LF*AS73),0))</f>
        <v>0</v>
      </c>
      <c r="AS74" s="207">
        <f>+IF($B74&gt;Coverage,0,ROUND(AR74*(1+VLOOKUP(AR$3,Assumption!$H$35:$K$43,4,0))^0.5,0))</f>
        <v>0</v>
      </c>
      <c r="AT74" s="207">
        <f>+IF($B74="",0,(1-VLOOKUP(MIN($B74,6),Assumption!$M$10:$N$16,2))*AS74)</f>
        <v>0</v>
      </c>
      <c r="AU74" s="207">
        <f>+IF($B74&gt;Coverage,0,ROUND((AV73+($F74+$G74-$H74-$Q74)*PML_BF)*(1+VLOOKUP(AU$3,Assumption!$H$35:$K$43,4,0))^0.5-($M74+$R74)*PML_BF-($S74*PML_BF*AV73),0))</f>
        <v>0</v>
      </c>
      <c r="AV74" s="207">
        <f>+IF($B74&gt;Coverage,0,ROUND(AU74*(1+VLOOKUP(AU$3,Assumption!$H$35:$K$43,4,0))^0.5,0))</f>
        <v>0</v>
      </c>
      <c r="AW74" s="207">
        <f>+IF($B74="",0,(1-VLOOKUP(MIN($B74,6),Assumption!$M$10:$N$16,2))*AV74)</f>
        <v>0</v>
      </c>
      <c r="AX74" s="207">
        <f>+IF($B74&gt;Coverage,0,ROUND((AY73+($F74+$G74-$H74-$Q74)*PML_EF)*(1+VLOOKUP(AX$3,Assumption!$H$35:$K$43,4,0))^0.5-($M74+$R74)*PML_EF-($S74*PML_EF*AY73),0))</f>
        <v>0</v>
      </c>
      <c r="AY74" s="207">
        <f>+IF($B74&gt;Coverage,0,ROUND(AX74*(1+VLOOKUP(AX$3,Assumption!$H$35:$K$43,4,0))^0.5,0))</f>
        <v>0</v>
      </c>
      <c r="AZ74" s="207">
        <f>+IF($B74="",0,(1-VLOOKUP(MIN($B74,6),Assumption!$M$10:$N$16,2))*AY74)</f>
        <v>0</v>
      </c>
      <c r="BA74" s="207">
        <f>+IF($B74&gt;Coverage,0,ROUND((BB73+($F74+$G74-$H74-$Q74)*PML_FI)*(1+VLOOKUP(BA$3,Assumption!$H$35:$K$43,4,0))^0.5-($M74+$R74)*PML_FI-($S74*PML_FI*BB73),0))</f>
        <v>0</v>
      </c>
      <c r="BB74" s="207">
        <f>+IF($B74&gt;Coverage,0,ROUND(BA74*(1+VLOOKUP(BA$3,Assumption!$H$35:$K$43,4,0))^0.5,0))</f>
        <v>0</v>
      </c>
      <c r="BC74" s="207">
        <f>+IF($B74="",0,(1-VLOOKUP(MIN($B74,6),Assumption!$M$10:$N$16,2))*BB74)</f>
        <v>0</v>
      </c>
    </row>
    <row r="75" ht="14.25" customHeight="1">
      <c r="A75" s="126">
        <v>68.0</v>
      </c>
      <c r="B75" s="129" t="str">
        <f>+IF(A75&gt;Coverage,"",A75)</f>
        <v/>
      </c>
      <c r="C75" s="134" t="str">
        <f>+IF(B75=1,Insured_Age,IF(B75="","",C74+1))</f>
        <v/>
      </c>
      <c r="D75" s="134" t="str">
        <f>+IF(B75&gt;Coverage,"",IF(B75=1,input!$H$11,D74+1))</f>
        <v/>
      </c>
      <c r="E75" s="134" t="str">
        <f>IF(B75=1,premi_dasar,IF(B75&gt;Coverage,"",0))</f>
        <v/>
      </c>
      <c r="F75" s="134" t="str">
        <f>IF(B75&gt;Coverage,"",SUM(E75))</f>
        <v/>
      </c>
      <c r="G75" s="134" t="str">
        <f>IF(B75&gt;Coverage,"",SUMIFS(input!$E$38:$E$50,input!$C$38:$C$50,$C75))</f>
        <v/>
      </c>
      <c r="H75" s="134" t="str">
        <f>IF(B75&gt;Coverage,"",SUMIFS(input!$E$53:$E$87,input!$C$53:$C$87,$C75))</f>
        <v/>
      </c>
      <c r="I75" s="66" t="str">
        <f>+IF(B75="","",Sum_Assured*VLOOKUP(MIN(C75,10),Assumption!$M$19:$N$28,2,0))</f>
        <v/>
      </c>
      <c r="J75" s="66" t="str">
        <f>IF(B75="","",input!$D$33)</f>
        <v/>
      </c>
      <c r="K75" s="66" t="str">
        <f>IF(B75&gt;Coverage,"",VLOOKUP($C75,COI_Tab[],IF(sex="Male",2,3),0)*I75*(1+EM_Basic)/1000)</f>
        <v/>
      </c>
      <c r="L75" s="66" t="str">
        <f>IF(B75&gt;Coverage,"",VLOOKUP($C75,COI_Tab[],4,0)*J75*(1+EM_Basic)/1000)</f>
        <v/>
      </c>
      <c r="M75" s="207" t="str">
        <f>IF(B75&gt;Coverage,"",ROUND(K75+L75,0))</f>
        <v/>
      </c>
      <c r="N75" s="134" t="str">
        <f>IF(B75&gt;Coverage,"",VLOOKUP($B75,Assumption!$H$11:$I$15,2)*E75)</f>
        <v/>
      </c>
      <c r="O75" s="134" t="str">
        <f>IF(B75&gt;Coverage,"",Assumption!$J$11*$G75)</f>
        <v/>
      </c>
      <c r="P75" s="134" t="str">
        <f>IF(B75&gt;Coverage,"",H75*VLOOKUP(MIN(B75,6),Assumption!$M$11:$N$16,2,0))</f>
        <v/>
      </c>
      <c r="Q75" s="134" t="str">
        <f>IF(B75&gt;Coverage,"",SUM(N75:P75))</f>
        <v/>
      </c>
      <c r="R75" s="207" t="str">
        <f>+IF($B75&gt;Coverage,"",Assumption!$I$18*12)</f>
        <v/>
      </c>
      <c r="S75" s="208" t="str">
        <f>+IF($B75&gt;Coverage,"",Assumption!$I$20)</f>
        <v/>
      </c>
      <c r="T75" s="207">
        <f>+IF($B75&gt;Coverage,0,ROUND((U74+($F75+$G75-$H75-$Q75)*PML_LF)*(1+VLOOKUP(T$3,Assumption!$H$35:$K$43,2,0))^0.5-($M75+$R75)*PML_LF-($S75*PML_LF*U74),0))</f>
        <v>0</v>
      </c>
      <c r="U75" s="207">
        <f>+IF($B75&gt;Coverage,0,ROUND(T75*(1+VLOOKUP(T$3,Assumption!$H$35:$K$43,2,0))^0.5,0))</f>
        <v>0</v>
      </c>
      <c r="V75" s="207">
        <f>+IF($B75="",0,(1-VLOOKUP(MIN($B75,6),Assumption!$M$10:$N$16,2))*U75)</f>
        <v>0</v>
      </c>
      <c r="W75" s="207">
        <f>+IF($B75&gt;Coverage,0,ROUND((X74+($F75+$G75-$H75-$Q75)*PML_BF)*(1+VLOOKUP(W$3,Assumption!$H$35:$K$43,2,0))^0.5-($M75+$R75)*PML_BF-($S75*PML_BF*X74),0))</f>
        <v>0</v>
      </c>
      <c r="X75" s="207">
        <f>+IF($B75&gt;Coverage,0,ROUND(W75*(1+VLOOKUP(W$3,Assumption!$H$35:$K$43,2,0))^0.5,0))</f>
        <v>0</v>
      </c>
      <c r="Y75" s="207">
        <f>+IF($B75="",0,(1-VLOOKUP(MIN($B75,6),Assumption!$M$10:$N$16,2))*X75)</f>
        <v>0</v>
      </c>
      <c r="Z75" s="207">
        <f>+IF($B75&gt;Coverage,0,ROUND((AA74+($F75+$G75-$H75-$Q75)*PML_EF)*(1+VLOOKUP(Z$3,Assumption!$H$35:$K$43,2,0))^0.5-($M75+$R75)*PML_EF-($S75*PML_EF*AA74),0))</f>
        <v>0</v>
      </c>
      <c r="AA75" s="207">
        <f>+IF($B75&gt;Coverage,0,ROUND(Z75*(1+VLOOKUP(Z$3,Assumption!$H$35:$K$43,2,0))^0.5,0))</f>
        <v>0</v>
      </c>
      <c r="AB75" s="207">
        <f>+IF($B75="",0,(1-VLOOKUP(MIN($B75,6),Assumption!$M$10:$N$16,2))*AA75)</f>
        <v>0</v>
      </c>
      <c r="AC75" s="207">
        <f>+IF($B75&gt;Coverage,0,ROUND((AD74+($F75+$G75-$H75-$Q75)*PML_FI)*(1+VLOOKUP(AC$3,Assumption!$H$35:$K$43,2,0))^0.5-($M75+$R75)*PML_FI-($S75*PML_FI*AD74),0))</f>
        <v>0</v>
      </c>
      <c r="AD75" s="207">
        <f>+IF($B75&gt;Coverage,0,ROUND(AC75*(1+VLOOKUP(AC$3,Assumption!$H$35:$K$43,2,0))^0.5,0))</f>
        <v>0</v>
      </c>
      <c r="AE75" s="207">
        <f>+IF($B75="",0,(1-VLOOKUP(MIN($B75,6),Assumption!$M$10:$N$16,2))*AD75)</f>
        <v>0</v>
      </c>
      <c r="AF75" s="207">
        <f>+IF($B75&gt;Coverage,0,ROUND((AG74+($F75+$G75-$H75-$Q75)*PML_LF)*(1+VLOOKUP(AF$3,Assumption!$H$35:$K$43,3,0))^0.5-($M75+$R75)*PML_LF-($S75*PML_LF*AG74),0))</f>
        <v>0</v>
      </c>
      <c r="AG75" s="207">
        <f>+IF($B75&gt;Coverage,0,ROUND(AF75*(1+VLOOKUP(AF$3,Assumption!$H$35:$K$43,3,0))^0.5,0))</f>
        <v>0</v>
      </c>
      <c r="AH75" s="207">
        <f>+IF($B75="",0,(1-VLOOKUP(MIN($B75,6),Assumption!$M$10:$N$16,2))*AG75)</f>
        <v>0</v>
      </c>
      <c r="AI75" s="207">
        <f>+IF($B75&gt;Coverage,0,ROUND((AJ74+($F75+$G75-$H75-$Q75)*PML_BF)*(1+VLOOKUP(AI$3,Assumption!$H$35:$K$43,3,0))^0.5-($M75+$R75)*PML_BF-($S75*PML_BF*AJ74),0))</f>
        <v>0</v>
      </c>
      <c r="AJ75" s="207">
        <f>+IF($B75&gt;Coverage,0,ROUND(AI75*(1+VLOOKUP(AI$3,Assumption!$H$35:$K$43,3,0))^0.5,0))</f>
        <v>0</v>
      </c>
      <c r="AK75" s="207">
        <f>+IF($B75="",0,(1-VLOOKUP(MIN($B75,6),Assumption!$M$10:$N$16,2))*AJ75)</f>
        <v>0</v>
      </c>
      <c r="AL75" s="207">
        <f>+IF($B75&gt;Coverage,0,ROUND((AM74+($F75+$G75-$H75-$Q75)*PML_EF)*(1+VLOOKUP(AL$3,Assumption!$H$35:$K$43,3,0))^0.5-($M75+$R75)*PML_EF-($S75*PML_EF*AM74),0))</f>
        <v>0</v>
      </c>
      <c r="AM75" s="207">
        <f>+IF($B75&gt;Coverage,0,ROUND(AL75*(1+VLOOKUP(AL$3,Assumption!$H$35:$K$43,3,0))^0.5,0))</f>
        <v>0</v>
      </c>
      <c r="AN75" s="207">
        <f>+IF($B75="",0,(1-VLOOKUP(MIN($B75,6),Assumption!$M$10:$N$16,2))*AM75)</f>
        <v>0</v>
      </c>
      <c r="AO75" s="207">
        <f>+IF($B75&gt;Coverage,0,ROUND((AP74+($F75+$G75-$H75-$Q75)*PML_FI)*(1+VLOOKUP(AO$3,Assumption!$H$35:$K$43,3,0))^0.5-($M75+$R75)*PML_FI-($S75*PML_FI*AP74),0))</f>
        <v>0</v>
      </c>
      <c r="AP75" s="207">
        <f>+IF($B75&gt;Coverage,0,ROUND(AO75*(1+VLOOKUP(AO$3,Assumption!$H$35:$K$43,3,0))^0.5,0))</f>
        <v>0</v>
      </c>
      <c r="AQ75" s="207">
        <f>+IF($B75="",0,(1-VLOOKUP(MIN($B75,6),Assumption!$M$10:$N$16,2))*AP75)</f>
        <v>0</v>
      </c>
      <c r="AR75" s="207">
        <f>+IF($B75&gt;Coverage,0,ROUND((AS74+($F75+$G75-$H75-$Q75)*PML_LF)*(1+VLOOKUP(AR$3,Assumption!$H$35:$K$43,4,0))^0.5-($M75+$R75)*PML_LF-($S75*PML_LF*AS74),0))</f>
        <v>0</v>
      </c>
      <c r="AS75" s="207">
        <f>+IF($B75&gt;Coverage,0,ROUND(AR75*(1+VLOOKUP(AR$3,Assumption!$H$35:$K$43,4,0))^0.5,0))</f>
        <v>0</v>
      </c>
      <c r="AT75" s="207">
        <f>+IF($B75="",0,(1-VLOOKUP(MIN($B75,6),Assumption!$M$10:$N$16,2))*AS75)</f>
        <v>0</v>
      </c>
      <c r="AU75" s="207">
        <f>+IF($B75&gt;Coverage,0,ROUND((AV74+($F75+$G75-$H75-$Q75)*PML_BF)*(1+VLOOKUP(AU$3,Assumption!$H$35:$K$43,4,0))^0.5-($M75+$R75)*PML_BF-($S75*PML_BF*AV74),0))</f>
        <v>0</v>
      </c>
      <c r="AV75" s="207">
        <f>+IF($B75&gt;Coverage,0,ROUND(AU75*(1+VLOOKUP(AU$3,Assumption!$H$35:$K$43,4,0))^0.5,0))</f>
        <v>0</v>
      </c>
      <c r="AW75" s="207">
        <f>+IF($B75="",0,(1-VLOOKUP(MIN($B75,6),Assumption!$M$10:$N$16,2))*AV75)</f>
        <v>0</v>
      </c>
      <c r="AX75" s="207">
        <f>+IF($B75&gt;Coverage,0,ROUND((AY74+($F75+$G75-$H75-$Q75)*PML_EF)*(1+VLOOKUP(AX$3,Assumption!$H$35:$K$43,4,0))^0.5-($M75+$R75)*PML_EF-($S75*PML_EF*AY74),0))</f>
        <v>0</v>
      </c>
      <c r="AY75" s="207">
        <f>+IF($B75&gt;Coverage,0,ROUND(AX75*(1+VLOOKUP(AX$3,Assumption!$H$35:$K$43,4,0))^0.5,0))</f>
        <v>0</v>
      </c>
      <c r="AZ75" s="207">
        <f>+IF($B75="",0,(1-VLOOKUP(MIN($B75,6),Assumption!$M$10:$N$16,2))*AY75)</f>
        <v>0</v>
      </c>
      <c r="BA75" s="207">
        <f>+IF($B75&gt;Coverage,0,ROUND((BB74+($F75+$G75-$H75-$Q75)*PML_FI)*(1+VLOOKUP(BA$3,Assumption!$H$35:$K$43,4,0))^0.5-($M75+$R75)*PML_FI-($S75*PML_FI*BB74),0))</f>
        <v>0</v>
      </c>
      <c r="BB75" s="207">
        <f>+IF($B75&gt;Coverage,0,ROUND(BA75*(1+VLOOKUP(BA$3,Assumption!$H$35:$K$43,4,0))^0.5,0))</f>
        <v>0</v>
      </c>
      <c r="BC75" s="207">
        <f>+IF($B75="",0,(1-VLOOKUP(MIN($B75,6),Assumption!$M$10:$N$16,2))*BB75)</f>
        <v>0</v>
      </c>
    </row>
    <row r="76" ht="14.25" customHeight="1">
      <c r="A76" s="126">
        <v>69.0</v>
      </c>
      <c r="B76" s="129" t="str">
        <f>+IF(A76&gt;Coverage,"",A76)</f>
        <v/>
      </c>
      <c r="C76" s="134" t="str">
        <f>+IF(B76=1,Insured_Age,IF(B76="","",C75+1))</f>
        <v/>
      </c>
      <c r="D76" s="134" t="str">
        <f>+IF(B76&gt;Coverage,"",IF(B76=1,input!$H$11,D75+1))</f>
        <v/>
      </c>
      <c r="E76" s="134" t="str">
        <f>IF(B76=1,premi_dasar,IF(B76&gt;Coverage,"",0))</f>
        <v/>
      </c>
      <c r="F76" s="134" t="str">
        <f>IF(B76&gt;Coverage,"",SUM(E76))</f>
        <v/>
      </c>
      <c r="G76" s="134" t="str">
        <f>IF(B76&gt;Coverage,"",SUMIFS(input!$E$38:$E$50,input!$C$38:$C$50,$C76))</f>
        <v/>
      </c>
      <c r="H76" s="134" t="str">
        <f>IF(B76&gt;Coverage,"",SUMIFS(input!$E$53:$E$87,input!$C$53:$C$87,$C76))</f>
        <v/>
      </c>
      <c r="I76" s="66" t="str">
        <f>+IF(B76="","",Sum_Assured*VLOOKUP(MIN(C76,10),Assumption!$M$19:$N$28,2,0))</f>
        <v/>
      </c>
      <c r="J76" s="66" t="str">
        <f>IF(B76="","",input!$D$33)</f>
        <v/>
      </c>
      <c r="K76" s="66" t="str">
        <f>IF(B76&gt;Coverage,"",VLOOKUP($C76,COI_Tab[],IF(sex="Male",2,3),0)*I76*(1+EM_Basic)/1000)</f>
        <v/>
      </c>
      <c r="L76" s="66" t="str">
        <f>IF(B76&gt;Coverage,"",VLOOKUP($C76,COI_Tab[],4,0)*J76*(1+EM_Basic)/1000)</f>
        <v/>
      </c>
      <c r="M76" s="207" t="str">
        <f>IF(B76&gt;Coverage,"",ROUND(K76+L76,0))</f>
        <v/>
      </c>
      <c r="N76" s="134" t="str">
        <f>IF(B76&gt;Coverage,"",VLOOKUP($B76,Assumption!$H$11:$I$15,2)*E76)</f>
        <v/>
      </c>
      <c r="O76" s="134" t="str">
        <f>IF(B76&gt;Coverage,"",Assumption!$J$11*$G76)</f>
        <v/>
      </c>
      <c r="P76" s="134" t="str">
        <f>IF(B76&gt;Coverage,"",H76*VLOOKUP(MIN(B76,6),Assumption!$M$11:$N$16,2,0))</f>
        <v/>
      </c>
      <c r="Q76" s="134" t="str">
        <f>IF(B76&gt;Coverage,"",SUM(N76:P76))</f>
        <v/>
      </c>
      <c r="R76" s="207" t="str">
        <f>+IF($B76&gt;Coverage,"",Assumption!$I$18*12)</f>
        <v/>
      </c>
      <c r="S76" s="208" t="str">
        <f>+IF($B76&gt;Coverage,"",Assumption!$I$20)</f>
        <v/>
      </c>
      <c r="T76" s="207">
        <f>+IF($B76&gt;Coverage,0,ROUND((U75+($F76+$G76-$H76-$Q76)*PML_LF)*(1+VLOOKUP(T$3,Assumption!$H$35:$K$43,2,0))^0.5-($M76+$R76)*PML_LF-($S76*PML_LF*U75),0))</f>
        <v>0</v>
      </c>
      <c r="U76" s="207">
        <f>+IF($B76&gt;Coverage,0,ROUND(T76*(1+VLOOKUP(T$3,Assumption!$H$35:$K$43,2,0))^0.5,0))</f>
        <v>0</v>
      </c>
      <c r="V76" s="207">
        <f>+IF($B76="",0,(1-VLOOKUP(MIN($B76,6),Assumption!$M$10:$N$16,2))*U76)</f>
        <v>0</v>
      </c>
      <c r="W76" s="207">
        <f>+IF($B76&gt;Coverage,0,ROUND((X75+($F76+$G76-$H76-$Q76)*PML_BF)*(1+VLOOKUP(W$3,Assumption!$H$35:$K$43,2,0))^0.5-($M76+$R76)*PML_BF-($S76*PML_BF*X75),0))</f>
        <v>0</v>
      </c>
      <c r="X76" s="207">
        <f>+IF($B76&gt;Coverage,0,ROUND(W76*(1+VLOOKUP(W$3,Assumption!$H$35:$K$43,2,0))^0.5,0))</f>
        <v>0</v>
      </c>
      <c r="Y76" s="207">
        <f>+IF($B76="",0,(1-VLOOKUP(MIN($B76,6),Assumption!$M$10:$N$16,2))*X76)</f>
        <v>0</v>
      </c>
      <c r="Z76" s="207">
        <f>+IF($B76&gt;Coverage,0,ROUND((AA75+($F76+$G76-$H76-$Q76)*PML_EF)*(1+VLOOKUP(Z$3,Assumption!$H$35:$K$43,2,0))^0.5-($M76+$R76)*PML_EF-($S76*PML_EF*AA75),0))</f>
        <v>0</v>
      </c>
      <c r="AA76" s="207">
        <f>+IF($B76&gt;Coverage,0,ROUND(Z76*(1+VLOOKUP(Z$3,Assumption!$H$35:$K$43,2,0))^0.5,0))</f>
        <v>0</v>
      </c>
      <c r="AB76" s="207">
        <f>+IF($B76="",0,(1-VLOOKUP(MIN($B76,6),Assumption!$M$10:$N$16,2))*AA76)</f>
        <v>0</v>
      </c>
      <c r="AC76" s="207">
        <f>+IF($B76&gt;Coverage,0,ROUND((AD75+($F76+$G76-$H76-$Q76)*PML_FI)*(1+VLOOKUP(AC$3,Assumption!$H$35:$K$43,2,0))^0.5-($M76+$R76)*PML_FI-($S76*PML_FI*AD75),0))</f>
        <v>0</v>
      </c>
      <c r="AD76" s="207">
        <f>+IF($B76&gt;Coverage,0,ROUND(AC76*(1+VLOOKUP(AC$3,Assumption!$H$35:$K$43,2,0))^0.5,0))</f>
        <v>0</v>
      </c>
      <c r="AE76" s="207">
        <f>+IF($B76="",0,(1-VLOOKUP(MIN($B76,6),Assumption!$M$10:$N$16,2))*AD76)</f>
        <v>0</v>
      </c>
      <c r="AF76" s="207">
        <f>+IF($B76&gt;Coverage,0,ROUND((AG75+($F76+$G76-$H76-$Q76)*PML_LF)*(1+VLOOKUP(AF$3,Assumption!$H$35:$K$43,3,0))^0.5-($M76+$R76)*PML_LF-($S76*PML_LF*AG75),0))</f>
        <v>0</v>
      </c>
      <c r="AG76" s="207">
        <f>+IF($B76&gt;Coverage,0,ROUND(AF76*(1+VLOOKUP(AF$3,Assumption!$H$35:$K$43,3,0))^0.5,0))</f>
        <v>0</v>
      </c>
      <c r="AH76" s="207">
        <f>+IF($B76="",0,(1-VLOOKUP(MIN($B76,6),Assumption!$M$10:$N$16,2))*AG76)</f>
        <v>0</v>
      </c>
      <c r="AI76" s="207">
        <f>+IF($B76&gt;Coverage,0,ROUND((AJ75+($F76+$G76-$H76-$Q76)*PML_BF)*(1+VLOOKUP(AI$3,Assumption!$H$35:$K$43,3,0))^0.5-($M76+$R76)*PML_BF-($S76*PML_BF*AJ75),0))</f>
        <v>0</v>
      </c>
      <c r="AJ76" s="207">
        <f>+IF($B76&gt;Coverage,0,ROUND(AI76*(1+VLOOKUP(AI$3,Assumption!$H$35:$K$43,3,0))^0.5,0))</f>
        <v>0</v>
      </c>
      <c r="AK76" s="207">
        <f>+IF($B76="",0,(1-VLOOKUP(MIN($B76,6),Assumption!$M$10:$N$16,2))*AJ76)</f>
        <v>0</v>
      </c>
      <c r="AL76" s="207">
        <f>+IF($B76&gt;Coverage,0,ROUND((AM75+($F76+$G76-$H76-$Q76)*PML_EF)*(1+VLOOKUP(AL$3,Assumption!$H$35:$K$43,3,0))^0.5-($M76+$R76)*PML_EF-($S76*PML_EF*AM75),0))</f>
        <v>0</v>
      </c>
      <c r="AM76" s="207">
        <f>+IF($B76&gt;Coverage,0,ROUND(AL76*(1+VLOOKUP(AL$3,Assumption!$H$35:$K$43,3,0))^0.5,0))</f>
        <v>0</v>
      </c>
      <c r="AN76" s="207">
        <f>+IF($B76="",0,(1-VLOOKUP(MIN($B76,6),Assumption!$M$10:$N$16,2))*AM76)</f>
        <v>0</v>
      </c>
      <c r="AO76" s="207">
        <f>+IF($B76&gt;Coverage,0,ROUND((AP75+($F76+$G76-$H76-$Q76)*PML_FI)*(1+VLOOKUP(AO$3,Assumption!$H$35:$K$43,3,0))^0.5-($M76+$R76)*PML_FI-($S76*PML_FI*AP75),0))</f>
        <v>0</v>
      </c>
      <c r="AP76" s="207">
        <f>+IF($B76&gt;Coverage,0,ROUND(AO76*(1+VLOOKUP(AO$3,Assumption!$H$35:$K$43,3,0))^0.5,0))</f>
        <v>0</v>
      </c>
      <c r="AQ76" s="207">
        <f>+IF($B76="",0,(1-VLOOKUP(MIN($B76,6),Assumption!$M$10:$N$16,2))*AP76)</f>
        <v>0</v>
      </c>
      <c r="AR76" s="207">
        <f>+IF($B76&gt;Coverage,0,ROUND((AS75+($F76+$G76-$H76-$Q76)*PML_LF)*(1+VLOOKUP(AR$3,Assumption!$H$35:$K$43,4,0))^0.5-($M76+$R76)*PML_LF-($S76*PML_LF*AS75),0))</f>
        <v>0</v>
      </c>
      <c r="AS76" s="207">
        <f>+IF($B76&gt;Coverage,0,ROUND(AR76*(1+VLOOKUP(AR$3,Assumption!$H$35:$K$43,4,0))^0.5,0))</f>
        <v>0</v>
      </c>
      <c r="AT76" s="207">
        <f>+IF($B76="",0,(1-VLOOKUP(MIN($B76,6),Assumption!$M$10:$N$16,2))*AS76)</f>
        <v>0</v>
      </c>
      <c r="AU76" s="207">
        <f>+IF($B76&gt;Coverage,0,ROUND((AV75+($F76+$G76-$H76-$Q76)*PML_BF)*(1+VLOOKUP(AU$3,Assumption!$H$35:$K$43,4,0))^0.5-($M76+$R76)*PML_BF-($S76*PML_BF*AV75),0))</f>
        <v>0</v>
      </c>
      <c r="AV76" s="207">
        <f>+IF($B76&gt;Coverage,0,ROUND(AU76*(1+VLOOKUP(AU$3,Assumption!$H$35:$K$43,4,0))^0.5,0))</f>
        <v>0</v>
      </c>
      <c r="AW76" s="207">
        <f>+IF($B76="",0,(1-VLOOKUP(MIN($B76,6),Assumption!$M$10:$N$16,2))*AV76)</f>
        <v>0</v>
      </c>
      <c r="AX76" s="207">
        <f>+IF($B76&gt;Coverage,0,ROUND((AY75+($F76+$G76-$H76-$Q76)*PML_EF)*(1+VLOOKUP(AX$3,Assumption!$H$35:$K$43,4,0))^0.5-($M76+$R76)*PML_EF-($S76*PML_EF*AY75),0))</f>
        <v>0</v>
      </c>
      <c r="AY76" s="207">
        <f>+IF($B76&gt;Coverage,0,ROUND(AX76*(1+VLOOKUP(AX$3,Assumption!$H$35:$K$43,4,0))^0.5,0))</f>
        <v>0</v>
      </c>
      <c r="AZ76" s="207">
        <f>+IF($B76="",0,(1-VLOOKUP(MIN($B76,6),Assumption!$M$10:$N$16,2))*AY76)</f>
        <v>0</v>
      </c>
      <c r="BA76" s="207">
        <f>+IF($B76&gt;Coverage,0,ROUND((BB75+($F76+$G76-$H76-$Q76)*PML_FI)*(1+VLOOKUP(BA$3,Assumption!$H$35:$K$43,4,0))^0.5-($M76+$R76)*PML_FI-($S76*PML_FI*BB75),0))</f>
        <v>0</v>
      </c>
      <c r="BB76" s="207">
        <f>+IF($B76&gt;Coverage,0,ROUND(BA76*(1+VLOOKUP(BA$3,Assumption!$H$35:$K$43,4,0))^0.5,0))</f>
        <v>0</v>
      </c>
      <c r="BC76" s="207">
        <f>+IF($B76="",0,(1-VLOOKUP(MIN($B76,6),Assumption!$M$10:$N$16,2))*BB76)</f>
        <v>0</v>
      </c>
    </row>
    <row r="77" ht="14.25" customHeight="1">
      <c r="A77" s="126">
        <v>70.0</v>
      </c>
      <c r="B77" s="129" t="str">
        <f>+IF(A77&gt;Coverage,"",A77)</f>
        <v/>
      </c>
      <c r="C77" s="134" t="str">
        <f>+IF(B77=1,Insured_Age,IF(B77="","",C76+1))</f>
        <v/>
      </c>
      <c r="D77" s="134" t="str">
        <f>+IF(B77&gt;Coverage,"",IF(B77=1,input!$H$11,D76+1))</f>
        <v/>
      </c>
      <c r="E77" s="134" t="str">
        <f>IF(B77=1,premi_dasar,IF(B77&gt;Coverage,"",0))</f>
        <v/>
      </c>
      <c r="F77" s="134" t="str">
        <f>IF(B77&gt;Coverage,"",SUM(E77))</f>
        <v/>
      </c>
      <c r="G77" s="134" t="str">
        <f>IF(B77&gt;Coverage,"",SUMIFS(input!$E$38:$E$50,input!$C$38:$C$50,$C77))</f>
        <v/>
      </c>
      <c r="H77" s="134" t="str">
        <f>IF(B77&gt;Coverage,"",SUMIFS(input!$E$53:$E$87,input!$C$53:$C$87,$C77))</f>
        <v/>
      </c>
      <c r="I77" s="66" t="str">
        <f>+IF(B77="","",Sum_Assured*VLOOKUP(MIN(C77,10),Assumption!$M$19:$N$28,2,0))</f>
        <v/>
      </c>
      <c r="J77" s="66" t="str">
        <f>IF(B77="","",input!$D$33)</f>
        <v/>
      </c>
      <c r="K77" s="66" t="str">
        <f>IF(B77&gt;Coverage,"",VLOOKUP($C77,COI_Tab[],IF(sex="Male",2,3),0)*I77*(1+EM_Basic)/1000)</f>
        <v/>
      </c>
      <c r="L77" s="66" t="str">
        <f>IF(B77&gt;Coverage,"",VLOOKUP($C77,COI_Tab[],4,0)*J77*(1+EM_Basic)/1000)</f>
        <v/>
      </c>
      <c r="M77" s="207" t="str">
        <f>IF(B77&gt;Coverage,"",ROUND(K77+L77,0))</f>
        <v/>
      </c>
      <c r="N77" s="134" t="str">
        <f>IF(B77&gt;Coverage,"",VLOOKUP($B77,Assumption!$H$11:$I$15,2)*E77)</f>
        <v/>
      </c>
      <c r="O77" s="134" t="str">
        <f>IF(B77&gt;Coverage,"",Assumption!$J$11*$G77)</f>
        <v/>
      </c>
      <c r="P77" s="134" t="str">
        <f>IF(B77&gt;Coverage,"",H77*VLOOKUP(MIN(B77,6),Assumption!$M$11:$N$16,2,0))</f>
        <v/>
      </c>
      <c r="Q77" s="134" t="str">
        <f>IF(B77&gt;Coverage,"",SUM(N77:P77))</f>
        <v/>
      </c>
      <c r="R77" s="207" t="str">
        <f>+IF($B77&gt;Coverage,"",Assumption!$I$18*12)</f>
        <v/>
      </c>
      <c r="S77" s="208" t="str">
        <f>+IF($B77&gt;Coverage,"",Assumption!$I$20)</f>
        <v/>
      </c>
      <c r="T77" s="207">
        <f>+IF($B77&gt;Coverage,0,ROUND((U76+($F77+$G77-$H77-$Q77)*PML_LF)*(1+VLOOKUP(T$3,Assumption!$H$35:$K$43,2,0))^0.5-($M77+$R77)*PML_LF-($S77*PML_LF*U76),0))</f>
        <v>0</v>
      </c>
      <c r="U77" s="207">
        <f>+IF($B77&gt;Coverage,0,ROUND(T77*(1+VLOOKUP(T$3,Assumption!$H$35:$K$43,2,0))^0.5,0))</f>
        <v>0</v>
      </c>
      <c r="V77" s="207">
        <f>+IF($B77="",0,(1-VLOOKUP(MIN($B77,6),Assumption!$M$10:$N$16,2))*U77)</f>
        <v>0</v>
      </c>
      <c r="W77" s="207">
        <f>+IF($B77&gt;Coverage,0,ROUND((X76+($F77+$G77-$H77-$Q77)*PML_BF)*(1+VLOOKUP(W$3,Assumption!$H$35:$K$43,2,0))^0.5-($M77+$R77)*PML_BF-($S77*PML_BF*X76),0))</f>
        <v>0</v>
      </c>
      <c r="X77" s="207">
        <f>+IF($B77&gt;Coverage,0,ROUND(W77*(1+VLOOKUP(W$3,Assumption!$H$35:$K$43,2,0))^0.5,0))</f>
        <v>0</v>
      </c>
      <c r="Y77" s="207">
        <f>+IF($B77="",0,(1-VLOOKUP(MIN($B77,6),Assumption!$M$10:$N$16,2))*X77)</f>
        <v>0</v>
      </c>
      <c r="Z77" s="207">
        <f>+IF($B77&gt;Coverage,0,ROUND((AA76+($F77+$G77-$H77-$Q77)*PML_EF)*(1+VLOOKUP(Z$3,Assumption!$H$35:$K$43,2,0))^0.5-($M77+$R77)*PML_EF-($S77*PML_EF*AA76),0))</f>
        <v>0</v>
      </c>
      <c r="AA77" s="207">
        <f>+IF($B77&gt;Coverage,0,ROUND(Z77*(1+VLOOKUP(Z$3,Assumption!$H$35:$K$43,2,0))^0.5,0))</f>
        <v>0</v>
      </c>
      <c r="AB77" s="207">
        <f>+IF($B77="",0,(1-VLOOKUP(MIN($B77,6),Assumption!$M$10:$N$16,2))*AA77)</f>
        <v>0</v>
      </c>
      <c r="AC77" s="207">
        <f>+IF($B77&gt;Coverage,0,ROUND((AD76+($F77+$G77-$H77-$Q77)*PML_FI)*(1+VLOOKUP(AC$3,Assumption!$H$35:$K$43,2,0))^0.5-($M77+$R77)*PML_FI-($S77*PML_FI*AD76),0))</f>
        <v>0</v>
      </c>
      <c r="AD77" s="207">
        <f>+IF($B77&gt;Coverage,0,ROUND(AC77*(1+VLOOKUP(AC$3,Assumption!$H$35:$K$43,2,0))^0.5,0))</f>
        <v>0</v>
      </c>
      <c r="AE77" s="207">
        <f>+IF($B77="",0,(1-VLOOKUP(MIN($B77,6),Assumption!$M$10:$N$16,2))*AD77)</f>
        <v>0</v>
      </c>
      <c r="AF77" s="207">
        <f>+IF($B77&gt;Coverage,0,ROUND((AG76+($F77+$G77-$H77-$Q77)*PML_LF)*(1+VLOOKUP(AF$3,Assumption!$H$35:$K$43,3,0))^0.5-($M77+$R77)*PML_LF-($S77*PML_LF*AG76),0))</f>
        <v>0</v>
      </c>
      <c r="AG77" s="207">
        <f>+IF($B77&gt;Coverage,0,ROUND(AF77*(1+VLOOKUP(AF$3,Assumption!$H$35:$K$43,3,0))^0.5,0))</f>
        <v>0</v>
      </c>
      <c r="AH77" s="207">
        <f>+IF($B77="",0,(1-VLOOKUP(MIN($B77,6),Assumption!$M$10:$N$16,2))*AG77)</f>
        <v>0</v>
      </c>
      <c r="AI77" s="207">
        <f>+IF($B77&gt;Coverage,0,ROUND((AJ76+($F77+$G77-$H77-$Q77)*PML_BF)*(1+VLOOKUP(AI$3,Assumption!$H$35:$K$43,3,0))^0.5-($M77+$R77)*PML_BF-($S77*PML_BF*AJ76),0))</f>
        <v>0</v>
      </c>
      <c r="AJ77" s="207">
        <f>+IF($B77&gt;Coverage,0,ROUND(AI77*(1+VLOOKUP(AI$3,Assumption!$H$35:$K$43,3,0))^0.5,0))</f>
        <v>0</v>
      </c>
      <c r="AK77" s="207">
        <f>+IF($B77="",0,(1-VLOOKUP(MIN($B77,6),Assumption!$M$10:$N$16,2))*AJ77)</f>
        <v>0</v>
      </c>
      <c r="AL77" s="207">
        <f>+IF($B77&gt;Coverage,0,ROUND((AM76+($F77+$G77-$H77-$Q77)*PML_EF)*(1+VLOOKUP(AL$3,Assumption!$H$35:$K$43,3,0))^0.5-($M77+$R77)*PML_EF-($S77*PML_EF*AM76),0))</f>
        <v>0</v>
      </c>
      <c r="AM77" s="207">
        <f>+IF($B77&gt;Coverage,0,ROUND(AL77*(1+VLOOKUP(AL$3,Assumption!$H$35:$K$43,3,0))^0.5,0))</f>
        <v>0</v>
      </c>
      <c r="AN77" s="207">
        <f>+IF($B77="",0,(1-VLOOKUP(MIN($B77,6),Assumption!$M$10:$N$16,2))*AM77)</f>
        <v>0</v>
      </c>
      <c r="AO77" s="207">
        <f>+IF($B77&gt;Coverage,0,ROUND((AP76+($F77+$G77-$H77-$Q77)*PML_FI)*(1+VLOOKUP(AO$3,Assumption!$H$35:$K$43,3,0))^0.5-($M77+$R77)*PML_FI-($S77*PML_FI*AP76),0))</f>
        <v>0</v>
      </c>
      <c r="AP77" s="207">
        <f>+IF($B77&gt;Coverage,0,ROUND(AO77*(1+VLOOKUP(AO$3,Assumption!$H$35:$K$43,3,0))^0.5,0))</f>
        <v>0</v>
      </c>
      <c r="AQ77" s="207">
        <f>+IF($B77="",0,(1-VLOOKUP(MIN($B77,6),Assumption!$M$10:$N$16,2))*AP77)</f>
        <v>0</v>
      </c>
      <c r="AR77" s="207">
        <f>+IF($B77&gt;Coverage,0,ROUND((AS76+($F77+$G77-$H77-$Q77)*PML_LF)*(1+VLOOKUP(AR$3,Assumption!$H$35:$K$43,4,0))^0.5-($M77+$R77)*PML_LF-($S77*PML_LF*AS76),0))</f>
        <v>0</v>
      </c>
      <c r="AS77" s="207">
        <f>+IF($B77&gt;Coverage,0,ROUND(AR77*(1+VLOOKUP(AR$3,Assumption!$H$35:$K$43,4,0))^0.5,0))</f>
        <v>0</v>
      </c>
      <c r="AT77" s="207">
        <f>+IF($B77="",0,(1-VLOOKUP(MIN($B77,6),Assumption!$M$10:$N$16,2))*AS77)</f>
        <v>0</v>
      </c>
      <c r="AU77" s="207">
        <f>+IF($B77&gt;Coverage,0,ROUND((AV76+($F77+$G77-$H77-$Q77)*PML_BF)*(1+VLOOKUP(AU$3,Assumption!$H$35:$K$43,4,0))^0.5-($M77+$R77)*PML_BF-($S77*PML_BF*AV76),0))</f>
        <v>0</v>
      </c>
      <c r="AV77" s="207">
        <f>+IF($B77&gt;Coverage,0,ROUND(AU77*(1+VLOOKUP(AU$3,Assumption!$H$35:$K$43,4,0))^0.5,0))</f>
        <v>0</v>
      </c>
      <c r="AW77" s="207">
        <f>+IF($B77="",0,(1-VLOOKUP(MIN($B77,6),Assumption!$M$10:$N$16,2))*AV77)</f>
        <v>0</v>
      </c>
      <c r="AX77" s="207">
        <f>+IF($B77&gt;Coverage,0,ROUND((AY76+($F77+$G77-$H77-$Q77)*PML_EF)*(1+VLOOKUP(AX$3,Assumption!$H$35:$K$43,4,0))^0.5-($M77+$R77)*PML_EF-($S77*PML_EF*AY76),0))</f>
        <v>0</v>
      </c>
      <c r="AY77" s="207">
        <f>+IF($B77&gt;Coverage,0,ROUND(AX77*(1+VLOOKUP(AX$3,Assumption!$H$35:$K$43,4,0))^0.5,0))</f>
        <v>0</v>
      </c>
      <c r="AZ77" s="207">
        <f>+IF($B77="",0,(1-VLOOKUP(MIN($B77,6),Assumption!$M$10:$N$16,2))*AY77)</f>
        <v>0</v>
      </c>
      <c r="BA77" s="207">
        <f>+IF($B77&gt;Coverage,0,ROUND((BB76+($F77+$G77-$H77-$Q77)*PML_FI)*(1+VLOOKUP(BA$3,Assumption!$H$35:$K$43,4,0))^0.5-($M77+$R77)*PML_FI-($S77*PML_FI*BB76),0))</f>
        <v>0</v>
      </c>
      <c r="BB77" s="207">
        <f>+IF($B77&gt;Coverage,0,ROUND(BA77*(1+VLOOKUP(BA$3,Assumption!$H$35:$K$43,4,0))^0.5,0))</f>
        <v>0</v>
      </c>
      <c r="BC77" s="207">
        <f>+IF($B77="",0,(1-VLOOKUP(MIN($B77,6),Assumption!$M$10:$N$16,2))*BB77)</f>
        <v>0</v>
      </c>
    </row>
    <row r="78" ht="14.25" customHeight="1">
      <c r="A78" s="126">
        <v>71.0</v>
      </c>
      <c r="B78" s="129" t="str">
        <f>+IF(A78&gt;Coverage,"",A78)</f>
        <v/>
      </c>
      <c r="C78" s="134" t="str">
        <f>+IF(B78=1,Insured_Age,IF(B78="","",C77+1))</f>
        <v/>
      </c>
      <c r="D78" s="134" t="str">
        <f>+IF(B78&gt;Coverage,"",IF(B78=1,input!$H$11,D77+1))</f>
        <v/>
      </c>
      <c r="E78" s="134" t="str">
        <f>IF(B78=1,premi_dasar,IF(B78&gt;Coverage,"",0))</f>
        <v/>
      </c>
      <c r="F78" s="134" t="str">
        <f>IF(B78&gt;Coverage,"",SUM(E78))</f>
        <v/>
      </c>
      <c r="G78" s="134" t="str">
        <f>IF(B78&gt;Coverage,"",SUMIFS(input!$E$38:$E$50,input!$C$38:$C$50,$C78))</f>
        <v/>
      </c>
      <c r="H78" s="134" t="str">
        <f>IF(B78&gt;Coverage,"",SUMIFS(input!$E$53:$E$87,input!$C$53:$C$87,$C78))</f>
        <v/>
      </c>
      <c r="I78" s="66" t="str">
        <f>+IF(B78="","",Sum_Assured*VLOOKUP(MIN(C78,10),Assumption!$M$19:$N$28,2,0))</f>
        <v/>
      </c>
      <c r="J78" s="66" t="str">
        <f>IF(B78="","",input!$D$33)</f>
        <v/>
      </c>
      <c r="K78" s="66" t="str">
        <f>IF(B78&gt;Coverage,"",VLOOKUP($C78,COI_Tab[],IF(sex="Male",2,3),0)*I78*(1+EM_Basic)/1000)</f>
        <v/>
      </c>
      <c r="L78" s="66" t="str">
        <f>IF(B78&gt;Coverage,"",VLOOKUP($C78,COI_Tab[],4,0)*J78*(1+EM_Basic)/1000)</f>
        <v/>
      </c>
      <c r="M78" s="207" t="str">
        <f>IF(B78&gt;Coverage,"",ROUND(K78+L78,0))</f>
        <v/>
      </c>
      <c r="N78" s="134" t="str">
        <f>IF(B78&gt;Coverage,"",VLOOKUP($B78,Assumption!$H$11:$I$15,2)*E78)</f>
        <v/>
      </c>
      <c r="O78" s="134" t="str">
        <f>IF(B78&gt;Coverage,"",Assumption!$J$11*$G78)</f>
        <v/>
      </c>
      <c r="P78" s="134" t="str">
        <f>IF(B78&gt;Coverage,"",H78*VLOOKUP(MIN(B78,6),Assumption!$M$11:$N$16,2,0))</f>
        <v/>
      </c>
      <c r="Q78" s="134" t="str">
        <f>IF(B78&gt;Coverage,"",SUM(N78:P78))</f>
        <v/>
      </c>
      <c r="R78" s="207" t="str">
        <f>+IF($B78&gt;Coverage,"",Assumption!$I$18*12)</f>
        <v/>
      </c>
      <c r="S78" s="208" t="str">
        <f>+IF($B78&gt;Coverage,"",Assumption!$I$20)</f>
        <v/>
      </c>
      <c r="T78" s="207">
        <f>+IF($B78&gt;Coverage,0,ROUND((U77+($F78+$G78-$H78-$Q78)*PML_LF)*(1+VLOOKUP(T$3,Assumption!$H$35:$K$43,2,0))^0.5-($M78+$R78)*PML_LF-($S78*PML_LF*U77),0))</f>
        <v>0</v>
      </c>
      <c r="U78" s="207">
        <f>+IF($B78&gt;Coverage,0,ROUND(T78*(1+VLOOKUP(T$3,Assumption!$H$35:$K$43,2,0))^0.5,0))</f>
        <v>0</v>
      </c>
      <c r="V78" s="207">
        <f>+IF($B78="",0,(1-VLOOKUP(MIN($B78,6),Assumption!$M$10:$N$16,2))*U78)</f>
        <v>0</v>
      </c>
      <c r="W78" s="207">
        <f>+IF($B78&gt;Coverage,0,ROUND((X77+($F78+$G78-$H78-$Q78)*PML_BF)*(1+VLOOKUP(W$3,Assumption!$H$35:$K$43,2,0))^0.5-($M78+$R78)*PML_BF-($S78*PML_BF*X77),0))</f>
        <v>0</v>
      </c>
      <c r="X78" s="207">
        <f>+IF($B78&gt;Coverage,0,ROUND(W78*(1+VLOOKUP(W$3,Assumption!$H$35:$K$43,2,0))^0.5,0))</f>
        <v>0</v>
      </c>
      <c r="Y78" s="207">
        <f>+IF($B78="",0,(1-VLOOKUP(MIN($B78,6),Assumption!$M$10:$N$16,2))*X78)</f>
        <v>0</v>
      </c>
      <c r="Z78" s="207">
        <f>+IF($B78&gt;Coverage,0,ROUND((AA77+($F78+$G78-$H78-$Q78)*PML_EF)*(1+VLOOKUP(Z$3,Assumption!$H$35:$K$43,2,0))^0.5-($M78+$R78)*PML_EF-($S78*PML_EF*AA77),0))</f>
        <v>0</v>
      </c>
      <c r="AA78" s="207">
        <f>+IF($B78&gt;Coverage,0,ROUND(Z78*(1+VLOOKUP(Z$3,Assumption!$H$35:$K$43,2,0))^0.5,0))</f>
        <v>0</v>
      </c>
      <c r="AB78" s="207">
        <f>+IF($B78="",0,(1-VLOOKUP(MIN($B78,6),Assumption!$M$10:$N$16,2))*AA78)</f>
        <v>0</v>
      </c>
      <c r="AC78" s="207">
        <f>+IF($B78&gt;Coverage,0,ROUND((AD77+($F78+$G78-$H78-$Q78)*PML_FI)*(1+VLOOKUP(AC$3,Assumption!$H$35:$K$43,2,0))^0.5-($M78+$R78)*PML_FI-($S78*PML_FI*AD77),0))</f>
        <v>0</v>
      </c>
      <c r="AD78" s="207">
        <f>+IF($B78&gt;Coverage,0,ROUND(AC78*(1+VLOOKUP(AC$3,Assumption!$H$35:$K$43,2,0))^0.5,0))</f>
        <v>0</v>
      </c>
      <c r="AE78" s="207">
        <f>+IF($B78="",0,(1-VLOOKUP(MIN($B78,6),Assumption!$M$10:$N$16,2))*AD78)</f>
        <v>0</v>
      </c>
      <c r="AF78" s="207">
        <f>+IF($B78&gt;Coverage,0,ROUND((AG77+($F78+$G78-$H78-$Q78)*PML_LF)*(1+VLOOKUP(AF$3,Assumption!$H$35:$K$43,3,0))^0.5-($M78+$R78)*PML_LF-($S78*PML_LF*AG77),0))</f>
        <v>0</v>
      </c>
      <c r="AG78" s="207">
        <f>+IF($B78&gt;Coverage,0,ROUND(AF78*(1+VLOOKUP(AF$3,Assumption!$H$35:$K$43,3,0))^0.5,0))</f>
        <v>0</v>
      </c>
      <c r="AH78" s="207">
        <f>+IF($B78="",0,(1-VLOOKUP(MIN($B78,6),Assumption!$M$10:$N$16,2))*AG78)</f>
        <v>0</v>
      </c>
      <c r="AI78" s="207">
        <f>+IF($B78&gt;Coverage,0,ROUND((AJ77+($F78+$G78-$H78-$Q78)*PML_BF)*(1+VLOOKUP(AI$3,Assumption!$H$35:$K$43,3,0))^0.5-($M78+$R78)*PML_BF-($S78*PML_BF*AJ77),0))</f>
        <v>0</v>
      </c>
      <c r="AJ78" s="207">
        <f>+IF($B78&gt;Coverage,0,ROUND(AI78*(1+VLOOKUP(AI$3,Assumption!$H$35:$K$43,3,0))^0.5,0))</f>
        <v>0</v>
      </c>
      <c r="AK78" s="207">
        <f>+IF($B78="",0,(1-VLOOKUP(MIN($B78,6),Assumption!$M$10:$N$16,2))*AJ78)</f>
        <v>0</v>
      </c>
      <c r="AL78" s="207">
        <f>+IF($B78&gt;Coverage,0,ROUND((AM77+($F78+$G78-$H78-$Q78)*PML_EF)*(1+VLOOKUP(AL$3,Assumption!$H$35:$K$43,3,0))^0.5-($M78+$R78)*PML_EF-($S78*PML_EF*AM77),0))</f>
        <v>0</v>
      </c>
      <c r="AM78" s="207">
        <f>+IF($B78&gt;Coverage,0,ROUND(AL78*(1+VLOOKUP(AL$3,Assumption!$H$35:$K$43,3,0))^0.5,0))</f>
        <v>0</v>
      </c>
      <c r="AN78" s="207">
        <f>+IF($B78="",0,(1-VLOOKUP(MIN($B78,6),Assumption!$M$10:$N$16,2))*AM78)</f>
        <v>0</v>
      </c>
      <c r="AO78" s="207">
        <f>+IF($B78&gt;Coverage,0,ROUND((AP77+($F78+$G78-$H78-$Q78)*PML_FI)*(1+VLOOKUP(AO$3,Assumption!$H$35:$K$43,3,0))^0.5-($M78+$R78)*PML_FI-($S78*PML_FI*AP77),0))</f>
        <v>0</v>
      </c>
      <c r="AP78" s="207">
        <f>+IF($B78&gt;Coverage,0,ROUND(AO78*(1+VLOOKUP(AO$3,Assumption!$H$35:$K$43,3,0))^0.5,0))</f>
        <v>0</v>
      </c>
      <c r="AQ78" s="207">
        <f>+IF($B78="",0,(1-VLOOKUP(MIN($B78,6),Assumption!$M$10:$N$16,2))*AP78)</f>
        <v>0</v>
      </c>
      <c r="AR78" s="207">
        <f>+IF($B78&gt;Coverage,0,ROUND((AS77+($F78+$G78-$H78-$Q78)*PML_LF)*(1+VLOOKUP(AR$3,Assumption!$H$35:$K$43,4,0))^0.5-($M78+$R78)*PML_LF-($S78*PML_LF*AS77),0))</f>
        <v>0</v>
      </c>
      <c r="AS78" s="207">
        <f>+IF($B78&gt;Coverage,0,ROUND(AR78*(1+VLOOKUP(AR$3,Assumption!$H$35:$K$43,4,0))^0.5,0))</f>
        <v>0</v>
      </c>
      <c r="AT78" s="207">
        <f>+IF($B78="",0,(1-VLOOKUP(MIN($B78,6),Assumption!$M$10:$N$16,2))*AS78)</f>
        <v>0</v>
      </c>
      <c r="AU78" s="207">
        <f>+IF($B78&gt;Coverage,0,ROUND((AV77+($F78+$G78-$H78-$Q78)*PML_BF)*(1+VLOOKUP(AU$3,Assumption!$H$35:$K$43,4,0))^0.5-($M78+$R78)*PML_BF-($S78*PML_BF*AV77),0))</f>
        <v>0</v>
      </c>
      <c r="AV78" s="207">
        <f>+IF($B78&gt;Coverage,0,ROUND(AU78*(1+VLOOKUP(AU$3,Assumption!$H$35:$K$43,4,0))^0.5,0))</f>
        <v>0</v>
      </c>
      <c r="AW78" s="207">
        <f>+IF($B78="",0,(1-VLOOKUP(MIN($B78,6),Assumption!$M$10:$N$16,2))*AV78)</f>
        <v>0</v>
      </c>
      <c r="AX78" s="207">
        <f>+IF($B78&gt;Coverage,0,ROUND((AY77+($F78+$G78-$H78-$Q78)*PML_EF)*(1+VLOOKUP(AX$3,Assumption!$H$35:$K$43,4,0))^0.5-($M78+$R78)*PML_EF-($S78*PML_EF*AY77),0))</f>
        <v>0</v>
      </c>
      <c r="AY78" s="207">
        <f>+IF($B78&gt;Coverage,0,ROUND(AX78*(1+VLOOKUP(AX$3,Assumption!$H$35:$K$43,4,0))^0.5,0))</f>
        <v>0</v>
      </c>
      <c r="AZ78" s="207">
        <f>+IF($B78="",0,(1-VLOOKUP(MIN($B78,6),Assumption!$M$10:$N$16,2))*AY78)</f>
        <v>0</v>
      </c>
      <c r="BA78" s="207">
        <f>+IF($B78&gt;Coverage,0,ROUND((BB77+($F78+$G78-$H78-$Q78)*PML_FI)*(1+VLOOKUP(BA$3,Assumption!$H$35:$K$43,4,0))^0.5-($M78+$R78)*PML_FI-($S78*PML_FI*BB77),0))</f>
        <v>0</v>
      </c>
      <c r="BB78" s="207">
        <f>+IF($B78&gt;Coverage,0,ROUND(BA78*(1+VLOOKUP(BA$3,Assumption!$H$35:$K$43,4,0))^0.5,0))</f>
        <v>0</v>
      </c>
      <c r="BC78" s="207">
        <f>+IF($B78="",0,(1-VLOOKUP(MIN($B78,6),Assumption!$M$10:$N$16,2))*BB78)</f>
        <v>0</v>
      </c>
    </row>
    <row r="79" ht="14.25" customHeight="1">
      <c r="A79" s="126">
        <v>72.0</v>
      </c>
      <c r="B79" s="129" t="str">
        <f>+IF(A79&gt;Coverage,"",A79)</f>
        <v/>
      </c>
      <c r="C79" s="134" t="str">
        <f>+IF(B79=1,Insured_Age,IF(B79="","",C78+1))</f>
        <v/>
      </c>
      <c r="D79" s="134" t="str">
        <f>+IF(B79&gt;Coverage,"",IF(B79=1,input!$H$11,D78+1))</f>
        <v/>
      </c>
      <c r="E79" s="134" t="str">
        <f>IF(B79=1,premi_dasar,IF(B79&gt;Coverage,"",0))</f>
        <v/>
      </c>
      <c r="F79" s="134" t="str">
        <f>IF(B79&gt;Coverage,"",SUM(E79))</f>
        <v/>
      </c>
      <c r="G79" s="134" t="str">
        <f>IF(B79&gt;Coverage,"",SUMIFS(input!$E$38:$E$50,input!$C$38:$C$50,$C79))</f>
        <v/>
      </c>
      <c r="H79" s="134" t="str">
        <f>IF(B79&gt;Coverage,"",SUMIFS(input!$E$53:$E$87,input!$C$53:$C$87,$C79))</f>
        <v/>
      </c>
      <c r="I79" s="66" t="str">
        <f>+IF(B79="","",Sum_Assured*VLOOKUP(MIN(C79,10),Assumption!$M$19:$N$28,2,0))</f>
        <v/>
      </c>
      <c r="J79" s="66" t="str">
        <f>IF(B79="","",input!$D$33)</f>
        <v/>
      </c>
      <c r="K79" s="66" t="str">
        <f>IF(B79&gt;Coverage,"",VLOOKUP($C79,COI_Tab[],IF(sex="Male",2,3),0)*I79*(1+EM_Basic)/1000)</f>
        <v/>
      </c>
      <c r="L79" s="66" t="str">
        <f>IF(B79&gt;Coverage,"",VLOOKUP($C79,COI_Tab[],4,0)*J79*(1+EM_Basic)/1000)</f>
        <v/>
      </c>
      <c r="M79" s="207" t="str">
        <f>IF(B79&gt;Coverage,"",ROUND(K79+L79,0))</f>
        <v/>
      </c>
      <c r="N79" s="134" t="str">
        <f>IF(B79&gt;Coverage,"",VLOOKUP($B79,Assumption!$H$11:$I$15,2)*E79)</f>
        <v/>
      </c>
      <c r="O79" s="134" t="str">
        <f>IF(B79&gt;Coverage,"",Assumption!$J$11*$G79)</f>
        <v/>
      </c>
      <c r="P79" s="134" t="str">
        <f>IF(B79&gt;Coverage,"",H79*VLOOKUP(MIN(B79,6),Assumption!$M$11:$N$16,2,0))</f>
        <v/>
      </c>
      <c r="Q79" s="134" t="str">
        <f>IF(B79&gt;Coverage,"",SUM(N79:P79))</f>
        <v/>
      </c>
      <c r="R79" s="207" t="str">
        <f>+IF($B79&gt;Coverage,"",Assumption!$I$18*12)</f>
        <v/>
      </c>
      <c r="S79" s="208" t="str">
        <f>+IF($B79&gt;Coverage,"",Assumption!$I$20)</f>
        <v/>
      </c>
      <c r="T79" s="207">
        <f>+IF($B79&gt;Coverage,0,ROUND((U78+($F79+$G79-$H79-$Q79)*PML_LF)*(1+VLOOKUP(T$3,Assumption!$H$35:$K$43,2,0))^0.5-($M79+$R79)*PML_LF-($S79*PML_LF*U78),0))</f>
        <v>0</v>
      </c>
      <c r="U79" s="207">
        <f>+IF($B79&gt;Coverage,0,ROUND(T79*(1+VLOOKUP(T$3,Assumption!$H$35:$K$43,2,0))^0.5,0))</f>
        <v>0</v>
      </c>
      <c r="V79" s="207">
        <f>+IF($B79="",0,(1-VLOOKUP(MIN($B79,6),Assumption!$M$10:$N$16,2))*U79)</f>
        <v>0</v>
      </c>
      <c r="W79" s="207">
        <f>+IF($B79&gt;Coverage,0,ROUND((X78+($F79+$G79-$H79-$Q79)*PML_BF)*(1+VLOOKUP(W$3,Assumption!$H$35:$K$43,2,0))^0.5-($M79+$R79)*PML_BF-($S79*PML_BF*X78),0))</f>
        <v>0</v>
      </c>
      <c r="X79" s="207">
        <f>+IF($B79&gt;Coverage,0,ROUND(W79*(1+VLOOKUP(W$3,Assumption!$H$35:$K$43,2,0))^0.5,0))</f>
        <v>0</v>
      </c>
      <c r="Y79" s="207">
        <f>+IF($B79="",0,(1-VLOOKUP(MIN($B79,6),Assumption!$M$10:$N$16,2))*X79)</f>
        <v>0</v>
      </c>
      <c r="Z79" s="207">
        <f>+IF($B79&gt;Coverage,0,ROUND((AA78+($F79+$G79-$H79-$Q79)*PML_EF)*(1+VLOOKUP(Z$3,Assumption!$H$35:$K$43,2,0))^0.5-($M79+$R79)*PML_EF-($S79*PML_EF*AA78),0))</f>
        <v>0</v>
      </c>
      <c r="AA79" s="207">
        <f>+IF($B79&gt;Coverage,0,ROUND(Z79*(1+VLOOKUP(Z$3,Assumption!$H$35:$K$43,2,0))^0.5,0))</f>
        <v>0</v>
      </c>
      <c r="AB79" s="207">
        <f>+IF($B79="",0,(1-VLOOKUP(MIN($B79,6),Assumption!$M$10:$N$16,2))*AA79)</f>
        <v>0</v>
      </c>
      <c r="AC79" s="207">
        <f>+IF($B79&gt;Coverage,0,ROUND((AD78+($F79+$G79-$H79-$Q79)*PML_FI)*(1+VLOOKUP(AC$3,Assumption!$H$35:$K$43,2,0))^0.5-($M79+$R79)*PML_FI-($S79*PML_FI*AD78),0))</f>
        <v>0</v>
      </c>
      <c r="AD79" s="207">
        <f>+IF($B79&gt;Coverage,0,ROUND(AC79*(1+VLOOKUP(AC$3,Assumption!$H$35:$K$43,2,0))^0.5,0))</f>
        <v>0</v>
      </c>
      <c r="AE79" s="207">
        <f>+IF($B79="",0,(1-VLOOKUP(MIN($B79,6),Assumption!$M$10:$N$16,2))*AD79)</f>
        <v>0</v>
      </c>
      <c r="AF79" s="207">
        <f>+IF($B79&gt;Coverage,0,ROUND((AG78+($F79+$G79-$H79-$Q79)*PML_LF)*(1+VLOOKUP(AF$3,Assumption!$H$35:$K$43,3,0))^0.5-($M79+$R79)*PML_LF-($S79*PML_LF*AG78),0))</f>
        <v>0</v>
      </c>
      <c r="AG79" s="207">
        <f>+IF($B79&gt;Coverage,0,ROUND(AF79*(1+VLOOKUP(AF$3,Assumption!$H$35:$K$43,3,0))^0.5,0))</f>
        <v>0</v>
      </c>
      <c r="AH79" s="207">
        <f>+IF($B79="",0,(1-VLOOKUP(MIN($B79,6),Assumption!$M$10:$N$16,2))*AG79)</f>
        <v>0</v>
      </c>
      <c r="AI79" s="207">
        <f>+IF($B79&gt;Coverage,0,ROUND((AJ78+($F79+$G79-$H79-$Q79)*PML_BF)*(1+VLOOKUP(AI$3,Assumption!$H$35:$K$43,3,0))^0.5-($M79+$R79)*PML_BF-($S79*PML_BF*AJ78),0))</f>
        <v>0</v>
      </c>
      <c r="AJ79" s="207">
        <f>+IF($B79&gt;Coverage,0,ROUND(AI79*(1+VLOOKUP(AI$3,Assumption!$H$35:$K$43,3,0))^0.5,0))</f>
        <v>0</v>
      </c>
      <c r="AK79" s="207">
        <f>+IF($B79="",0,(1-VLOOKUP(MIN($B79,6),Assumption!$M$10:$N$16,2))*AJ79)</f>
        <v>0</v>
      </c>
      <c r="AL79" s="207">
        <f>+IF($B79&gt;Coverage,0,ROUND((AM78+($F79+$G79-$H79-$Q79)*PML_EF)*(1+VLOOKUP(AL$3,Assumption!$H$35:$K$43,3,0))^0.5-($M79+$R79)*PML_EF-($S79*PML_EF*AM78),0))</f>
        <v>0</v>
      </c>
      <c r="AM79" s="207">
        <f>+IF($B79&gt;Coverage,0,ROUND(AL79*(1+VLOOKUP(AL$3,Assumption!$H$35:$K$43,3,0))^0.5,0))</f>
        <v>0</v>
      </c>
      <c r="AN79" s="207">
        <f>+IF($B79="",0,(1-VLOOKUP(MIN($B79,6),Assumption!$M$10:$N$16,2))*AM79)</f>
        <v>0</v>
      </c>
      <c r="AO79" s="207">
        <f>+IF($B79&gt;Coverage,0,ROUND((AP78+($F79+$G79-$H79-$Q79)*PML_FI)*(1+VLOOKUP(AO$3,Assumption!$H$35:$K$43,3,0))^0.5-($M79+$R79)*PML_FI-($S79*PML_FI*AP78),0))</f>
        <v>0</v>
      </c>
      <c r="AP79" s="207">
        <f>+IF($B79&gt;Coverage,0,ROUND(AO79*(1+VLOOKUP(AO$3,Assumption!$H$35:$K$43,3,0))^0.5,0))</f>
        <v>0</v>
      </c>
      <c r="AQ79" s="207">
        <f>+IF($B79="",0,(1-VLOOKUP(MIN($B79,6),Assumption!$M$10:$N$16,2))*AP79)</f>
        <v>0</v>
      </c>
      <c r="AR79" s="207">
        <f>+IF($B79&gt;Coverage,0,ROUND((AS78+($F79+$G79-$H79-$Q79)*PML_LF)*(1+VLOOKUP(AR$3,Assumption!$H$35:$K$43,4,0))^0.5-($M79+$R79)*PML_LF-($S79*PML_LF*AS78),0))</f>
        <v>0</v>
      </c>
      <c r="AS79" s="207">
        <f>+IF($B79&gt;Coverage,0,ROUND(AR79*(1+VLOOKUP(AR$3,Assumption!$H$35:$K$43,4,0))^0.5,0))</f>
        <v>0</v>
      </c>
      <c r="AT79" s="207">
        <f>+IF($B79="",0,(1-VLOOKUP(MIN($B79,6),Assumption!$M$10:$N$16,2))*AS79)</f>
        <v>0</v>
      </c>
      <c r="AU79" s="207">
        <f>+IF($B79&gt;Coverage,0,ROUND((AV78+($F79+$G79-$H79-$Q79)*PML_BF)*(1+VLOOKUP(AU$3,Assumption!$H$35:$K$43,4,0))^0.5-($M79+$R79)*PML_BF-($S79*PML_BF*AV78),0))</f>
        <v>0</v>
      </c>
      <c r="AV79" s="207">
        <f>+IF($B79&gt;Coverage,0,ROUND(AU79*(1+VLOOKUP(AU$3,Assumption!$H$35:$K$43,4,0))^0.5,0))</f>
        <v>0</v>
      </c>
      <c r="AW79" s="207">
        <f>+IF($B79="",0,(1-VLOOKUP(MIN($B79,6),Assumption!$M$10:$N$16,2))*AV79)</f>
        <v>0</v>
      </c>
      <c r="AX79" s="207">
        <f>+IF($B79&gt;Coverage,0,ROUND((AY78+($F79+$G79-$H79-$Q79)*PML_EF)*(1+VLOOKUP(AX$3,Assumption!$H$35:$K$43,4,0))^0.5-($M79+$R79)*PML_EF-($S79*PML_EF*AY78),0))</f>
        <v>0</v>
      </c>
      <c r="AY79" s="207">
        <f>+IF($B79&gt;Coverage,0,ROUND(AX79*(1+VLOOKUP(AX$3,Assumption!$H$35:$K$43,4,0))^0.5,0))</f>
        <v>0</v>
      </c>
      <c r="AZ79" s="207">
        <f>+IF($B79="",0,(1-VLOOKUP(MIN($B79,6),Assumption!$M$10:$N$16,2))*AY79)</f>
        <v>0</v>
      </c>
      <c r="BA79" s="207">
        <f>+IF($B79&gt;Coverage,0,ROUND((BB78+($F79+$G79-$H79-$Q79)*PML_FI)*(1+VLOOKUP(BA$3,Assumption!$H$35:$K$43,4,0))^0.5-($M79+$R79)*PML_FI-($S79*PML_FI*BB78),0))</f>
        <v>0</v>
      </c>
      <c r="BB79" s="207">
        <f>+IF($B79&gt;Coverage,0,ROUND(BA79*(1+VLOOKUP(BA$3,Assumption!$H$35:$K$43,4,0))^0.5,0))</f>
        <v>0</v>
      </c>
      <c r="BC79" s="207">
        <f>+IF($B79="",0,(1-VLOOKUP(MIN($B79,6),Assumption!$M$10:$N$16,2))*BB79)</f>
        <v>0</v>
      </c>
    </row>
    <row r="80" ht="14.25" customHeight="1">
      <c r="A80" s="126">
        <v>73.0</v>
      </c>
      <c r="B80" s="129" t="str">
        <f>+IF(A80&gt;Coverage,"",A80)</f>
        <v/>
      </c>
      <c r="C80" s="134" t="str">
        <f>+IF(B80=1,Insured_Age,IF(B80="","",C79+1))</f>
        <v/>
      </c>
      <c r="D80" s="134" t="str">
        <f>+IF(B80&gt;Coverage,"",IF(B80=1,input!$H$11,D79+1))</f>
        <v/>
      </c>
      <c r="E80" s="134" t="str">
        <f>IF(B80=1,premi_dasar,IF(B80&gt;Coverage,"",0))</f>
        <v/>
      </c>
      <c r="F80" s="134" t="str">
        <f>IF(B80&gt;Coverage,"",SUM(E80))</f>
        <v/>
      </c>
      <c r="G80" s="134" t="str">
        <f>IF(B80&gt;Coverage,"",SUMIFS(input!$E$38:$E$50,input!$C$38:$C$50,$C80))</f>
        <v/>
      </c>
      <c r="H80" s="134" t="str">
        <f>IF(B80&gt;Coverage,"",SUMIFS(input!$E$53:$E$87,input!$C$53:$C$87,$C80))</f>
        <v/>
      </c>
      <c r="I80" s="66" t="str">
        <f>+IF(B80="","",Sum_Assured*VLOOKUP(MIN(C80,10),Assumption!$M$19:$N$28,2,0))</f>
        <v/>
      </c>
      <c r="J80" s="66" t="str">
        <f>IF(B80="","",input!$D$33)</f>
        <v/>
      </c>
      <c r="K80" s="66" t="str">
        <f>IF(B80&gt;Coverage,"",VLOOKUP($C80,COI_Tab[],IF(sex="Male",2,3),0)*I80*(1+EM_Basic)/1000)</f>
        <v/>
      </c>
      <c r="L80" s="66" t="str">
        <f>IF(B80&gt;Coverage,"",VLOOKUP($C80,COI_Tab[],4,0)*J80*(1+EM_Basic)/1000)</f>
        <v/>
      </c>
      <c r="M80" s="207" t="str">
        <f>IF(B80&gt;Coverage,"",ROUND(K80+L80,0))</f>
        <v/>
      </c>
      <c r="N80" s="134" t="str">
        <f>IF(B80&gt;Coverage,"",VLOOKUP($B80,Assumption!$H$11:$I$15,2)*E80)</f>
        <v/>
      </c>
      <c r="O80" s="134" t="str">
        <f>IF(B80&gt;Coverage,"",Assumption!$J$11*$G80)</f>
        <v/>
      </c>
      <c r="P80" s="134" t="str">
        <f>IF(B80&gt;Coverage,"",H80*VLOOKUP(MIN(B80,6),Assumption!$M$11:$N$16,2,0))</f>
        <v/>
      </c>
      <c r="Q80" s="134" t="str">
        <f>IF(B80&gt;Coverage,"",SUM(N80:P80))</f>
        <v/>
      </c>
      <c r="R80" s="207" t="str">
        <f>+IF($B80&gt;Coverage,"",Assumption!$I$18*12)</f>
        <v/>
      </c>
      <c r="S80" s="208" t="str">
        <f>+IF($B80&gt;Coverage,"",Assumption!$I$20)</f>
        <v/>
      </c>
      <c r="T80" s="207">
        <f>+IF($B80&gt;Coverage,0,ROUND((U79+($F80+$G80-$H80-$Q80)*PML_LF)*(1+VLOOKUP(T$3,Assumption!$H$35:$K$43,2,0))^0.5-($M80+$R80)*PML_LF-($S80*PML_LF*U79),0))</f>
        <v>0</v>
      </c>
      <c r="U80" s="207">
        <f>+IF($B80&gt;Coverage,0,ROUND(T80*(1+VLOOKUP(T$3,Assumption!$H$35:$K$43,2,0))^0.5,0))</f>
        <v>0</v>
      </c>
      <c r="V80" s="207">
        <f>+IF($B80="",0,(1-VLOOKUP(MIN($B80,6),Assumption!$M$10:$N$16,2))*U80)</f>
        <v>0</v>
      </c>
      <c r="W80" s="207">
        <f>+IF($B80&gt;Coverage,0,ROUND((X79+($F80+$G80-$H80-$Q80)*PML_BF)*(1+VLOOKUP(W$3,Assumption!$H$35:$K$43,2,0))^0.5-($M80+$R80)*PML_BF-($S80*PML_BF*X79),0))</f>
        <v>0</v>
      </c>
      <c r="X80" s="207">
        <f>+IF($B80&gt;Coverage,0,ROUND(W80*(1+VLOOKUP(W$3,Assumption!$H$35:$K$43,2,0))^0.5,0))</f>
        <v>0</v>
      </c>
      <c r="Y80" s="207">
        <f>+IF($B80="",0,(1-VLOOKUP(MIN($B80,6),Assumption!$M$10:$N$16,2))*X80)</f>
        <v>0</v>
      </c>
      <c r="Z80" s="207">
        <f>+IF($B80&gt;Coverage,0,ROUND((AA79+($F80+$G80-$H80-$Q80)*PML_EF)*(1+VLOOKUP(Z$3,Assumption!$H$35:$K$43,2,0))^0.5-($M80+$R80)*PML_EF-($S80*PML_EF*AA79),0))</f>
        <v>0</v>
      </c>
      <c r="AA80" s="207">
        <f>+IF($B80&gt;Coverage,0,ROUND(Z80*(1+VLOOKUP(Z$3,Assumption!$H$35:$K$43,2,0))^0.5,0))</f>
        <v>0</v>
      </c>
      <c r="AB80" s="207">
        <f>+IF($B80="",0,(1-VLOOKUP(MIN($B80,6),Assumption!$M$10:$N$16,2))*AA80)</f>
        <v>0</v>
      </c>
      <c r="AC80" s="207">
        <f>+IF($B80&gt;Coverage,0,ROUND((AD79+($F80+$G80-$H80-$Q80)*PML_FI)*(1+VLOOKUP(AC$3,Assumption!$H$35:$K$43,2,0))^0.5-($M80+$R80)*PML_FI-($S80*PML_FI*AD79),0))</f>
        <v>0</v>
      </c>
      <c r="AD80" s="207">
        <f>+IF($B80&gt;Coverage,0,ROUND(AC80*(1+VLOOKUP(AC$3,Assumption!$H$35:$K$43,2,0))^0.5,0))</f>
        <v>0</v>
      </c>
      <c r="AE80" s="207">
        <f>+IF($B80="",0,(1-VLOOKUP(MIN($B80,6),Assumption!$M$10:$N$16,2))*AD80)</f>
        <v>0</v>
      </c>
      <c r="AF80" s="207">
        <f>+IF($B80&gt;Coverage,0,ROUND((AG79+($F80+$G80-$H80-$Q80)*PML_LF)*(1+VLOOKUP(AF$3,Assumption!$H$35:$K$43,3,0))^0.5-($M80+$R80)*PML_LF-($S80*PML_LF*AG79),0))</f>
        <v>0</v>
      </c>
      <c r="AG80" s="207">
        <f>+IF($B80&gt;Coverage,0,ROUND(AF80*(1+VLOOKUP(AF$3,Assumption!$H$35:$K$43,3,0))^0.5,0))</f>
        <v>0</v>
      </c>
      <c r="AH80" s="207">
        <f>+IF($B80="",0,(1-VLOOKUP(MIN($B80,6),Assumption!$M$10:$N$16,2))*AG80)</f>
        <v>0</v>
      </c>
      <c r="AI80" s="207">
        <f>+IF($B80&gt;Coverage,0,ROUND((AJ79+($F80+$G80-$H80-$Q80)*PML_BF)*(1+VLOOKUP(AI$3,Assumption!$H$35:$K$43,3,0))^0.5-($M80+$R80)*PML_BF-($S80*PML_BF*AJ79),0))</f>
        <v>0</v>
      </c>
      <c r="AJ80" s="207">
        <f>+IF($B80&gt;Coverage,0,ROUND(AI80*(1+VLOOKUP(AI$3,Assumption!$H$35:$K$43,3,0))^0.5,0))</f>
        <v>0</v>
      </c>
      <c r="AK80" s="207">
        <f>+IF($B80="",0,(1-VLOOKUP(MIN($B80,6),Assumption!$M$10:$N$16,2))*AJ80)</f>
        <v>0</v>
      </c>
      <c r="AL80" s="207">
        <f>+IF($B80&gt;Coverage,0,ROUND((AM79+($F80+$G80-$H80-$Q80)*PML_EF)*(1+VLOOKUP(AL$3,Assumption!$H$35:$K$43,3,0))^0.5-($M80+$R80)*PML_EF-($S80*PML_EF*AM79),0))</f>
        <v>0</v>
      </c>
      <c r="AM80" s="207">
        <f>+IF($B80&gt;Coverage,0,ROUND(AL80*(1+VLOOKUP(AL$3,Assumption!$H$35:$K$43,3,0))^0.5,0))</f>
        <v>0</v>
      </c>
      <c r="AN80" s="207">
        <f>+IF($B80="",0,(1-VLOOKUP(MIN($B80,6),Assumption!$M$10:$N$16,2))*AM80)</f>
        <v>0</v>
      </c>
      <c r="AO80" s="207">
        <f>+IF($B80&gt;Coverage,0,ROUND((AP79+($F80+$G80-$H80-$Q80)*PML_FI)*(1+VLOOKUP(AO$3,Assumption!$H$35:$K$43,3,0))^0.5-($M80+$R80)*PML_FI-($S80*PML_FI*AP79),0))</f>
        <v>0</v>
      </c>
      <c r="AP80" s="207">
        <f>+IF($B80&gt;Coverage,0,ROUND(AO80*(1+VLOOKUP(AO$3,Assumption!$H$35:$K$43,3,0))^0.5,0))</f>
        <v>0</v>
      </c>
      <c r="AQ80" s="207">
        <f>+IF($B80="",0,(1-VLOOKUP(MIN($B80,6),Assumption!$M$10:$N$16,2))*AP80)</f>
        <v>0</v>
      </c>
      <c r="AR80" s="207">
        <f>+IF($B80&gt;Coverage,0,ROUND((AS79+($F80+$G80-$H80-$Q80)*PML_LF)*(1+VLOOKUP(AR$3,Assumption!$H$35:$K$43,4,0))^0.5-($M80+$R80)*PML_LF-($S80*PML_LF*AS79),0))</f>
        <v>0</v>
      </c>
      <c r="AS80" s="207">
        <f>+IF($B80&gt;Coverage,0,ROUND(AR80*(1+VLOOKUP(AR$3,Assumption!$H$35:$K$43,4,0))^0.5,0))</f>
        <v>0</v>
      </c>
      <c r="AT80" s="207">
        <f>+IF($B80="",0,(1-VLOOKUP(MIN($B80,6),Assumption!$M$10:$N$16,2))*AS80)</f>
        <v>0</v>
      </c>
      <c r="AU80" s="207">
        <f>+IF($B80&gt;Coverage,0,ROUND((AV79+($F80+$G80-$H80-$Q80)*PML_BF)*(1+VLOOKUP(AU$3,Assumption!$H$35:$K$43,4,0))^0.5-($M80+$R80)*PML_BF-($S80*PML_BF*AV79),0))</f>
        <v>0</v>
      </c>
      <c r="AV80" s="207">
        <f>+IF($B80&gt;Coverage,0,ROUND(AU80*(1+VLOOKUP(AU$3,Assumption!$H$35:$K$43,4,0))^0.5,0))</f>
        <v>0</v>
      </c>
      <c r="AW80" s="207">
        <f>+IF($B80="",0,(1-VLOOKUP(MIN($B80,6),Assumption!$M$10:$N$16,2))*AV80)</f>
        <v>0</v>
      </c>
      <c r="AX80" s="207">
        <f>+IF($B80&gt;Coverage,0,ROUND((AY79+($F80+$G80-$H80-$Q80)*PML_EF)*(1+VLOOKUP(AX$3,Assumption!$H$35:$K$43,4,0))^0.5-($M80+$R80)*PML_EF-($S80*PML_EF*AY79),0))</f>
        <v>0</v>
      </c>
      <c r="AY80" s="207">
        <f>+IF($B80&gt;Coverage,0,ROUND(AX80*(1+VLOOKUP(AX$3,Assumption!$H$35:$K$43,4,0))^0.5,0))</f>
        <v>0</v>
      </c>
      <c r="AZ80" s="207">
        <f>+IF($B80="",0,(1-VLOOKUP(MIN($B80,6),Assumption!$M$10:$N$16,2))*AY80)</f>
        <v>0</v>
      </c>
      <c r="BA80" s="207">
        <f>+IF($B80&gt;Coverage,0,ROUND((BB79+($F80+$G80-$H80-$Q80)*PML_FI)*(1+VLOOKUP(BA$3,Assumption!$H$35:$K$43,4,0))^0.5-($M80+$R80)*PML_FI-($S80*PML_FI*BB79),0))</f>
        <v>0</v>
      </c>
      <c r="BB80" s="207">
        <f>+IF($B80&gt;Coverage,0,ROUND(BA80*(1+VLOOKUP(BA$3,Assumption!$H$35:$K$43,4,0))^0.5,0))</f>
        <v>0</v>
      </c>
      <c r="BC80" s="207">
        <f>+IF($B80="",0,(1-VLOOKUP(MIN($B80,6),Assumption!$M$10:$N$16,2))*BB80)</f>
        <v>0</v>
      </c>
    </row>
    <row r="81" ht="14.25" customHeight="1">
      <c r="A81" s="126">
        <v>74.0</v>
      </c>
      <c r="B81" s="129" t="str">
        <f>+IF(A81&gt;Coverage,"",A81)</f>
        <v/>
      </c>
      <c r="C81" s="134" t="str">
        <f>+IF(B81=1,Insured_Age,IF(B81="","",C80+1))</f>
        <v/>
      </c>
      <c r="D81" s="134" t="str">
        <f>+IF(B81&gt;Coverage,"",IF(B81=1,input!$H$11,D80+1))</f>
        <v/>
      </c>
      <c r="E81" s="134" t="str">
        <f>IF(B81=1,premi_dasar,IF(B81&gt;Coverage,"",0))</f>
        <v/>
      </c>
      <c r="F81" s="134" t="str">
        <f>IF(B81&gt;Coverage,"",SUM(E81))</f>
        <v/>
      </c>
      <c r="G81" s="134" t="str">
        <f>IF(B81&gt;Coverage,"",SUMIFS(input!$E$38:$E$50,input!$C$38:$C$50,$C81))</f>
        <v/>
      </c>
      <c r="H81" s="134" t="str">
        <f>IF(B81&gt;Coverage,"",SUMIFS(input!$E$53:$E$87,input!$C$53:$C$87,$C81))</f>
        <v/>
      </c>
      <c r="I81" s="66" t="str">
        <f>+IF(B81="","",Sum_Assured*VLOOKUP(MIN(C81,10),Assumption!$M$19:$N$28,2,0))</f>
        <v/>
      </c>
      <c r="J81" s="66" t="str">
        <f>IF(B81="","",input!$D$33)</f>
        <v/>
      </c>
      <c r="K81" s="66" t="str">
        <f>IF(B81&gt;Coverage,"",VLOOKUP($C81,COI_Tab[],IF(sex="Male",2,3),0)*I81*(1+EM_Basic)/1000)</f>
        <v/>
      </c>
      <c r="L81" s="66" t="str">
        <f>IF(B81&gt;Coverage,"",VLOOKUP($C81,COI_Tab[],4,0)*J81*(1+EM_Basic)/1000)</f>
        <v/>
      </c>
      <c r="M81" s="207" t="str">
        <f>IF(B81&gt;Coverage,"",ROUND(K81+L81,0))</f>
        <v/>
      </c>
      <c r="N81" s="134" t="str">
        <f>IF(B81&gt;Coverage,"",VLOOKUP($B81,Assumption!$H$11:$I$15,2)*E81)</f>
        <v/>
      </c>
      <c r="O81" s="134" t="str">
        <f>IF(B81&gt;Coverage,"",Assumption!$J$11*$G81)</f>
        <v/>
      </c>
      <c r="P81" s="134" t="str">
        <f>IF(B81&gt;Coverage,"",H81*VLOOKUP(MIN(B81,6),Assumption!$M$11:$N$16,2,0))</f>
        <v/>
      </c>
      <c r="Q81" s="134" t="str">
        <f>IF(B81&gt;Coverage,"",SUM(N81:P81))</f>
        <v/>
      </c>
      <c r="R81" s="207" t="str">
        <f>+IF($B81&gt;Coverage,"",Assumption!$I$18*12)</f>
        <v/>
      </c>
      <c r="S81" s="208" t="str">
        <f>+IF($B81&gt;Coverage,"",Assumption!$I$20)</f>
        <v/>
      </c>
      <c r="T81" s="207">
        <f>+IF($B81&gt;Coverage,0,ROUND((U80+($F81+$G81-$H81-$Q81)*PML_LF)*(1+VLOOKUP(T$3,Assumption!$H$35:$K$43,2,0))^0.5-($M81+$R81)*PML_LF-($S81*PML_LF*U80),0))</f>
        <v>0</v>
      </c>
      <c r="U81" s="207">
        <f>+IF($B81&gt;Coverage,0,ROUND(T81*(1+VLOOKUP(T$3,Assumption!$H$35:$K$43,2,0))^0.5,0))</f>
        <v>0</v>
      </c>
      <c r="V81" s="207">
        <f>+IF($B81="",0,(1-VLOOKUP(MIN($B81,6),Assumption!$M$10:$N$16,2))*U81)</f>
        <v>0</v>
      </c>
      <c r="W81" s="207">
        <f>+IF($B81&gt;Coverage,0,ROUND((X80+($F81+$G81-$H81-$Q81)*PML_BF)*(1+VLOOKUP(W$3,Assumption!$H$35:$K$43,2,0))^0.5-($M81+$R81)*PML_BF-($S81*PML_BF*X80),0))</f>
        <v>0</v>
      </c>
      <c r="X81" s="207">
        <f>+IF($B81&gt;Coverage,0,ROUND(W81*(1+VLOOKUP(W$3,Assumption!$H$35:$K$43,2,0))^0.5,0))</f>
        <v>0</v>
      </c>
      <c r="Y81" s="207">
        <f>+IF($B81="",0,(1-VLOOKUP(MIN($B81,6),Assumption!$M$10:$N$16,2))*X81)</f>
        <v>0</v>
      </c>
      <c r="Z81" s="207">
        <f>+IF($B81&gt;Coverage,0,ROUND((AA80+($F81+$G81-$H81-$Q81)*PML_EF)*(1+VLOOKUP(Z$3,Assumption!$H$35:$K$43,2,0))^0.5-($M81+$R81)*PML_EF-($S81*PML_EF*AA80),0))</f>
        <v>0</v>
      </c>
      <c r="AA81" s="207">
        <f>+IF($B81&gt;Coverage,0,ROUND(Z81*(1+VLOOKUP(Z$3,Assumption!$H$35:$K$43,2,0))^0.5,0))</f>
        <v>0</v>
      </c>
      <c r="AB81" s="207">
        <f>+IF($B81="",0,(1-VLOOKUP(MIN($B81,6),Assumption!$M$10:$N$16,2))*AA81)</f>
        <v>0</v>
      </c>
      <c r="AC81" s="207">
        <f>+IF($B81&gt;Coverage,0,ROUND((AD80+($F81+$G81-$H81-$Q81)*PML_FI)*(1+VLOOKUP(AC$3,Assumption!$H$35:$K$43,2,0))^0.5-($M81+$R81)*PML_FI-($S81*PML_FI*AD80),0))</f>
        <v>0</v>
      </c>
      <c r="AD81" s="207">
        <f>+IF($B81&gt;Coverage,0,ROUND(AC81*(1+VLOOKUP(AC$3,Assumption!$H$35:$K$43,2,0))^0.5,0))</f>
        <v>0</v>
      </c>
      <c r="AE81" s="207">
        <f>+IF($B81="",0,(1-VLOOKUP(MIN($B81,6),Assumption!$M$10:$N$16,2))*AD81)</f>
        <v>0</v>
      </c>
      <c r="AF81" s="207">
        <f>+IF($B81&gt;Coverage,0,ROUND((AG80+($F81+$G81-$H81-$Q81)*PML_LF)*(1+VLOOKUP(AF$3,Assumption!$H$35:$K$43,3,0))^0.5-($M81+$R81)*PML_LF-($S81*PML_LF*AG80),0))</f>
        <v>0</v>
      </c>
      <c r="AG81" s="207">
        <f>+IF($B81&gt;Coverage,0,ROUND(AF81*(1+VLOOKUP(AF$3,Assumption!$H$35:$K$43,3,0))^0.5,0))</f>
        <v>0</v>
      </c>
      <c r="AH81" s="207">
        <f>+IF($B81="",0,(1-VLOOKUP(MIN($B81,6),Assumption!$M$10:$N$16,2))*AG81)</f>
        <v>0</v>
      </c>
      <c r="AI81" s="207">
        <f>+IF($B81&gt;Coverage,0,ROUND((AJ80+($F81+$G81-$H81-$Q81)*PML_BF)*(1+VLOOKUP(AI$3,Assumption!$H$35:$K$43,3,0))^0.5-($M81+$R81)*PML_BF-($S81*PML_BF*AJ80),0))</f>
        <v>0</v>
      </c>
      <c r="AJ81" s="207">
        <f>+IF($B81&gt;Coverage,0,ROUND(AI81*(1+VLOOKUP(AI$3,Assumption!$H$35:$K$43,3,0))^0.5,0))</f>
        <v>0</v>
      </c>
      <c r="AK81" s="207">
        <f>+IF($B81="",0,(1-VLOOKUP(MIN($B81,6),Assumption!$M$10:$N$16,2))*AJ81)</f>
        <v>0</v>
      </c>
      <c r="AL81" s="207">
        <f>+IF($B81&gt;Coverage,0,ROUND((AM80+($F81+$G81-$H81-$Q81)*PML_EF)*(1+VLOOKUP(AL$3,Assumption!$H$35:$K$43,3,0))^0.5-($M81+$R81)*PML_EF-($S81*PML_EF*AM80),0))</f>
        <v>0</v>
      </c>
      <c r="AM81" s="207">
        <f>+IF($B81&gt;Coverage,0,ROUND(AL81*(1+VLOOKUP(AL$3,Assumption!$H$35:$K$43,3,0))^0.5,0))</f>
        <v>0</v>
      </c>
      <c r="AN81" s="207">
        <f>+IF($B81="",0,(1-VLOOKUP(MIN($B81,6),Assumption!$M$10:$N$16,2))*AM81)</f>
        <v>0</v>
      </c>
      <c r="AO81" s="207">
        <f>+IF($B81&gt;Coverage,0,ROUND((AP80+($F81+$G81-$H81-$Q81)*PML_FI)*(1+VLOOKUP(AO$3,Assumption!$H$35:$K$43,3,0))^0.5-($M81+$R81)*PML_FI-($S81*PML_FI*AP80),0))</f>
        <v>0</v>
      </c>
      <c r="AP81" s="207">
        <f>+IF($B81&gt;Coverage,0,ROUND(AO81*(1+VLOOKUP(AO$3,Assumption!$H$35:$K$43,3,0))^0.5,0))</f>
        <v>0</v>
      </c>
      <c r="AQ81" s="207">
        <f>+IF($B81="",0,(1-VLOOKUP(MIN($B81,6),Assumption!$M$10:$N$16,2))*AP81)</f>
        <v>0</v>
      </c>
      <c r="AR81" s="207">
        <f>+IF($B81&gt;Coverage,0,ROUND((AS80+($F81+$G81-$H81-$Q81)*PML_LF)*(1+VLOOKUP(AR$3,Assumption!$H$35:$K$43,4,0))^0.5-($M81+$R81)*PML_LF-($S81*PML_LF*AS80),0))</f>
        <v>0</v>
      </c>
      <c r="AS81" s="207">
        <f>+IF($B81&gt;Coverage,0,ROUND(AR81*(1+VLOOKUP(AR$3,Assumption!$H$35:$K$43,4,0))^0.5,0))</f>
        <v>0</v>
      </c>
      <c r="AT81" s="207">
        <f>+IF($B81="",0,(1-VLOOKUP(MIN($B81,6),Assumption!$M$10:$N$16,2))*AS81)</f>
        <v>0</v>
      </c>
      <c r="AU81" s="207">
        <f>+IF($B81&gt;Coverage,0,ROUND((AV80+($F81+$G81-$H81-$Q81)*PML_BF)*(1+VLOOKUP(AU$3,Assumption!$H$35:$K$43,4,0))^0.5-($M81+$R81)*PML_BF-($S81*PML_BF*AV80),0))</f>
        <v>0</v>
      </c>
      <c r="AV81" s="207">
        <f>+IF($B81&gt;Coverage,0,ROUND(AU81*(1+VLOOKUP(AU$3,Assumption!$H$35:$K$43,4,0))^0.5,0))</f>
        <v>0</v>
      </c>
      <c r="AW81" s="207">
        <f>+IF($B81="",0,(1-VLOOKUP(MIN($B81,6),Assumption!$M$10:$N$16,2))*AV81)</f>
        <v>0</v>
      </c>
      <c r="AX81" s="207">
        <f>+IF($B81&gt;Coverage,0,ROUND((AY80+($F81+$G81-$H81-$Q81)*PML_EF)*(1+VLOOKUP(AX$3,Assumption!$H$35:$K$43,4,0))^0.5-($M81+$R81)*PML_EF-($S81*PML_EF*AY80),0))</f>
        <v>0</v>
      </c>
      <c r="AY81" s="207">
        <f>+IF($B81&gt;Coverage,0,ROUND(AX81*(1+VLOOKUP(AX$3,Assumption!$H$35:$K$43,4,0))^0.5,0))</f>
        <v>0</v>
      </c>
      <c r="AZ81" s="207">
        <f>+IF($B81="",0,(1-VLOOKUP(MIN($B81,6),Assumption!$M$10:$N$16,2))*AY81)</f>
        <v>0</v>
      </c>
      <c r="BA81" s="207">
        <f>+IF($B81&gt;Coverage,0,ROUND((BB80+($F81+$G81-$H81-$Q81)*PML_FI)*(1+VLOOKUP(BA$3,Assumption!$H$35:$K$43,4,0))^0.5-($M81+$R81)*PML_FI-($S81*PML_FI*BB80),0))</f>
        <v>0</v>
      </c>
      <c r="BB81" s="207">
        <f>+IF($B81&gt;Coverage,0,ROUND(BA81*(1+VLOOKUP(BA$3,Assumption!$H$35:$K$43,4,0))^0.5,0))</f>
        <v>0</v>
      </c>
      <c r="BC81" s="207">
        <f>+IF($B81="",0,(1-VLOOKUP(MIN($B81,6),Assumption!$M$10:$N$16,2))*BB81)</f>
        <v>0</v>
      </c>
    </row>
    <row r="82" ht="14.25" customHeight="1">
      <c r="A82" s="126">
        <v>75.0</v>
      </c>
      <c r="B82" s="129" t="str">
        <f>+IF(A82&gt;Coverage,"",A82)</f>
        <v/>
      </c>
      <c r="C82" s="134" t="str">
        <f>+IF(B82=1,Insured_Age,IF(B82="","",C81+1))</f>
        <v/>
      </c>
      <c r="D82" s="134" t="str">
        <f>+IF(B82&gt;Coverage,"",IF(B82=1,input!$H$11,D81+1))</f>
        <v/>
      </c>
      <c r="E82" s="134" t="str">
        <f>IF(B82=1,premi_dasar,IF(B82&gt;Coverage,"",0))</f>
        <v/>
      </c>
      <c r="F82" s="134" t="str">
        <f>IF(B82&gt;Coverage,"",SUM(E82))</f>
        <v/>
      </c>
      <c r="G82" s="134" t="str">
        <f>IF(B82&gt;Coverage,"",SUMIFS(input!$E$38:$E$50,input!$C$38:$C$50,$C82))</f>
        <v/>
      </c>
      <c r="H82" s="134" t="str">
        <f>IF(B82&gt;Coverage,"",SUMIFS(input!$E$53:$E$87,input!$C$53:$C$87,$C82))</f>
        <v/>
      </c>
      <c r="I82" s="66" t="str">
        <f>+IF(B82="","",Sum_Assured*VLOOKUP(MIN(C82,10),Assumption!$M$19:$N$28,2,0))</f>
        <v/>
      </c>
      <c r="J82" s="66" t="str">
        <f>IF(B82="","",input!$D$33)</f>
        <v/>
      </c>
      <c r="K82" s="66" t="str">
        <f>IF(B82&gt;Coverage,"",VLOOKUP($C82,COI_Tab[],IF(sex="Male",2,3),0)*I82*(1+EM_Basic)/1000)</f>
        <v/>
      </c>
      <c r="L82" s="66" t="str">
        <f>IF(B82&gt;Coverage,"",VLOOKUP($C82,COI_Tab[],4,0)*J82*(1+EM_Basic)/1000)</f>
        <v/>
      </c>
      <c r="M82" s="207" t="str">
        <f>IF(B82&gt;Coverage,"",ROUND(K82+L82,0))</f>
        <v/>
      </c>
      <c r="N82" s="134" t="str">
        <f>IF(B82&gt;Coverage,"",VLOOKUP($B82,Assumption!$H$11:$I$15,2)*E82)</f>
        <v/>
      </c>
      <c r="O82" s="134" t="str">
        <f>IF(B82&gt;Coverage,"",Assumption!$J$11*$G82)</f>
        <v/>
      </c>
      <c r="P82" s="134" t="str">
        <f>IF(B82&gt;Coverage,"",H82*VLOOKUP(MIN(B82,6),Assumption!$M$11:$N$16,2,0))</f>
        <v/>
      </c>
      <c r="Q82" s="134" t="str">
        <f>IF(B82&gt;Coverage,"",SUM(N82:P82))</f>
        <v/>
      </c>
      <c r="R82" s="207" t="str">
        <f>+IF($B82&gt;Coverage,"",Assumption!$I$18*12)</f>
        <v/>
      </c>
      <c r="S82" s="208" t="str">
        <f>+IF($B82&gt;Coverage,"",Assumption!$I$20)</f>
        <v/>
      </c>
      <c r="T82" s="207">
        <f>+IF($B82&gt;Coverage,0,ROUND((U81+($F82+$G82-$H82-$Q82)*PML_LF)*(1+VLOOKUP(T$3,Assumption!$H$35:$K$43,2,0))^0.5-($M82+$R82)*PML_LF-($S82*PML_LF*U81),0))</f>
        <v>0</v>
      </c>
      <c r="U82" s="207">
        <f>+IF($B82&gt;Coverage,0,ROUND(T82*(1+VLOOKUP(T$3,Assumption!$H$35:$K$43,2,0))^0.5,0))</f>
        <v>0</v>
      </c>
      <c r="V82" s="207">
        <f>+IF($B82="",0,(1-VLOOKUP(MIN($B82,6),Assumption!$M$10:$N$16,2))*U82)</f>
        <v>0</v>
      </c>
      <c r="W82" s="207">
        <f>+IF($B82&gt;Coverage,0,ROUND((X81+($F82+$G82-$H82-$Q82)*PML_BF)*(1+VLOOKUP(W$3,Assumption!$H$35:$K$43,2,0))^0.5-($M82+$R82)*PML_BF-($S82*PML_BF*X81),0))</f>
        <v>0</v>
      </c>
      <c r="X82" s="207">
        <f>+IF($B82&gt;Coverage,0,ROUND(W82*(1+VLOOKUP(W$3,Assumption!$H$35:$K$43,2,0))^0.5,0))</f>
        <v>0</v>
      </c>
      <c r="Y82" s="207">
        <f>+IF($B82="",0,(1-VLOOKUP(MIN($B82,6),Assumption!$M$10:$N$16,2))*X82)</f>
        <v>0</v>
      </c>
      <c r="Z82" s="207">
        <f>+IF($B82&gt;Coverage,0,ROUND((AA81+($F82+$G82-$H82-$Q82)*PML_EF)*(1+VLOOKUP(Z$3,Assumption!$H$35:$K$43,2,0))^0.5-($M82+$R82)*PML_EF-($S82*PML_EF*AA81),0))</f>
        <v>0</v>
      </c>
      <c r="AA82" s="207">
        <f>+IF($B82&gt;Coverage,0,ROUND(Z82*(1+VLOOKUP(Z$3,Assumption!$H$35:$K$43,2,0))^0.5,0))</f>
        <v>0</v>
      </c>
      <c r="AB82" s="207">
        <f>+IF($B82="",0,(1-VLOOKUP(MIN($B82,6),Assumption!$M$10:$N$16,2))*AA82)</f>
        <v>0</v>
      </c>
      <c r="AC82" s="207">
        <f>+IF($B82&gt;Coverage,0,ROUND((AD81+($F82+$G82-$H82-$Q82)*PML_FI)*(1+VLOOKUP(AC$3,Assumption!$H$35:$K$43,2,0))^0.5-($M82+$R82)*PML_FI-($S82*PML_FI*AD81),0))</f>
        <v>0</v>
      </c>
      <c r="AD82" s="207">
        <f>+IF($B82&gt;Coverage,0,ROUND(AC82*(1+VLOOKUP(AC$3,Assumption!$H$35:$K$43,2,0))^0.5,0))</f>
        <v>0</v>
      </c>
      <c r="AE82" s="207">
        <f>+IF($B82="",0,(1-VLOOKUP(MIN($B82,6),Assumption!$M$10:$N$16,2))*AD82)</f>
        <v>0</v>
      </c>
      <c r="AF82" s="207">
        <f>+IF($B82&gt;Coverage,0,ROUND((AG81+($F82+$G82-$H82-$Q82)*PML_LF)*(1+VLOOKUP(AF$3,Assumption!$H$35:$K$43,3,0))^0.5-($M82+$R82)*PML_LF-($S82*PML_LF*AG81),0))</f>
        <v>0</v>
      </c>
      <c r="AG82" s="207">
        <f>+IF($B82&gt;Coverage,0,ROUND(AF82*(1+VLOOKUP(AF$3,Assumption!$H$35:$K$43,3,0))^0.5,0))</f>
        <v>0</v>
      </c>
      <c r="AH82" s="207">
        <f>+IF($B82="",0,(1-VLOOKUP(MIN($B82,6),Assumption!$M$10:$N$16,2))*AG82)</f>
        <v>0</v>
      </c>
      <c r="AI82" s="207">
        <f>+IF($B82&gt;Coverage,0,ROUND((AJ81+($F82+$G82-$H82-$Q82)*PML_BF)*(1+VLOOKUP(AI$3,Assumption!$H$35:$K$43,3,0))^0.5-($M82+$R82)*PML_BF-($S82*PML_BF*AJ81),0))</f>
        <v>0</v>
      </c>
      <c r="AJ82" s="207">
        <f>+IF($B82&gt;Coverage,0,ROUND(AI82*(1+VLOOKUP(AI$3,Assumption!$H$35:$K$43,3,0))^0.5,0))</f>
        <v>0</v>
      </c>
      <c r="AK82" s="207">
        <f>+IF($B82="",0,(1-VLOOKUP(MIN($B82,6),Assumption!$M$10:$N$16,2))*AJ82)</f>
        <v>0</v>
      </c>
      <c r="AL82" s="207">
        <f>+IF($B82&gt;Coverage,0,ROUND((AM81+($F82+$G82-$H82-$Q82)*PML_EF)*(1+VLOOKUP(AL$3,Assumption!$H$35:$K$43,3,0))^0.5-($M82+$R82)*PML_EF-($S82*PML_EF*AM81),0))</f>
        <v>0</v>
      </c>
      <c r="AM82" s="207">
        <f>+IF($B82&gt;Coverage,0,ROUND(AL82*(1+VLOOKUP(AL$3,Assumption!$H$35:$K$43,3,0))^0.5,0))</f>
        <v>0</v>
      </c>
      <c r="AN82" s="207">
        <f>+IF($B82="",0,(1-VLOOKUP(MIN($B82,6),Assumption!$M$10:$N$16,2))*AM82)</f>
        <v>0</v>
      </c>
      <c r="AO82" s="207">
        <f>+IF($B82&gt;Coverage,0,ROUND((AP81+($F82+$G82-$H82-$Q82)*PML_FI)*(1+VLOOKUP(AO$3,Assumption!$H$35:$K$43,3,0))^0.5-($M82+$R82)*PML_FI-($S82*PML_FI*AP81),0))</f>
        <v>0</v>
      </c>
      <c r="AP82" s="207">
        <f>+IF($B82&gt;Coverage,0,ROUND(AO82*(1+VLOOKUP(AO$3,Assumption!$H$35:$K$43,3,0))^0.5,0))</f>
        <v>0</v>
      </c>
      <c r="AQ82" s="207">
        <f>+IF($B82="",0,(1-VLOOKUP(MIN($B82,6),Assumption!$M$10:$N$16,2))*AP82)</f>
        <v>0</v>
      </c>
      <c r="AR82" s="207">
        <f>+IF($B82&gt;Coverage,0,ROUND((AS81+($F82+$G82-$H82-$Q82)*PML_LF)*(1+VLOOKUP(AR$3,Assumption!$H$35:$K$43,4,0))^0.5-($M82+$R82)*PML_LF-($S82*PML_LF*AS81),0))</f>
        <v>0</v>
      </c>
      <c r="AS82" s="207">
        <f>+IF($B82&gt;Coverage,0,ROUND(AR82*(1+VLOOKUP(AR$3,Assumption!$H$35:$K$43,4,0))^0.5,0))</f>
        <v>0</v>
      </c>
      <c r="AT82" s="207">
        <f>+IF($B82="",0,(1-VLOOKUP(MIN($B82,6),Assumption!$M$10:$N$16,2))*AS82)</f>
        <v>0</v>
      </c>
      <c r="AU82" s="207">
        <f>+IF($B82&gt;Coverage,0,ROUND((AV81+($F82+$G82-$H82-$Q82)*PML_BF)*(1+VLOOKUP(AU$3,Assumption!$H$35:$K$43,4,0))^0.5-($M82+$R82)*PML_BF-($S82*PML_BF*AV81),0))</f>
        <v>0</v>
      </c>
      <c r="AV82" s="207">
        <f>+IF($B82&gt;Coverage,0,ROUND(AU82*(1+VLOOKUP(AU$3,Assumption!$H$35:$K$43,4,0))^0.5,0))</f>
        <v>0</v>
      </c>
      <c r="AW82" s="207">
        <f>+IF($B82="",0,(1-VLOOKUP(MIN($B82,6),Assumption!$M$10:$N$16,2))*AV82)</f>
        <v>0</v>
      </c>
      <c r="AX82" s="207">
        <f>+IF($B82&gt;Coverage,0,ROUND((AY81+($F82+$G82-$H82-$Q82)*PML_EF)*(1+VLOOKUP(AX$3,Assumption!$H$35:$K$43,4,0))^0.5-($M82+$R82)*PML_EF-($S82*PML_EF*AY81),0))</f>
        <v>0</v>
      </c>
      <c r="AY82" s="207">
        <f>+IF($B82&gt;Coverage,0,ROUND(AX82*(1+VLOOKUP(AX$3,Assumption!$H$35:$K$43,4,0))^0.5,0))</f>
        <v>0</v>
      </c>
      <c r="AZ82" s="207">
        <f>+IF($B82="",0,(1-VLOOKUP(MIN($B82,6),Assumption!$M$10:$N$16,2))*AY82)</f>
        <v>0</v>
      </c>
      <c r="BA82" s="207">
        <f>+IF($B82&gt;Coverage,0,ROUND((BB81+($F82+$G82-$H82-$Q82)*PML_FI)*(1+VLOOKUP(BA$3,Assumption!$H$35:$K$43,4,0))^0.5-($M82+$R82)*PML_FI-($S82*PML_FI*BB81),0))</f>
        <v>0</v>
      </c>
      <c r="BB82" s="207">
        <f>+IF($B82&gt;Coverage,0,ROUND(BA82*(1+VLOOKUP(BA$3,Assumption!$H$35:$K$43,4,0))^0.5,0))</f>
        <v>0</v>
      </c>
      <c r="BC82" s="207">
        <f>+IF($B82="",0,(1-VLOOKUP(MIN($B82,6),Assumption!$M$10:$N$16,2))*BB82)</f>
        <v>0</v>
      </c>
    </row>
    <row r="83" ht="14.25" customHeight="1">
      <c r="A83" s="126">
        <v>76.0</v>
      </c>
      <c r="B83" s="129" t="str">
        <f>+IF(A83&gt;Coverage,"",A83)</f>
        <v/>
      </c>
      <c r="C83" s="134" t="str">
        <f>+IF(B83=1,Insured_Age,IF(B83="","",C82+1))</f>
        <v/>
      </c>
      <c r="D83" s="134" t="str">
        <f>+IF(B83&gt;Coverage,"",IF(B83=1,input!$H$11,D82+1))</f>
        <v/>
      </c>
      <c r="E83" s="134" t="str">
        <f>IF(B83=1,premi_dasar,IF(B83&gt;Coverage,"",0))</f>
        <v/>
      </c>
      <c r="F83" s="134" t="str">
        <f>IF(B83&gt;Coverage,"",SUM(E83))</f>
        <v/>
      </c>
      <c r="G83" s="134" t="str">
        <f>IF(B83&gt;Coverage,"",SUMIFS(input!$E$38:$E$50,input!$C$38:$C$50,$C83))</f>
        <v/>
      </c>
      <c r="H83" s="134" t="str">
        <f>IF(B83&gt;Coverage,"",SUMIFS(input!$E$53:$E$87,input!$C$53:$C$87,$C83))</f>
        <v/>
      </c>
      <c r="I83" s="66" t="str">
        <f>+IF(B83="","",Sum_Assured*VLOOKUP(MIN(C83,10),Assumption!$M$19:$N$28,2,0))</f>
        <v/>
      </c>
      <c r="J83" s="66" t="str">
        <f>IF(B83="","",input!$D$33)</f>
        <v/>
      </c>
      <c r="K83" s="66" t="str">
        <f>IF(B83&gt;Coverage,"",VLOOKUP($C83,COI_Tab[],IF(sex="Male",2,3),0)*I83*(1+EM_Basic)/1000)</f>
        <v/>
      </c>
      <c r="L83" s="66" t="str">
        <f>IF(B83&gt;Coverage,"",VLOOKUP($C83,COI_Tab[],4,0)*J83*(1+EM_Basic)/1000)</f>
        <v/>
      </c>
      <c r="M83" s="207" t="str">
        <f>IF(B83&gt;Coverage,"",ROUND(K83+L83,0))</f>
        <v/>
      </c>
      <c r="N83" s="134" t="str">
        <f>IF(B83&gt;Coverage,"",VLOOKUP($B83,Assumption!$H$11:$I$15,2)*E83)</f>
        <v/>
      </c>
      <c r="O83" s="134" t="str">
        <f>IF(B83&gt;Coverage,"",Assumption!$J$11*$G83)</f>
        <v/>
      </c>
      <c r="P83" s="134" t="str">
        <f>IF(B83&gt;Coverage,"",H83*VLOOKUP(MIN(B83,6),Assumption!$M$11:$N$16,2,0))</f>
        <v/>
      </c>
      <c r="Q83" s="134" t="str">
        <f>IF(B83&gt;Coverage,"",SUM(N83:P83))</f>
        <v/>
      </c>
      <c r="R83" s="207" t="str">
        <f>+IF($B83&gt;Coverage,"",Assumption!$I$18*12)</f>
        <v/>
      </c>
      <c r="S83" s="208" t="str">
        <f>+IF($B83&gt;Coverage,"",Assumption!$I$20)</f>
        <v/>
      </c>
      <c r="T83" s="207">
        <f>+IF($B83&gt;Coverage,0,ROUND((U82+($F83+$G83-$H83-$Q83)*PML_LF)*(1+VLOOKUP(T$3,Assumption!$H$35:$K$43,2,0))^0.5-($M83+$R83)*PML_LF-($S83*PML_LF*U82),0))</f>
        <v>0</v>
      </c>
      <c r="U83" s="207">
        <f>+IF($B83&gt;Coverage,0,ROUND(T83*(1+VLOOKUP(T$3,Assumption!$H$35:$K$43,2,0))^0.5,0))</f>
        <v>0</v>
      </c>
      <c r="V83" s="207">
        <f>+IF($B83="",0,(1-VLOOKUP(MIN($B83,6),Assumption!$M$10:$N$16,2))*U83)</f>
        <v>0</v>
      </c>
      <c r="W83" s="207">
        <f>+IF($B83&gt;Coverage,0,ROUND((X82+($F83+$G83-$H83-$Q83)*PML_BF)*(1+VLOOKUP(W$3,Assumption!$H$35:$K$43,2,0))^0.5-($M83+$R83)*PML_BF-($S83*PML_BF*X82),0))</f>
        <v>0</v>
      </c>
      <c r="X83" s="207">
        <f>+IF($B83&gt;Coverage,0,ROUND(W83*(1+VLOOKUP(W$3,Assumption!$H$35:$K$43,2,0))^0.5,0))</f>
        <v>0</v>
      </c>
      <c r="Y83" s="207">
        <f>+IF($B83="",0,(1-VLOOKUP(MIN($B83,6),Assumption!$M$10:$N$16,2))*X83)</f>
        <v>0</v>
      </c>
      <c r="Z83" s="207">
        <f>+IF($B83&gt;Coverage,0,ROUND((AA82+($F83+$G83-$H83-$Q83)*PML_EF)*(1+VLOOKUP(Z$3,Assumption!$H$35:$K$43,2,0))^0.5-($M83+$R83)*PML_EF-($S83*PML_EF*AA82),0))</f>
        <v>0</v>
      </c>
      <c r="AA83" s="207">
        <f>+IF($B83&gt;Coverage,0,ROUND(Z83*(1+VLOOKUP(Z$3,Assumption!$H$35:$K$43,2,0))^0.5,0))</f>
        <v>0</v>
      </c>
      <c r="AB83" s="207">
        <f>+IF($B83="",0,(1-VLOOKUP(MIN($B83,6),Assumption!$M$10:$N$16,2))*AA83)</f>
        <v>0</v>
      </c>
      <c r="AC83" s="207">
        <f>+IF($B83&gt;Coverage,0,ROUND((AD82+($F83+$G83-$H83-$Q83)*PML_FI)*(1+VLOOKUP(AC$3,Assumption!$H$35:$K$43,2,0))^0.5-($M83+$R83)*PML_FI-($S83*PML_FI*AD82),0))</f>
        <v>0</v>
      </c>
      <c r="AD83" s="207">
        <f>+IF($B83&gt;Coverage,0,ROUND(AC83*(1+VLOOKUP(AC$3,Assumption!$H$35:$K$43,2,0))^0.5,0))</f>
        <v>0</v>
      </c>
      <c r="AE83" s="207">
        <f>+IF($B83="",0,(1-VLOOKUP(MIN($B83,6),Assumption!$M$10:$N$16,2))*AD83)</f>
        <v>0</v>
      </c>
      <c r="AF83" s="207">
        <f>+IF($B83&gt;Coverage,0,ROUND((AG82+($F83+$G83-$H83-$Q83)*PML_LF)*(1+VLOOKUP(AF$3,Assumption!$H$35:$K$43,3,0))^0.5-($M83+$R83)*PML_LF-($S83*PML_LF*AG82),0))</f>
        <v>0</v>
      </c>
      <c r="AG83" s="207">
        <f>+IF($B83&gt;Coverage,0,ROUND(AF83*(1+VLOOKUP(AF$3,Assumption!$H$35:$K$43,3,0))^0.5,0))</f>
        <v>0</v>
      </c>
      <c r="AH83" s="207">
        <f>+IF($B83="",0,(1-VLOOKUP(MIN($B83,6),Assumption!$M$10:$N$16,2))*AG83)</f>
        <v>0</v>
      </c>
      <c r="AI83" s="207">
        <f>+IF($B83&gt;Coverage,0,ROUND((AJ82+($F83+$G83-$H83-$Q83)*PML_BF)*(1+VLOOKUP(AI$3,Assumption!$H$35:$K$43,3,0))^0.5-($M83+$R83)*PML_BF-($S83*PML_BF*AJ82),0))</f>
        <v>0</v>
      </c>
      <c r="AJ83" s="207">
        <f>+IF($B83&gt;Coverage,0,ROUND(AI83*(1+VLOOKUP(AI$3,Assumption!$H$35:$K$43,3,0))^0.5,0))</f>
        <v>0</v>
      </c>
      <c r="AK83" s="207">
        <f>+IF($B83="",0,(1-VLOOKUP(MIN($B83,6),Assumption!$M$10:$N$16,2))*AJ83)</f>
        <v>0</v>
      </c>
      <c r="AL83" s="207">
        <f>+IF($B83&gt;Coverage,0,ROUND((AM82+($F83+$G83-$H83-$Q83)*PML_EF)*(1+VLOOKUP(AL$3,Assumption!$H$35:$K$43,3,0))^0.5-($M83+$R83)*PML_EF-($S83*PML_EF*AM82),0))</f>
        <v>0</v>
      </c>
      <c r="AM83" s="207">
        <f>+IF($B83&gt;Coverage,0,ROUND(AL83*(1+VLOOKUP(AL$3,Assumption!$H$35:$K$43,3,0))^0.5,0))</f>
        <v>0</v>
      </c>
      <c r="AN83" s="207">
        <f>+IF($B83="",0,(1-VLOOKUP(MIN($B83,6),Assumption!$M$10:$N$16,2))*AM83)</f>
        <v>0</v>
      </c>
      <c r="AO83" s="207">
        <f>+IF($B83&gt;Coverage,0,ROUND((AP82+($F83+$G83-$H83-$Q83)*PML_FI)*(1+VLOOKUP(AO$3,Assumption!$H$35:$K$43,3,0))^0.5-($M83+$R83)*PML_FI-($S83*PML_FI*AP82),0))</f>
        <v>0</v>
      </c>
      <c r="AP83" s="207">
        <f>+IF($B83&gt;Coverage,0,ROUND(AO83*(1+VLOOKUP(AO$3,Assumption!$H$35:$K$43,3,0))^0.5,0))</f>
        <v>0</v>
      </c>
      <c r="AQ83" s="207">
        <f>+IF($B83="",0,(1-VLOOKUP(MIN($B83,6),Assumption!$M$10:$N$16,2))*AP83)</f>
        <v>0</v>
      </c>
      <c r="AR83" s="207">
        <f>+IF($B83&gt;Coverage,0,ROUND((AS82+($F83+$G83-$H83-$Q83)*PML_LF)*(1+VLOOKUP(AR$3,Assumption!$H$35:$K$43,4,0))^0.5-($M83+$R83)*PML_LF-($S83*PML_LF*AS82),0))</f>
        <v>0</v>
      </c>
      <c r="AS83" s="207">
        <f>+IF($B83&gt;Coverage,0,ROUND(AR83*(1+VLOOKUP(AR$3,Assumption!$H$35:$K$43,4,0))^0.5,0))</f>
        <v>0</v>
      </c>
      <c r="AT83" s="207">
        <f>+IF($B83="",0,(1-VLOOKUP(MIN($B83,6),Assumption!$M$10:$N$16,2))*AS83)</f>
        <v>0</v>
      </c>
      <c r="AU83" s="207">
        <f>+IF($B83&gt;Coverage,0,ROUND((AV82+($F83+$G83-$H83-$Q83)*PML_BF)*(1+VLOOKUP(AU$3,Assumption!$H$35:$K$43,4,0))^0.5-($M83+$R83)*PML_BF-($S83*PML_BF*AV82),0))</f>
        <v>0</v>
      </c>
      <c r="AV83" s="207">
        <f>+IF($B83&gt;Coverage,0,ROUND(AU83*(1+VLOOKUP(AU$3,Assumption!$H$35:$K$43,4,0))^0.5,0))</f>
        <v>0</v>
      </c>
      <c r="AW83" s="207">
        <f>+IF($B83="",0,(1-VLOOKUP(MIN($B83,6),Assumption!$M$10:$N$16,2))*AV83)</f>
        <v>0</v>
      </c>
      <c r="AX83" s="207">
        <f>+IF($B83&gt;Coverage,0,ROUND((AY82+($F83+$G83-$H83-$Q83)*PML_EF)*(1+VLOOKUP(AX$3,Assumption!$H$35:$K$43,4,0))^0.5-($M83+$R83)*PML_EF-($S83*PML_EF*AY82),0))</f>
        <v>0</v>
      </c>
      <c r="AY83" s="207">
        <f>+IF($B83&gt;Coverage,0,ROUND(AX83*(1+VLOOKUP(AX$3,Assumption!$H$35:$K$43,4,0))^0.5,0))</f>
        <v>0</v>
      </c>
      <c r="AZ83" s="207">
        <f>+IF($B83="",0,(1-VLOOKUP(MIN($B83,6),Assumption!$M$10:$N$16,2))*AY83)</f>
        <v>0</v>
      </c>
      <c r="BA83" s="207">
        <f>+IF($B83&gt;Coverage,0,ROUND((BB82+($F83+$G83-$H83-$Q83)*PML_FI)*(1+VLOOKUP(BA$3,Assumption!$H$35:$K$43,4,0))^0.5-($M83+$R83)*PML_FI-($S83*PML_FI*BB82),0))</f>
        <v>0</v>
      </c>
      <c r="BB83" s="207">
        <f>+IF($B83&gt;Coverage,0,ROUND(BA83*(1+VLOOKUP(BA$3,Assumption!$H$35:$K$43,4,0))^0.5,0))</f>
        <v>0</v>
      </c>
      <c r="BC83" s="207">
        <f>+IF($B83="",0,(1-VLOOKUP(MIN($B83,6),Assumption!$M$10:$N$16,2))*BB83)</f>
        <v>0</v>
      </c>
    </row>
    <row r="84" ht="14.25" customHeight="1">
      <c r="A84" s="126">
        <v>77.0</v>
      </c>
      <c r="B84" s="129" t="str">
        <f>+IF(A84&gt;Coverage,"",A84)</f>
        <v/>
      </c>
      <c r="C84" s="134" t="str">
        <f>+IF(B84=1,Insured_Age,IF(B84="","",C83+1))</f>
        <v/>
      </c>
      <c r="D84" s="134" t="str">
        <f>+IF(B84&gt;Coverage,"",IF(B84=1,input!$H$11,D83+1))</f>
        <v/>
      </c>
      <c r="E84" s="134" t="str">
        <f>IF(B84=1,premi_dasar,IF(B84&gt;Coverage,"",0))</f>
        <v/>
      </c>
      <c r="F84" s="134" t="str">
        <f>IF(B84&gt;Coverage,"",SUM(E84))</f>
        <v/>
      </c>
      <c r="G84" s="134" t="str">
        <f>IF(B84&gt;Coverage,"",SUMIFS(input!$E$38:$E$50,input!$C$38:$C$50,$C84))</f>
        <v/>
      </c>
      <c r="H84" s="134" t="str">
        <f>IF(B84&gt;Coverage,"",SUMIFS(input!$E$53:$E$87,input!$C$53:$C$87,$C84))</f>
        <v/>
      </c>
      <c r="I84" s="66" t="str">
        <f>+IF(B84="","",Sum_Assured*VLOOKUP(MIN(C84,10),Assumption!$M$19:$N$28,2,0))</f>
        <v/>
      </c>
      <c r="J84" s="66" t="str">
        <f>IF(B84="","",input!$D$33)</f>
        <v/>
      </c>
      <c r="K84" s="66" t="str">
        <f>IF(B84&gt;Coverage,"",VLOOKUP($C84,COI_Tab[],IF(sex="Male",2,3),0)*I84*(1+EM_Basic)/1000)</f>
        <v/>
      </c>
      <c r="L84" s="66" t="str">
        <f>IF(B84&gt;Coverage,"",VLOOKUP($C84,COI_Tab[],4,0)*J84*(1+EM_Basic)/1000)</f>
        <v/>
      </c>
      <c r="M84" s="207" t="str">
        <f>IF(B84&gt;Coverage,"",ROUND(K84+L84,0))</f>
        <v/>
      </c>
      <c r="N84" s="134" t="str">
        <f>IF(B84&gt;Coverage,"",VLOOKUP($B84,Assumption!$H$11:$I$15,2)*E84)</f>
        <v/>
      </c>
      <c r="O84" s="134" t="str">
        <f>IF(B84&gt;Coverage,"",Assumption!$J$11*$G84)</f>
        <v/>
      </c>
      <c r="P84" s="134" t="str">
        <f>IF(B84&gt;Coverage,"",H84*VLOOKUP(MIN(B84,6),Assumption!$M$11:$N$16,2,0))</f>
        <v/>
      </c>
      <c r="Q84" s="134" t="str">
        <f>IF(B84&gt;Coverage,"",SUM(N84:P84))</f>
        <v/>
      </c>
      <c r="R84" s="207" t="str">
        <f>+IF($B84&gt;Coverage,"",Assumption!$I$18*12)</f>
        <v/>
      </c>
      <c r="S84" s="208" t="str">
        <f>+IF($B84&gt;Coverage,"",Assumption!$I$20)</f>
        <v/>
      </c>
      <c r="T84" s="207">
        <f>+IF($B84&gt;Coverage,0,ROUND((U83+($F84+$G84-$H84-$Q84)*PML_LF)*(1+VLOOKUP(T$3,Assumption!$H$35:$K$43,2,0))^0.5-($M84+$R84)*PML_LF-($S84*PML_LF*U83),0))</f>
        <v>0</v>
      </c>
      <c r="U84" s="207">
        <f>+IF($B84&gt;Coverage,0,ROUND(T84*(1+VLOOKUP(T$3,Assumption!$H$35:$K$43,2,0))^0.5,0))</f>
        <v>0</v>
      </c>
      <c r="V84" s="207">
        <f>+IF($B84="",0,(1-VLOOKUP(MIN($B84,6),Assumption!$M$10:$N$16,2))*U84)</f>
        <v>0</v>
      </c>
      <c r="W84" s="207">
        <f>+IF($B84&gt;Coverage,0,ROUND((X83+($F84+$G84-$H84-$Q84)*PML_BF)*(1+VLOOKUP(W$3,Assumption!$H$35:$K$43,2,0))^0.5-($M84+$R84)*PML_BF-($S84*PML_BF*X83),0))</f>
        <v>0</v>
      </c>
      <c r="X84" s="207">
        <f>+IF($B84&gt;Coverage,0,ROUND(W84*(1+VLOOKUP(W$3,Assumption!$H$35:$K$43,2,0))^0.5,0))</f>
        <v>0</v>
      </c>
      <c r="Y84" s="207">
        <f>+IF($B84="",0,(1-VLOOKUP(MIN($B84,6),Assumption!$M$10:$N$16,2))*X84)</f>
        <v>0</v>
      </c>
      <c r="Z84" s="207">
        <f>+IF($B84&gt;Coverage,0,ROUND((AA83+($F84+$G84-$H84-$Q84)*PML_EF)*(1+VLOOKUP(Z$3,Assumption!$H$35:$K$43,2,0))^0.5-($M84+$R84)*PML_EF-($S84*PML_EF*AA83),0))</f>
        <v>0</v>
      </c>
      <c r="AA84" s="207">
        <f>+IF($B84&gt;Coverage,0,ROUND(Z84*(1+VLOOKUP(Z$3,Assumption!$H$35:$K$43,2,0))^0.5,0))</f>
        <v>0</v>
      </c>
      <c r="AB84" s="207">
        <f>+IF($B84="",0,(1-VLOOKUP(MIN($B84,6),Assumption!$M$10:$N$16,2))*AA84)</f>
        <v>0</v>
      </c>
      <c r="AC84" s="207">
        <f>+IF($B84&gt;Coverage,0,ROUND((AD83+($F84+$G84-$H84-$Q84)*PML_FI)*(1+VLOOKUP(AC$3,Assumption!$H$35:$K$43,2,0))^0.5-($M84+$R84)*PML_FI-($S84*PML_FI*AD83),0))</f>
        <v>0</v>
      </c>
      <c r="AD84" s="207">
        <f>+IF($B84&gt;Coverage,0,ROUND(AC84*(1+VLOOKUP(AC$3,Assumption!$H$35:$K$43,2,0))^0.5,0))</f>
        <v>0</v>
      </c>
      <c r="AE84" s="207">
        <f>+IF($B84="",0,(1-VLOOKUP(MIN($B84,6),Assumption!$M$10:$N$16,2))*AD84)</f>
        <v>0</v>
      </c>
      <c r="AF84" s="207">
        <f>+IF($B84&gt;Coverage,0,ROUND((AG83+($F84+$G84-$H84-$Q84)*PML_LF)*(1+VLOOKUP(AF$3,Assumption!$H$35:$K$43,3,0))^0.5-($M84+$R84)*PML_LF-($S84*PML_LF*AG83),0))</f>
        <v>0</v>
      </c>
      <c r="AG84" s="207">
        <f>+IF($B84&gt;Coverage,0,ROUND(AF84*(1+VLOOKUP(AF$3,Assumption!$H$35:$K$43,3,0))^0.5,0))</f>
        <v>0</v>
      </c>
      <c r="AH84" s="207">
        <f>+IF($B84="",0,(1-VLOOKUP(MIN($B84,6),Assumption!$M$10:$N$16,2))*AG84)</f>
        <v>0</v>
      </c>
      <c r="AI84" s="207">
        <f>+IF($B84&gt;Coverage,0,ROUND((AJ83+($F84+$G84-$H84-$Q84)*PML_BF)*(1+VLOOKUP(AI$3,Assumption!$H$35:$K$43,3,0))^0.5-($M84+$R84)*PML_BF-($S84*PML_BF*AJ83),0))</f>
        <v>0</v>
      </c>
      <c r="AJ84" s="207">
        <f>+IF($B84&gt;Coverage,0,ROUND(AI84*(1+VLOOKUP(AI$3,Assumption!$H$35:$K$43,3,0))^0.5,0))</f>
        <v>0</v>
      </c>
      <c r="AK84" s="207">
        <f>+IF($B84="",0,(1-VLOOKUP(MIN($B84,6),Assumption!$M$10:$N$16,2))*AJ84)</f>
        <v>0</v>
      </c>
      <c r="AL84" s="207">
        <f>+IF($B84&gt;Coverage,0,ROUND((AM83+($F84+$G84-$H84-$Q84)*PML_EF)*(1+VLOOKUP(AL$3,Assumption!$H$35:$K$43,3,0))^0.5-($M84+$R84)*PML_EF-($S84*PML_EF*AM83),0))</f>
        <v>0</v>
      </c>
      <c r="AM84" s="207">
        <f>+IF($B84&gt;Coverage,0,ROUND(AL84*(1+VLOOKUP(AL$3,Assumption!$H$35:$K$43,3,0))^0.5,0))</f>
        <v>0</v>
      </c>
      <c r="AN84" s="207">
        <f>+IF($B84="",0,(1-VLOOKUP(MIN($B84,6),Assumption!$M$10:$N$16,2))*AM84)</f>
        <v>0</v>
      </c>
      <c r="AO84" s="207">
        <f>+IF($B84&gt;Coverage,0,ROUND((AP83+($F84+$G84-$H84-$Q84)*PML_FI)*(1+VLOOKUP(AO$3,Assumption!$H$35:$K$43,3,0))^0.5-($M84+$R84)*PML_FI-($S84*PML_FI*AP83),0))</f>
        <v>0</v>
      </c>
      <c r="AP84" s="207">
        <f>+IF($B84&gt;Coverage,0,ROUND(AO84*(1+VLOOKUP(AO$3,Assumption!$H$35:$K$43,3,0))^0.5,0))</f>
        <v>0</v>
      </c>
      <c r="AQ84" s="207">
        <f>+IF($B84="",0,(1-VLOOKUP(MIN($B84,6),Assumption!$M$10:$N$16,2))*AP84)</f>
        <v>0</v>
      </c>
      <c r="AR84" s="207">
        <f>+IF($B84&gt;Coverage,0,ROUND((AS83+($F84+$G84-$H84-$Q84)*PML_LF)*(1+VLOOKUP(AR$3,Assumption!$H$35:$K$43,4,0))^0.5-($M84+$R84)*PML_LF-($S84*PML_LF*AS83),0))</f>
        <v>0</v>
      </c>
      <c r="AS84" s="207">
        <f>+IF($B84&gt;Coverage,0,ROUND(AR84*(1+VLOOKUP(AR$3,Assumption!$H$35:$K$43,4,0))^0.5,0))</f>
        <v>0</v>
      </c>
      <c r="AT84" s="207">
        <f>+IF($B84="",0,(1-VLOOKUP(MIN($B84,6),Assumption!$M$10:$N$16,2))*AS84)</f>
        <v>0</v>
      </c>
      <c r="AU84" s="207">
        <f>+IF($B84&gt;Coverage,0,ROUND((AV83+($F84+$G84-$H84-$Q84)*PML_BF)*(1+VLOOKUP(AU$3,Assumption!$H$35:$K$43,4,0))^0.5-($M84+$R84)*PML_BF-($S84*PML_BF*AV83),0))</f>
        <v>0</v>
      </c>
      <c r="AV84" s="207">
        <f>+IF($B84&gt;Coverage,0,ROUND(AU84*(1+VLOOKUP(AU$3,Assumption!$H$35:$K$43,4,0))^0.5,0))</f>
        <v>0</v>
      </c>
      <c r="AW84" s="207">
        <f>+IF($B84="",0,(1-VLOOKUP(MIN($B84,6),Assumption!$M$10:$N$16,2))*AV84)</f>
        <v>0</v>
      </c>
      <c r="AX84" s="207">
        <f>+IF($B84&gt;Coverage,0,ROUND((AY83+($F84+$G84-$H84-$Q84)*PML_EF)*(1+VLOOKUP(AX$3,Assumption!$H$35:$K$43,4,0))^0.5-($M84+$R84)*PML_EF-($S84*PML_EF*AY83),0))</f>
        <v>0</v>
      </c>
      <c r="AY84" s="207">
        <f>+IF($B84&gt;Coverage,0,ROUND(AX84*(1+VLOOKUP(AX$3,Assumption!$H$35:$K$43,4,0))^0.5,0))</f>
        <v>0</v>
      </c>
      <c r="AZ84" s="207">
        <f>+IF($B84="",0,(1-VLOOKUP(MIN($B84,6),Assumption!$M$10:$N$16,2))*AY84)</f>
        <v>0</v>
      </c>
      <c r="BA84" s="207">
        <f>+IF($B84&gt;Coverage,0,ROUND((BB83+($F84+$G84-$H84-$Q84)*PML_FI)*(1+VLOOKUP(BA$3,Assumption!$H$35:$K$43,4,0))^0.5-($M84+$R84)*PML_FI-($S84*PML_FI*BB83),0))</f>
        <v>0</v>
      </c>
      <c r="BB84" s="207">
        <f>+IF($B84&gt;Coverage,0,ROUND(BA84*(1+VLOOKUP(BA$3,Assumption!$H$35:$K$43,4,0))^0.5,0))</f>
        <v>0</v>
      </c>
      <c r="BC84" s="207">
        <f>+IF($B84="",0,(1-VLOOKUP(MIN($B84,6),Assumption!$M$10:$N$16,2))*BB84)</f>
        <v>0</v>
      </c>
    </row>
    <row r="85" ht="14.25" customHeight="1">
      <c r="A85" s="126">
        <v>78.0</v>
      </c>
      <c r="B85" s="129" t="str">
        <f>+IF(A85&gt;Coverage,"",A85)</f>
        <v/>
      </c>
      <c r="C85" s="134" t="str">
        <f>+IF(B85=1,Insured_Age,IF(B85="","",C84+1))</f>
        <v/>
      </c>
      <c r="D85" s="134" t="str">
        <f>+IF(B85&gt;Coverage,"",IF(B85=1,input!$H$11,D84+1))</f>
        <v/>
      </c>
      <c r="E85" s="134" t="str">
        <f>IF(B85=1,premi_dasar,IF(B85&gt;Coverage,"",0))</f>
        <v/>
      </c>
      <c r="F85" s="134" t="str">
        <f>IF(B85&gt;Coverage,"",SUM(E85))</f>
        <v/>
      </c>
      <c r="G85" s="134" t="str">
        <f>IF(B85&gt;Coverage,"",SUMIFS(input!$E$38:$E$50,input!$C$38:$C$50,$C85))</f>
        <v/>
      </c>
      <c r="H85" s="134" t="str">
        <f>IF(B85&gt;Coverage,"",SUMIFS(input!$E$53:$E$87,input!$C$53:$C$87,$C85))</f>
        <v/>
      </c>
      <c r="I85" s="66" t="str">
        <f>+IF(B85="","",Sum_Assured*VLOOKUP(MIN(C85,10),Assumption!$M$19:$N$28,2,0))</f>
        <v/>
      </c>
      <c r="J85" s="66" t="str">
        <f>IF(B85="","",input!$D$33)</f>
        <v/>
      </c>
      <c r="K85" s="66" t="str">
        <f>IF(B85&gt;Coverage,"",VLOOKUP($C85,COI_Tab[],IF(sex="Male",2,3),0)*I85*(1+EM_Basic)/1000)</f>
        <v/>
      </c>
      <c r="L85" s="66" t="str">
        <f>IF(B85&gt;Coverage,"",VLOOKUP($C85,COI_Tab[],4,0)*J85*(1+EM_Basic)/1000)</f>
        <v/>
      </c>
      <c r="M85" s="207" t="str">
        <f>IF(B85&gt;Coverage,"",ROUND(K85+L85,0))</f>
        <v/>
      </c>
      <c r="N85" s="134" t="str">
        <f>IF(B85&gt;Coverage,"",VLOOKUP($B85,Assumption!$H$11:$I$15,2)*E85)</f>
        <v/>
      </c>
      <c r="O85" s="134" t="str">
        <f>IF(B85&gt;Coverage,"",Assumption!$J$11*$G85)</f>
        <v/>
      </c>
      <c r="P85" s="134" t="str">
        <f>IF(B85&gt;Coverage,"",H85*VLOOKUP(MIN(B85,6),Assumption!$M$11:$N$16,2,0))</f>
        <v/>
      </c>
      <c r="Q85" s="134" t="str">
        <f>IF(B85&gt;Coverage,"",SUM(N85:P85))</f>
        <v/>
      </c>
      <c r="R85" s="207" t="str">
        <f>+IF($B85&gt;Coverage,"",Assumption!$I$18*12)</f>
        <v/>
      </c>
      <c r="S85" s="208" t="str">
        <f>+IF($B85&gt;Coverage,"",Assumption!$I$20)</f>
        <v/>
      </c>
      <c r="T85" s="207">
        <f>+IF($B85&gt;Coverage,0,ROUND((U84+($F85+$G85-$H85-$Q85)*PML_LF)*(1+VLOOKUP(T$3,Assumption!$H$35:$K$43,2,0))^0.5-($M85+$R85)*PML_LF-($S85*PML_LF*U84),0))</f>
        <v>0</v>
      </c>
      <c r="U85" s="207">
        <f>+IF($B85&gt;Coverage,0,ROUND(T85*(1+VLOOKUP(T$3,Assumption!$H$35:$K$43,2,0))^0.5,0))</f>
        <v>0</v>
      </c>
      <c r="V85" s="207">
        <f>+IF($B85="",0,(1-VLOOKUP(MIN($B85,6),Assumption!$M$10:$N$16,2))*U85)</f>
        <v>0</v>
      </c>
      <c r="W85" s="207">
        <f>+IF($B85&gt;Coverage,0,ROUND((X84+($F85+$G85-$H85-$Q85)*PML_BF)*(1+VLOOKUP(W$3,Assumption!$H$35:$K$43,2,0))^0.5-($M85+$R85)*PML_BF-($S85*PML_BF*X84),0))</f>
        <v>0</v>
      </c>
      <c r="X85" s="207">
        <f>+IF($B85&gt;Coverage,0,ROUND(W85*(1+VLOOKUP(W$3,Assumption!$H$35:$K$43,2,0))^0.5,0))</f>
        <v>0</v>
      </c>
      <c r="Y85" s="207">
        <f>+IF($B85="",0,(1-VLOOKUP(MIN($B85,6),Assumption!$M$10:$N$16,2))*X85)</f>
        <v>0</v>
      </c>
      <c r="Z85" s="207">
        <f>+IF($B85&gt;Coverage,0,ROUND((AA84+($F85+$G85-$H85-$Q85)*PML_EF)*(1+VLOOKUP(Z$3,Assumption!$H$35:$K$43,2,0))^0.5-($M85+$R85)*PML_EF-($S85*PML_EF*AA84),0))</f>
        <v>0</v>
      </c>
      <c r="AA85" s="207">
        <f>+IF($B85&gt;Coverage,0,ROUND(Z85*(1+VLOOKUP(Z$3,Assumption!$H$35:$K$43,2,0))^0.5,0))</f>
        <v>0</v>
      </c>
      <c r="AB85" s="207">
        <f>+IF($B85="",0,(1-VLOOKUP(MIN($B85,6),Assumption!$M$10:$N$16,2))*AA85)</f>
        <v>0</v>
      </c>
      <c r="AC85" s="207">
        <f>+IF($B85&gt;Coverage,0,ROUND((AD84+($F85+$G85-$H85-$Q85)*PML_FI)*(1+VLOOKUP(AC$3,Assumption!$H$35:$K$43,2,0))^0.5-($M85+$R85)*PML_FI-($S85*PML_FI*AD84),0))</f>
        <v>0</v>
      </c>
      <c r="AD85" s="207">
        <f>+IF($B85&gt;Coverage,0,ROUND(AC85*(1+VLOOKUP(AC$3,Assumption!$H$35:$K$43,2,0))^0.5,0))</f>
        <v>0</v>
      </c>
      <c r="AE85" s="207">
        <f>+IF($B85="",0,(1-VLOOKUP(MIN($B85,6),Assumption!$M$10:$N$16,2))*AD85)</f>
        <v>0</v>
      </c>
      <c r="AF85" s="207">
        <f>+IF($B85&gt;Coverage,0,ROUND((AG84+($F85+$G85-$H85-$Q85)*PML_LF)*(1+VLOOKUP(AF$3,Assumption!$H$35:$K$43,3,0))^0.5-($M85+$R85)*PML_LF-($S85*PML_LF*AG84),0))</f>
        <v>0</v>
      </c>
      <c r="AG85" s="207">
        <f>+IF($B85&gt;Coverage,0,ROUND(AF85*(1+VLOOKUP(AF$3,Assumption!$H$35:$K$43,3,0))^0.5,0))</f>
        <v>0</v>
      </c>
      <c r="AH85" s="207">
        <f>+IF($B85="",0,(1-VLOOKUP(MIN($B85,6),Assumption!$M$10:$N$16,2))*AG85)</f>
        <v>0</v>
      </c>
      <c r="AI85" s="207">
        <f>+IF($B85&gt;Coverage,0,ROUND((AJ84+($F85+$G85-$H85-$Q85)*PML_BF)*(1+VLOOKUP(AI$3,Assumption!$H$35:$K$43,3,0))^0.5-($M85+$R85)*PML_BF-($S85*PML_BF*AJ84),0))</f>
        <v>0</v>
      </c>
      <c r="AJ85" s="207">
        <f>+IF($B85&gt;Coverage,0,ROUND(AI85*(1+VLOOKUP(AI$3,Assumption!$H$35:$K$43,3,0))^0.5,0))</f>
        <v>0</v>
      </c>
      <c r="AK85" s="207">
        <f>+IF($B85="",0,(1-VLOOKUP(MIN($B85,6),Assumption!$M$10:$N$16,2))*AJ85)</f>
        <v>0</v>
      </c>
      <c r="AL85" s="207">
        <f>+IF($B85&gt;Coverage,0,ROUND((AM84+($F85+$G85-$H85-$Q85)*PML_EF)*(1+VLOOKUP(AL$3,Assumption!$H$35:$K$43,3,0))^0.5-($M85+$R85)*PML_EF-($S85*PML_EF*AM84),0))</f>
        <v>0</v>
      </c>
      <c r="AM85" s="207">
        <f>+IF($B85&gt;Coverage,0,ROUND(AL85*(1+VLOOKUP(AL$3,Assumption!$H$35:$K$43,3,0))^0.5,0))</f>
        <v>0</v>
      </c>
      <c r="AN85" s="207">
        <f>+IF($B85="",0,(1-VLOOKUP(MIN($B85,6),Assumption!$M$10:$N$16,2))*AM85)</f>
        <v>0</v>
      </c>
      <c r="AO85" s="207">
        <f>+IF($B85&gt;Coverage,0,ROUND((AP84+($F85+$G85-$H85-$Q85)*PML_FI)*(1+VLOOKUP(AO$3,Assumption!$H$35:$K$43,3,0))^0.5-($M85+$R85)*PML_FI-($S85*PML_FI*AP84),0))</f>
        <v>0</v>
      </c>
      <c r="AP85" s="207">
        <f>+IF($B85&gt;Coverage,0,ROUND(AO85*(1+VLOOKUP(AO$3,Assumption!$H$35:$K$43,3,0))^0.5,0))</f>
        <v>0</v>
      </c>
      <c r="AQ85" s="207">
        <f>+IF($B85="",0,(1-VLOOKUP(MIN($B85,6),Assumption!$M$10:$N$16,2))*AP85)</f>
        <v>0</v>
      </c>
      <c r="AR85" s="207">
        <f>+IF($B85&gt;Coverage,0,ROUND((AS84+($F85+$G85-$H85-$Q85)*PML_LF)*(1+VLOOKUP(AR$3,Assumption!$H$35:$K$43,4,0))^0.5-($M85+$R85)*PML_LF-($S85*PML_LF*AS84),0))</f>
        <v>0</v>
      </c>
      <c r="AS85" s="207">
        <f>+IF($B85&gt;Coverage,0,ROUND(AR85*(1+VLOOKUP(AR$3,Assumption!$H$35:$K$43,4,0))^0.5,0))</f>
        <v>0</v>
      </c>
      <c r="AT85" s="207">
        <f>+IF($B85="",0,(1-VLOOKUP(MIN($B85,6),Assumption!$M$10:$N$16,2))*AS85)</f>
        <v>0</v>
      </c>
      <c r="AU85" s="207">
        <f>+IF($B85&gt;Coverage,0,ROUND((AV84+($F85+$G85-$H85-$Q85)*PML_BF)*(1+VLOOKUP(AU$3,Assumption!$H$35:$K$43,4,0))^0.5-($M85+$R85)*PML_BF-($S85*PML_BF*AV84),0))</f>
        <v>0</v>
      </c>
      <c r="AV85" s="207">
        <f>+IF($B85&gt;Coverage,0,ROUND(AU85*(1+VLOOKUP(AU$3,Assumption!$H$35:$K$43,4,0))^0.5,0))</f>
        <v>0</v>
      </c>
      <c r="AW85" s="207">
        <f>+IF($B85="",0,(1-VLOOKUP(MIN($B85,6),Assumption!$M$10:$N$16,2))*AV85)</f>
        <v>0</v>
      </c>
      <c r="AX85" s="207">
        <f>+IF($B85&gt;Coverage,0,ROUND((AY84+($F85+$G85-$H85-$Q85)*PML_EF)*(1+VLOOKUP(AX$3,Assumption!$H$35:$K$43,4,0))^0.5-($M85+$R85)*PML_EF-($S85*PML_EF*AY84),0))</f>
        <v>0</v>
      </c>
      <c r="AY85" s="207">
        <f>+IF($B85&gt;Coverage,0,ROUND(AX85*(1+VLOOKUP(AX$3,Assumption!$H$35:$K$43,4,0))^0.5,0))</f>
        <v>0</v>
      </c>
      <c r="AZ85" s="207">
        <f>+IF($B85="",0,(1-VLOOKUP(MIN($B85,6),Assumption!$M$10:$N$16,2))*AY85)</f>
        <v>0</v>
      </c>
      <c r="BA85" s="207">
        <f>+IF($B85&gt;Coverage,0,ROUND((BB84+($F85+$G85-$H85-$Q85)*PML_FI)*(1+VLOOKUP(BA$3,Assumption!$H$35:$K$43,4,0))^0.5-($M85+$R85)*PML_FI-($S85*PML_FI*BB84),0))</f>
        <v>0</v>
      </c>
      <c r="BB85" s="207">
        <f>+IF($B85&gt;Coverage,0,ROUND(BA85*(1+VLOOKUP(BA$3,Assumption!$H$35:$K$43,4,0))^0.5,0))</f>
        <v>0</v>
      </c>
      <c r="BC85" s="207">
        <f>+IF($B85="",0,(1-VLOOKUP(MIN($B85,6),Assumption!$M$10:$N$16,2))*BB85)</f>
        <v>0</v>
      </c>
    </row>
    <row r="86" ht="14.25" customHeight="1">
      <c r="A86" s="126">
        <v>79.0</v>
      </c>
      <c r="B86" s="129" t="str">
        <f>+IF(A86&gt;Coverage,"",A86)</f>
        <v/>
      </c>
      <c r="C86" s="134" t="str">
        <f>+IF(B86=1,Insured_Age,IF(B86="","",C85+1))</f>
        <v/>
      </c>
      <c r="D86" s="134" t="str">
        <f>+IF(B86&gt;Coverage,"",IF(B86=1,input!$H$11,D85+1))</f>
        <v/>
      </c>
      <c r="E86" s="134" t="str">
        <f>IF(B86=1,premi_dasar,IF(B86&gt;Coverage,"",0))</f>
        <v/>
      </c>
      <c r="F86" s="134" t="str">
        <f>IF(B86&gt;Coverage,"",SUM(E86))</f>
        <v/>
      </c>
      <c r="G86" s="134" t="str">
        <f>IF(B86&gt;Coverage,"",SUMIFS(input!$E$38:$E$50,input!$C$38:$C$50,$C86))</f>
        <v/>
      </c>
      <c r="H86" s="134" t="str">
        <f>IF(B86&gt;Coverage,"",SUMIFS(input!$E$53:$E$87,input!$C$53:$C$87,$C86))</f>
        <v/>
      </c>
      <c r="I86" s="66" t="str">
        <f>+IF(B86="","",Sum_Assured*VLOOKUP(MIN(C86,10),Assumption!$M$19:$N$28,2,0))</f>
        <v/>
      </c>
      <c r="J86" s="66" t="str">
        <f>IF(B86="","",input!$D$33)</f>
        <v/>
      </c>
      <c r="K86" s="66" t="str">
        <f>IF(B86&gt;Coverage,"",VLOOKUP($C86,COI_Tab[],IF(sex="Male",2,3),0)*I86*(1+EM_Basic)/1000)</f>
        <v/>
      </c>
      <c r="L86" s="66" t="str">
        <f>IF(B86&gt;Coverage,"",VLOOKUP($C86,COI_Tab[],4,0)*J86*(1+EM_Basic)/1000)</f>
        <v/>
      </c>
      <c r="M86" s="207" t="str">
        <f>IF(B86&gt;Coverage,"",ROUND(K86+L86,0))</f>
        <v/>
      </c>
      <c r="N86" s="134" t="str">
        <f>IF(B86&gt;Coverage,"",VLOOKUP($B86,Assumption!$H$11:$I$15,2)*E86)</f>
        <v/>
      </c>
      <c r="O86" s="134" t="str">
        <f>IF(B86&gt;Coverage,"",Assumption!$J$11*$G86)</f>
        <v/>
      </c>
      <c r="P86" s="134" t="str">
        <f>IF(B86&gt;Coverage,"",H86*VLOOKUP(MIN(B86,6),Assumption!$M$11:$N$16,2,0))</f>
        <v/>
      </c>
      <c r="Q86" s="134" t="str">
        <f>IF(B86&gt;Coverage,"",SUM(N86:P86))</f>
        <v/>
      </c>
      <c r="R86" s="207" t="str">
        <f>+IF($B86&gt;Coverage,"",Assumption!$I$18*12)</f>
        <v/>
      </c>
      <c r="S86" s="208" t="str">
        <f>+IF($B86&gt;Coverage,"",Assumption!$I$20)</f>
        <v/>
      </c>
      <c r="T86" s="207">
        <f>+IF($B86&gt;Coverage,0,ROUND((U85+($F86+$G86-$H86-$Q86)*PML_LF)*(1+VLOOKUP(T$3,Assumption!$H$35:$K$43,2,0))^0.5-($M86+$R86)*PML_LF-($S86*PML_LF*U85),0))</f>
        <v>0</v>
      </c>
      <c r="U86" s="207">
        <f>+IF($B86&gt;Coverage,0,ROUND(T86*(1+VLOOKUP(T$3,Assumption!$H$35:$K$43,2,0))^0.5,0))</f>
        <v>0</v>
      </c>
      <c r="V86" s="207">
        <f>+IF($B86="",0,(1-VLOOKUP(MIN($B86,6),Assumption!$M$10:$N$16,2))*U86)</f>
        <v>0</v>
      </c>
      <c r="W86" s="207">
        <f>+IF($B86&gt;Coverage,0,ROUND((X85+($F86+$G86-$H86-$Q86)*PML_BF)*(1+VLOOKUP(W$3,Assumption!$H$35:$K$43,2,0))^0.5-($M86+$R86)*PML_BF-($S86*PML_BF*X85),0))</f>
        <v>0</v>
      </c>
      <c r="X86" s="207">
        <f>+IF($B86&gt;Coverage,0,ROUND(W86*(1+VLOOKUP(W$3,Assumption!$H$35:$K$43,2,0))^0.5,0))</f>
        <v>0</v>
      </c>
      <c r="Y86" s="207">
        <f>+IF($B86="",0,(1-VLOOKUP(MIN($B86,6),Assumption!$M$10:$N$16,2))*X86)</f>
        <v>0</v>
      </c>
      <c r="Z86" s="207">
        <f>+IF($B86&gt;Coverage,0,ROUND((AA85+($F86+$G86-$H86-$Q86)*PML_EF)*(1+VLOOKUP(Z$3,Assumption!$H$35:$K$43,2,0))^0.5-($M86+$R86)*PML_EF-($S86*PML_EF*AA85),0))</f>
        <v>0</v>
      </c>
      <c r="AA86" s="207">
        <f>+IF($B86&gt;Coverage,0,ROUND(Z86*(1+VLOOKUP(Z$3,Assumption!$H$35:$K$43,2,0))^0.5,0))</f>
        <v>0</v>
      </c>
      <c r="AB86" s="207">
        <f>+IF($B86="",0,(1-VLOOKUP(MIN($B86,6),Assumption!$M$10:$N$16,2))*AA86)</f>
        <v>0</v>
      </c>
      <c r="AC86" s="207">
        <f>+IF($B86&gt;Coverage,0,ROUND((AD85+($F86+$G86-$H86-$Q86)*PML_FI)*(1+VLOOKUP(AC$3,Assumption!$H$35:$K$43,2,0))^0.5-($M86+$R86)*PML_FI-($S86*PML_FI*AD85),0))</f>
        <v>0</v>
      </c>
      <c r="AD86" s="207">
        <f>+IF($B86&gt;Coverage,0,ROUND(AC86*(1+VLOOKUP(AC$3,Assumption!$H$35:$K$43,2,0))^0.5,0))</f>
        <v>0</v>
      </c>
      <c r="AE86" s="207">
        <f>+IF($B86="",0,(1-VLOOKUP(MIN($B86,6),Assumption!$M$10:$N$16,2))*AD86)</f>
        <v>0</v>
      </c>
      <c r="AF86" s="207">
        <f>+IF($B86&gt;Coverage,0,ROUND((AG85+($F86+$G86-$H86-$Q86)*PML_LF)*(1+VLOOKUP(AF$3,Assumption!$H$35:$K$43,3,0))^0.5-($M86+$R86)*PML_LF-($S86*PML_LF*AG85),0))</f>
        <v>0</v>
      </c>
      <c r="AG86" s="207">
        <f>+IF($B86&gt;Coverage,0,ROUND(AF86*(1+VLOOKUP(AF$3,Assumption!$H$35:$K$43,3,0))^0.5,0))</f>
        <v>0</v>
      </c>
      <c r="AH86" s="207">
        <f>+IF($B86="",0,(1-VLOOKUP(MIN($B86,6),Assumption!$M$10:$N$16,2))*AG86)</f>
        <v>0</v>
      </c>
      <c r="AI86" s="207">
        <f>+IF($B86&gt;Coverage,0,ROUND((AJ85+($F86+$G86-$H86-$Q86)*PML_BF)*(1+VLOOKUP(AI$3,Assumption!$H$35:$K$43,3,0))^0.5-($M86+$R86)*PML_BF-($S86*PML_BF*AJ85),0))</f>
        <v>0</v>
      </c>
      <c r="AJ86" s="207">
        <f>+IF($B86&gt;Coverage,0,ROUND(AI86*(1+VLOOKUP(AI$3,Assumption!$H$35:$K$43,3,0))^0.5,0))</f>
        <v>0</v>
      </c>
      <c r="AK86" s="207">
        <f>+IF($B86="",0,(1-VLOOKUP(MIN($B86,6),Assumption!$M$10:$N$16,2))*AJ86)</f>
        <v>0</v>
      </c>
      <c r="AL86" s="207">
        <f>+IF($B86&gt;Coverage,0,ROUND((AM85+($F86+$G86-$H86-$Q86)*PML_EF)*(1+VLOOKUP(AL$3,Assumption!$H$35:$K$43,3,0))^0.5-($M86+$R86)*PML_EF-($S86*PML_EF*AM85),0))</f>
        <v>0</v>
      </c>
      <c r="AM86" s="207">
        <f>+IF($B86&gt;Coverage,0,ROUND(AL86*(1+VLOOKUP(AL$3,Assumption!$H$35:$K$43,3,0))^0.5,0))</f>
        <v>0</v>
      </c>
      <c r="AN86" s="207">
        <f>+IF($B86="",0,(1-VLOOKUP(MIN($B86,6),Assumption!$M$10:$N$16,2))*AM86)</f>
        <v>0</v>
      </c>
      <c r="AO86" s="207">
        <f>+IF($B86&gt;Coverage,0,ROUND((AP85+($F86+$G86-$H86-$Q86)*PML_FI)*(1+VLOOKUP(AO$3,Assumption!$H$35:$K$43,3,0))^0.5-($M86+$R86)*PML_FI-($S86*PML_FI*AP85),0))</f>
        <v>0</v>
      </c>
      <c r="AP86" s="207">
        <f>+IF($B86&gt;Coverage,0,ROUND(AO86*(1+VLOOKUP(AO$3,Assumption!$H$35:$K$43,3,0))^0.5,0))</f>
        <v>0</v>
      </c>
      <c r="AQ86" s="207">
        <f>+IF($B86="",0,(1-VLOOKUP(MIN($B86,6),Assumption!$M$10:$N$16,2))*AP86)</f>
        <v>0</v>
      </c>
      <c r="AR86" s="207">
        <f>+IF($B86&gt;Coverage,0,ROUND((AS85+($F86+$G86-$H86-$Q86)*PML_LF)*(1+VLOOKUP(AR$3,Assumption!$H$35:$K$43,4,0))^0.5-($M86+$R86)*PML_LF-($S86*PML_LF*AS85),0))</f>
        <v>0</v>
      </c>
      <c r="AS86" s="207">
        <f>+IF($B86&gt;Coverage,0,ROUND(AR86*(1+VLOOKUP(AR$3,Assumption!$H$35:$K$43,4,0))^0.5,0))</f>
        <v>0</v>
      </c>
      <c r="AT86" s="207">
        <f>+IF($B86="",0,(1-VLOOKUP(MIN($B86,6),Assumption!$M$10:$N$16,2))*AS86)</f>
        <v>0</v>
      </c>
      <c r="AU86" s="207">
        <f>+IF($B86&gt;Coverage,0,ROUND((AV85+($F86+$G86-$H86-$Q86)*PML_BF)*(1+VLOOKUP(AU$3,Assumption!$H$35:$K$43,4,0))^0.5-($M86+$R86)*PML_BF-($S86*PML_BF*AV85),0))</f>
        <v>0</v>
      </c>
      <c r="AV86" s="207">
        <f>+IF($B86&gt;Coverage,0,ROUND(AU86*(1+VLOOKUP(AU$3,Assumption!$H$35:$K$43,4,0))^0.5,0))</f>
        <v>0</v>
      </c>
      <c r="AW86" s="207">
        <f>+IF($B86="",0,(1-VLOOKUP(MIN($B86,6),Assumption!$M$10:$N$16,2))*AV86)</f>
        <v>0</v>
      </c>
      <c r="AX86" s="207">
        <f>+IF($B86&gt;Coverage,0,ROUND((AY85+($F86+$G86-$H86-$Q86)*PML_EF)*(1+VLOOKUP(AX$3,Assumption!$H$35:$K$43,4,0))^0.5-($M86+$R86)*PML_EF-($S86*PML_EF*AY85),0))</f>
        <v>0</v>
      </c>
      <c r="AY86" s="207">
        <f>+IF($B86&gt;Coverage,0,ROUND(AX86*(1+VLOOKUP(AX$3,Assumption!$H$35:$K$43,4,0))^0.5,0))</f>
        <v>0</v>
      </c>
      <c r="AZ86" s="207">
        <f>+IF($B86="",0,(1-VLOOKUP(MIN($B86,6),Assumption!$M$10:$N$16,2))*AY86)</f>
        <v>0</v>
      </c>
      <c r="BA86" s="207">
        <f>+IF($B86&gt;Coverage,0,ROUND((BB85+($F86+$G86-$H86-$Q86)*PML_FI)*(1+VLOOKUP(BA$3,Assumption!$H$35:$K$43,4,0))^0.5-($M86+$R86)*PML_FI-($S86*PML_FI*BB85),0))</f>
        <v>0</v>
      </c>
      <c r="BB86" s="207">
        <f>+IF($B86&gt;Coverage,0,ROUND(BA86*(1+VLOOKUP(BA$3,Assumption!$H$35:$K$43,4,0))^0.5,0))</f>
        <v>0</v>
      </c>
      <c r="BC86" s="207">
        <f>+IF($B86="",0,(1-VLOOKUP(MIN($B86,6),Assumption!$M$10:$N$16,2))*BB86)</f>
        <v>0</v>
      </c>
    </row>
    <row r="87" ht="14.25" customHeight="1">
      <c r="A87" s="126">
        <v>80.0</v>
      </c>
      <c r="B87" s="129" t="str">
        <f>+IF(A87&gt;Coverage,"",A87)</f>
        <v/>
      </c>
      <c r="C87" s="134" t="str">
        <f>+IF(B87=1,Insured_Age,IF(B87="","",C86+1))</f>
        <v/>
      </c>
      <c r="D87" s="134" t="str">
        <f>+IF(B87&gt;Coverage,"",IF(B87=1,input!$H$11,D86+1))</f>
        <v/>
      </c>
      <c r="E87" s="134" t="str">
        <f>IF(B87=1,premi_dasar,IF(B87&gt;Coverage,"",0))</f>
        <v/>
      </c>
      <c r="F87" s="134" t="str">
        <f>IF(B87&gt;Coverage,"",SUM(E87))</f>
        <v/>
      </c>
      <c r="G87" s="134" t="str">
        <f>IF(B87&gt;Coverage,"",SUMIFS(input!$E$38:$E$50,input!$C$38:$C$50,$C87))</f>
        <v/>
      </c>
      <c r="H87" s="134" t="str">
        <f>IF(B87&gt;Coverage,"",SUMIFS(input!$E$53:$E$87,input!$C$53:$C$87,$C87))</f>
        <v/>
      </c>
      <c r="I87" s="66" t="str">
        <f>+IF(B87="","",Sum_Assured*VLOOKUP(MIN(C87,10),Assumption!$M$19:$N$28,2,0))</f>
        <v/>
      </c>
      <c r="J87" s="66" t="str">
        <f>IF(B87="","",input!$D$33)</f>
        <v/>
      </c>
      <c r="K87" s="66" t="str">
        <f>IF(B87&gt;Coverage,"",VLOOKUP($C87,COI_Tab[],IF(sex="Male",2,3),0)*I87*(1+EM_Basic)/1000)</f>
        <v/>
      </c>
      <c r="L87" s="66" t="str">
        <f>IF(B87&gt;Coverage,"",VLOOKUP($C87,COI_Tab[],4,0)*J87*(1+EM_Basic)/1000)</f>
        <v/>
      </c>
      <c r="M87" s="207" t="str">
        <f>IF(B87&gt;Coverage,"",ROUND(K87+L87,0))</f>
        <v/>
      </c>
      <c r="N87" s="134" t="str">
        <f>IF(B87&gt;Coverage,"",VLOOKUP($B87,Assumption!$H$11:$I$15,2)*E87)</f>
        <v/>
      </c>
      <c r="O87" s="134" t="str">
        <f>IF(B87&gt;Coverage,"",Assumption!$J$11*$G87)</f>
        <v/>
      </c>
      <c r="P87" s="134" t="str">
        <f>IF(B87&gt;Coverage,"",H87*VLOOKUP(MIN(B87,6),Assumption!$M$11:$N$16,2,0))</f>
        <v/>
      </c>
      <c r="Q87" s="134" t="str">
        <f>IF(B87&gt;Coverage,"",SUM(N87:P87))</f>
        <v/>
      </c>
      <c r="R87" s="207" t="str">
        <f>+IF($B87&gt;Coverage,"",Assumption!$I$18*12)</f>
        <v/>
      </c>
      <c r="S87" s="208" t="str">
        <f>+IF($B87&gt;Coverage,"",Assumption!$I$20)</f>
        <v/>
      </c>
      <c r="T87" s="207">
        <f>+IF($B87&gt;Coverage,0,ROUND((U86+($F87+$G87-$H87-$Q87)*PML_LF)*(1+VLOOKUP(T$3,Assumption!$H$35:$K$43,2,0))^0.5-($M87+$R87)*PML_LF-($S87*PML_LF*U86),0))</f>
        <v>0</v>
      </c>
      <c r="U87" s="207">
        <f>+IF($B87&gt;Coverage,0,ROUND(T87*(1+VLOOKUP(T$3,Assumption!$H$35:$K$43,2,0))^0.5,0))</f>
        <v>0</v>
      </c>
      <c r="V87" s="207">
        <f>+IF($B87="",0,(1-VLOOKUP(MIN($B87,6),Assumption!$M$10:$N$16,2))*U87)</f>
        <v>0</v>
      </c>
      <c r="W87" s="207">
        <f>+IF($B87&gt;Coverage,0,ROUND((X86+($F87+$G87-$H87-$Q87)*PML_BF)*(1+VLOOKUP(W$3,Assumption!$H$35:$K$43,2,0))^0.5-($M87+$R87)*PML_BF-($S87*PML_BF*X86),0))</f>
        <v>0</v>
      </c>
      <c r="X87" s="207">
        <f>+IF($B87&gt;Coverage,0,ROUND(W87*(1+VLOOKUP(W$3,Assumption!$H$35:$K$43,2,0))^0.5,0))</f>
        <v>0</v>
      </c>
      <c r="Y87" s="207">
        <f>+IF($B87="",0,(1-VLOOKUP(MIN($B87,6),Assumption!$M$10:$N$16,2))*X87)</f>
        <v>0</v>
      </c>
      <c r="Z87" s="207">
        <f>+IF($B87&gt;Coverage,0,ROUND((AA86+($F87+$G87-$H87-$Q87)*PML_EF)*(1+VLOOKUP(Z$3,Assumption!$H$35:$K$43,2,0))^0.5-($M87+$R87)*PML_EF-($S87*PML_EF*AA86),0))</f>
        <v>0</v>
      </c>
      <c r="AA87" s="207">
        <f>+IF($B87&gt;Coverage,0,ROUND(Z87*(1+VLOOKUP(Z$3,Assumption!$H$35:$K$43,2,0))^0.5,0))</f>
        <v>0</v>
      </c>
      <c r="AB87" s="207">
        <f>+IF($B87="",0,(1-VLOOKUP(MIN($B87,6),Assumption!$M$10:$N$16,2))*AA87)</f>
        <v>0</v>
      </c>
      <c r="AC87" s="207">
        <f>+IF($B87&gt;Coverage,0,ROUND((AD86+($F87+$G87-$H87-$Q87)*PML_FI)*(1+VLOOKUP(AC$3,Assumption!$H$35:$K$43,2,0))^0.5-($M87+$R87)*PML_FI-($S87*PML_FI*AD86),0))</f>
        <v>0</v>
      </c>
      <c r="AD87" s="207">
        <f>+IF($B87&gt;Coverage,0,ROUND(AC87*(1+VLOOKUP(AC$3,Assumption!$H$35:$K$43,2,0))^0.5,0))</f>
        <v>0</v>
      </c>
      <c r="AE87" s="207">
        <f>+IF($B87="",0,(1-VLOOKUP(MIN($B87,6),Assumption!$M$10:$N$16,2))*AD87)</f>
        <v>0</v>
      </c>
      <c r="AF87" s="207">
        <f>+IF($B87&gt;Coverage,0,ROUND((AG86+($F87+$G87-$H87-$Q87)*PML_LF)*(1+VLOOKUP(AF$3,Assumption!$H$35:$K$43,3,0))^0.5-($M87+$R87)*PML_LF-($S87*PML_LF*AG86),0))</f>
        <v>0</v>
      </c>
      <c r="AG87" s="207">
        <f>+IF($B87&gt;Coverage,0,ROUND(AF87*(1+VLOOKUP(AF$3,Assumption!$H$35:$K$43,3,0))^0.5,0))</f>
        <v>0</v>
      </c>
      <c r="AH87" s="207">
        <f>+IF($B87="",0,(1-VLOOKUP(MIN($B87,6),Assumption!$M$10:$N$16,2))*AG87)</f>
        <v>0</v>
      </c>
      <c r="AI87" s="207">
        <f>+IF($B87&gt;Coverage,0,ROUND((AJ86+($F87+$G87-$H87-$Q87)*PML_BF)*(1+VLOOKUP(AI$3,Assumption!$H$35:$K$43,3,0))^0.5-($M87+$R87)*PML_BF-($S87*PML_BF*AJ86),0))</f>
        <v>0</v>
      </c>
      <c r="AJ87" s="207">
        <f>+IF($B87&gt;Coverage,0,ROUND(AI87*(1+VLOOKUP(AI$3,Assumption!$H$35:$K$43,3,0))^0.5,0))</f>
        <v>0</v>
      </c>
      <c r="AK87" s="207">
        <f>+IF($B87="",0,(1-VLOOKUP(MIN($B87,6),Assumption!$M$10:$N$16,2))*AJ87)</f>
        <v>0</v>
      </c>
      <c r="AL87" s="207">
        <f>+IF($B87&gt;Coverage,0,ROUND((AM86+($F87+$G87-$H87-$Q87)*PML_EF)*(1+VLOOKUP(AL$3,Assumption!$H$35:$K$43,3,0))^0.5-($M87+$R87)*PML_EF-($S87*PML_EF*AM86),0))</f>
        <v>0</v>
      </c>
      <c r="AM87" s="207">
        <f>+IF($B87&gt;Coverage,0,ROUND(AL87*(1+VLOOKUP(AL$3,Assumption!$H$35:$K$43,3,0))^0.5,0))</f>
        <v>0</v>
      </c>
      <c r="AN87" s="207">
        <f>+IF($B87="",0,(1-VLOOKUP(MIN($B87,6),Assumption!$M$10:$N$16,2))*AM87)</f>
        <v>0</v>
      </c>
      <c r="AO87" s="207">
        <f>+IF($B87&gt;Coverage,0,ROUND((AP86+($F87+$G87-$H87-$Q87)*PML_FI)*(1+VLOOKUP(AO$3,Assumption!$H$35:$K$43,3,0))^0.5-($M87+$R87)*PML_FI-($S87*PML_FI*AP86),0))</f>
        <v>0</v>
      </c>
      <c r="AP87" s="207">
        <f>+IF($B87&gt;Coverage,0,ROUND(AO87*(1+VLOOKUP(AO$3,Assumption!$H$35:$K$43,3,0))^0.5,0))</f>
        <v>0</v>
      </c>
      <c r="AQ87" s="207">
        <f>+IF($B87="",0,(1-VLOOKUP(MIN($B87,6),Assumption!$M$10:$N$16,2))*AP87)</f>
        <v>0</v>
      </c>
      <c r="AR87" s="207">
        <f>+IF($B87&gt;Coverage,0,ROUND((AS86+($F87+$G87-$H87-$Q87)*PML_LF)*(1+VLOOKUP(AR$3,Assumption!$H$35:$K$43,4,0))^0.5-($M87+$R87)*PML_LF-($S87*PML_LF*AS86),0))</f>
        <v>0</v>
      </c>
      <c r="AS87" s="207">
        <f>+IF($B87&gt;Coverage,0,ROUND(AR87*(1+VLOOKUP(AR$3,Assumption!$H$35:$K$43,4,0))^0.5,0))</f>
        <v>0</v>
      </c>
      <c r="AT87" s="207">
        <f>+IF($B87="",0,(1-VLOOKUP(MIN($B87,6),Assumption!$M$10:$N$16,2))*AS87)</f>
        <v>0</v>
      </c>
      <c r="AU87" s="207">
        <f>+IF($B87&gt;Coverage,0,ROUND((AV86+($F87+$G87-$H87-$Q87)*PML_BF)*(1+VLOOKUP(AU$3,Assumption!$H$35:$K$43,4,0))^0.5-($M87+$R87)*PML_BF-($S87*PML_BF*AV86),0))</f>
        <v>0</v>
      </c>
      <c r="AV87" s="207">
        <f>+IF($B87&gt;Coverage,0,ROUND(AU87*(1+VLOOKUP(AU$3,Assumption!$H$35:$K$43,4,0))^0.5,0))</f>
        <v>0</v>
      </c>
      <c r="AW87" s="207">
        <f>+IF($B87="",0,(1-VLOOKUP(MIN($B87,6),Assumption!$M$10:$N$16,2))*AV87)</f>
        <v>0</v>
      </c>
      <c r="AX87" s="207">
        <f>+IF($B87&gt;Coverage,0,ROUND((AY86+($F87+$G87-$H87-$Q87)*PML_EF)*(1+VLOOKUP(AX$3,Assumption!$H$35:$K$43,4,0))^0.5-($M87+$R87)*PML_EF-($S87*PML_EF*AY86),0))</f>
        <v>0</v>
      </c>
      <c r="AY87" s="207">
        <f>+IF($B87&gt;Coverage,0,ROUND(AX87*(1+VLOOKUP(AX$3,Assumption!$H$35:$K$43,4,0))^0.5,0))</f>
        <v>0</v>
      </c>
      <c r="AZ87" s="207">
        <f>+IF($B87="",0,(1-VLOOKUP(MIN($B87,6),Assumption!$M$10:$N$16,2))*AY87)</f>
        <v>0</v>
      </c>
      <c r="BA87" s="207">
        <f>+IF($B87&gt;Coverage,0,ROUND((BB86+($F87+$G87-$H87-$Q87)*PML_FI)*(1+VLOOKUP(BA$3,Assumption!$H$35:$K$43,4,0))^0.5-($M87+$R87)*PML_FI-($S87*PML_FI*BB86),0))</f>
        <v>0</v>
      </c>
      <c r="BB87" s="207">
        <f>+IF($B87&gt;Coverage,0,ROUND(BA87*(1+VLOOKUP(BA$3,Assumption!$H$35:$K$43,4,0))^0.5,0))</f>
        <v>0</v>
      </c>
      <c r="BC87" s="207">
        <f>+IF($B87="",0,(1-VLOOKUP(MIN($B87,6),Assumption!$M$10:$N$16,2))*BB87)</f>
        <v>0</v>
      </c>
    </row>
    <row r="88" ht="14.25" customHeight="1">
      <c r="A88" s="126">
        <v>81.0</v>
      </c>
      <c r="B88" s="129" t="str">
        <f>+IF(A88&gt;Coverage,"",A88)</f>
        <v/>
      </c>
      <c r="C88" s="134" t="str">
        <f>+IF(B88=1,Insured_Age,IF(B88="","",C87+1))</f>
        <v/>
      </c>
      <c r="D88" s="134" t="str">
        <f>+IF(B88&gt;Coverage,"",IF(B88=1,input!$H$11,D87+1))</f>
        <v/>
      </c>
      <c r="E88" s="134" t="str">
        <f>IF(B88=1,premi_dasar,IF(B88&gt;Coverage,"",0))</f>
        <v/>
      </c>
      <c r="F88" s="134" t="str">
        <f>IF(B88&gt;Coverage,"",SUM(E88))</f>
        <v/>
      </c>
      <c r="G88" s="134" t="str">
        <f>IF(B88&gt;Coverage,"",SUMIFS(input!$E$38:$E$50,input!$C$38:$C$50,$C88))</f>
        <v/>
      </c>
      <c r="H88" s="134" t="str">
        <f>IF(B88&gt;Coverage,"",SUMIFS(input!$E$53:$E$87,input!$C$53:$C$87,$C88))</f>
        <v/>
      </c>
      <c r="I88" s="66" t="str">
        <f>+IF(B88="","",Sum_Assured*VLOOKUP(MIN(C88,10),Assumption!$M$19:$N$28,2,0))</f>
        <v/>
      </c>
      <c r="J88" s="66" t="str">
        <f>IF(B88="","",input!$D$33)</f>
        <v/>
      </c>
      <c r="K88" s="66" t="str">
        <f>IF(B88&gt;Coverage,"",VLOOKUP($C88,COI_Tab[],IF(sex="Male",2,3),0)*I88*(1+EM_Basic)/1000)</f>
        <v/>
      </c>
      <c r="L88" s="66" t="str">
        <f>IF(B88&gt;Coverage,"",VLOOKUP($C88,COI_Tab[],4,0)*J88*(1+EM_Basic)/1000)</f>
        <v/>
      </c>
      <c r="M88" s="207" t="str">
        <f>IF(B88&gt;Coverage,"",ROUND(K88+L88,0))</f>
        <v/>
      </c>
      <c r="N88" s="134" t="str">
        <f>IF(B88&gt;Coverage,"",VLOOKUP($B88,Assumption!$H$11:$I$15,2)*E88)</f>
        <v/>
      </c>
      <c r="O88" s="134" t="str">
        <f>IF(B88&gt;Coverage,"",Assumption!$J$11*$G88)</f>
        <v/>
      </c>
      <c r="P88" s="134" t="str">
        <f>IF(B88&gt;Coverage,"",H88*VLOOKUP(MIN(B88,6),Assumption!$M$11:$N$16,2,0))</f>
        <v/>
      </c>
      <c r="Q88" s="134" t="str">
        <f>IF(B88&gt;Coverage,"",SUM(N88:P88))</f>
        <v/>
      </c>
      <c r="R88" s="207" t="str">
        <f>+IF($B88&gt;Coverage,"",Assumption!$I$18*12)</f>
        <v/>
      </c>
      <c r="S88" s="208" t="str">
        <f>+IF($B88&gt;Coverage,"",Assumption!$I$20)</f>
        <v/>
      </c>
      <c r="T88" s="207">
        <f>+IF($B88&gt;Coverage,0,ROUND((U87+($F88+$G88-$H88-$Q88)*PML_LF)*(1+VLOOKUP(T$3,Assumption!$H$35:$K$43,2,0))^0.5-($M88+$R88)*PML_LF-($S88*PML_LF*U87),0))</f>
        <v>0</v>
      </c>
      <c r="U88" s="207">
        <f>+IF($B88&gt;Coverage,0,ROUND(T88*(1+VLOOKUP(T$3,Assumption!$H$35:$K$43,2,0))^0.5,0))</f>
        <v>0</v>
      </c>
      <c r="V88" s="207">
        <f>+IF($B88="",0,(1-VLOOKUP(MIN($B88,6),Assumption!$M$10:$N$16,2))*U88)</f>
        <v>0</v>
      </c>
      <c r="W88" s="207">
        <f>+IF($B88&gt;Coverage,0,ROUND((X87+($F88+$G88-$H88-$Q88)*PML_BF)*(1+VLOOKUP(W$3,Assumption!$H$35:$K$43,2,0))^0.5-($M88+$R88)*PML_BF-($S88*PML_BF*X87),0))</f>
        <v>0</v>
      </c>
      <c r="X88" s="207">
        <f>+IF($B88&gt;Coverage,0,ROUND(W88*(1+VLOOKUP(W$3,Assumption!$H$35:$K$43,2,0))^0.5,0))</f>
        <v>0</v>
      </c>
      <c r="Y88" s="207">
        <f>+IF($B88="",0,(1-VLOOKUP(MIN($B88,6),Assumption!$M$10:$N$16,2))*X88)</f>
        <v>0</v>
      </c>
      <c r="Z88" s="207">
        <f>+IF($B88&gt;Coverage,0,ROUND((AA87+($F88+$G88-$H88-$Q88)*PML_EF)*(1+VLOOKUP(Z$3,Assumption!$H$35:$K$43,2,0))^0.5-($M88+$R88)*PML_EF-($S88*PML_EF*AA87),0))</f>
        <v>0</v>
      </c>
      <c r="AA88" s="207">
        <f>+IF($B88&gt;Coverage,0,ROUND(Z88*(1+VLOOKUP(Z$3,Assumption!$H$35:$K$43,2,0))^0.5,0))</f>
        <v>0</v>
      </c>
      <c r="AB88" s="207">
        <f>+IF($B88="",0,(1-VLOOKUP(MIN($B88,6),Assumption!$M$10:$N$16,2))*AA88)</f>
        <v>0</v>
      </c>
      <c r="AC88" s="207">
        <f>+IF($B88&gt;Coverage,0,ROUND((AD87+($F88+$G88-$H88-$Q88)*PML_FI)*(1+VLOOKUP(AC$3,Assumption!$H$35:$K$43,2,0))^0.5-($M88+$R88)*PML_FI-($S88*PML_FI*AD87),0))</f>
        <v>0</v>
      </c>
      <c r="AD88" s="207">
        <f>+IF($B88&gt;Coverage,0,ROUND(AC88*(1+VLOOKUP(AC$3,Assumption!$H$35:$K$43,2,0))^0.5,0))</f>
        <v>0</v>
      </c>
      <c r="AE88" s="207">
        <f>+IF($B88="",0,(1-VLOOKUP(MIN($B88,6),Assumption!$M$10:$N$16,2))*AD88)</f>
        <v>0</v>
      </c>
      <c r="AF88" s="207">
        <f>+IF($B88&gt;Coverage,0,ROUND((AG87+($F88+$G88-$H88-$Q88)*PML_LF)*(1+VLOOKUP(AF$3,Assumption!$H$35:$K$43,3,0))^0.5-($M88+$R88)*PML_LF-($S88*PML_LF*AG87),0))</f>
        <v>0</v>
      </c>
      <c r="AG88" s="207">
        <f>+IF($B88&gt;Coverage,0,ROUND(AF88*(1+VLOOKUP(AF$3,Assumption!$H$35:$K$43,3,0))^0.5,0))</f>
        <v>0</v>
      </c>
      <c r="AH88" s="207">
        <f>+IF($B88="",0,(1-VLOOKUP(MIN($B88,6),Assumption!$M$10:$N$16,2))*AG88)</f>
        <v>0</v>
      </c>
      <c r="AI88" s="207">
        <f>+IF($B88&gt;Coverage,0,ROUND((AJ87+($F88+$G88-$H88-$Q88)*PML_BF)*(1+VLOOKUP(AI$3,Assumption!$H$35:$K$43,3,0))^0.5-($M88+$R88)*PML_BF-($S88*PML_BF*AJ87),0))</f>
        <v>0</v>
      </c>
      <c r="AJ88" s="207">
        <f>+IF($B88&gt;Coverage,0,ROUND(AI88*(1+VLOOKUP(AI$3,Assumption!$H$35:$K$43,3,0))^0.5,0))</f>
        <v>0</v>
      </c>
      <c r="AK88" s="207">
        <f>+IF($B88="",0,(1-VLOOKUP(MIN($B88,6),Assumption!$M$10:$N$16,2))*AJ88)</f>
        <v>0</v>
      </c>
      <c r="AL88" s="207">
        <f>+IF($B88&gt;Coverage,0,ROUND((AM87+($F88+$G88-$H88-$Q88)*PML_EF)*(1+VLOOKUP(AL$3,Assumption!$H$35:$K$43,3,0))^0.5-($M88+$R88)*PML_EF-($S88*PML_EF*AM87),0))</f>
        <v>0</v>
      </c>
      <c r="AM88" s="207">
        <f>+IF($B88&gt;Coverage,0,ROUND(AL88*(1+VLOOKUP(AL$3,Assumption!$H$35:$K$43,3,0))^0.5,0))</f>
        <v>0</v>
      </c>
      <c r="AN88" s="207">
        <f>+IF($B88="",0,(1-VLOOKUP(MIN($B88,6),Assumption!$M$10:$N$16,2))*AM88)</f>
        <v>0</v>
      </c>
      <c r="AO88" s="207">
        <f>+IF($B88&gt;Coverage,0,ROUND((AP87+($F88+$G88-$H88-$Q88)*PML_FI)*(1+VLOOKUP(AO$3,Assumption!$H$35:$K$43,3,0))^0.5-($M88+$R88)*PML_FI-($S88*PML_FI*AP87),0))</f>
        <v>0</v>
      </c>
      <c r="AP88" s="207">
        <f>+IF($B88&gt;Coverage,0,ROUND(AO88*(1+VLOOKUP(AO$3,Assumption!$H$35:$K$43,3,0))^0.5,0))</f>
        <v>0</v>
      </c>
      <c r="AQ88" s="207">
        <f>+IF($B88="",0,(1-VLOOKUP(MIN($B88,6),Assumption!$M$10:$N$16,2))*AP88)</f>
        <v>0</v>
      </c>
      <c r="AR88" s="207">
        <f>+IF($B88&gt;Coverage,0,ROUND((AS87+($F88+$G88-$H88-$Q88)*PML_LF)*(1+VLOOKUP(AR$3,Assumption!$H$35:$K$43,4,0))^0.5-($M88+$R88)*PML_LF-($S88*PML_LF*AS87),0))</f>
        <v>0</v>
      </c>
      <c r="AS88" s="207">
        <f>+IF($B88&gt;Coverage,0,ROUND(AR88*(1+VLOOKUP(AR$3,Assumption!$H$35:$K$43,4,0))^0.5,0))</f>
        <v>0</v>
      </c>
      <c r="AT88" s="207">
        <f>+IF($B88="",0,(1-VLOOKUP(MIN($B88,6),Assumption!$M$10:$N$16,2))*AS88)</f>
        <v>0</v>
      </c>
      <c r="AU88" s="207">
        <f>+IF($B88&gt;Coverage,0,ROUND((AV87+($F88+$G88-$H88-$Q88)*PML_BF)*(1+VLOOKUP(AU$3,Assumption!$H$35:$K$43,4,0))^0.5-($M88+$R88)*PML_BF-($S88*PML_BF*AV87),0))</f>
        <v>0</v>
      </c>
      <c r="AV88" s="207">
        <f>+IF($B88&gt;Coverage,0,ROUND(AU88*(1+VLOOKUP(AU$3,Assumption!$H$35:$K$43,4,0))^0.5,0))</f>
        <v>0</v>
      </c>
      <c r="AW88" s="207">
        <f>+IF($B88="",0,(1-VLOOKUP(MIN($B88,6),Assumption!$M$10:$N$16,2))*AV88)</f>
        <v>0</v>
      </c>
      <c r="AX88" s="207">
        <f>+IF($B88&gt;Coverage,0,ROUND((AY87+($F88+$G88-$H88-$Q88)*PML_EF)*(1+VLOOKUP(AX$3,Assumption!$H$35:$K$43,4,0))^0.5-($M88+$R88)*PML_EF-($S88*PML_EF*AY87),0))</f>
        <v>0</v>
      </c>
      <c r="AY88" s="207">
        <f>+IF($B88&gt;Coverage,0,ROUND(AX88*(1+VLOOKUP(AX$3,Assumption!$H$35:$K$43,4,0))^0.5,0))</f>
        <v>0</v>
      </c>
      <c r="AZ88" s="207">
        <f>+IF($B88="",0,(1-VLOOKUP(MIN($B88,6),Assumption!$M$10:$N$16,2))*AY88)</f>
        <v>0</v>
      </c>
      <c r="BA88" s="207">
        <f>+IF($B88&gt;Coverage,0,ROUND((BB87+($F88+$G88-$H88-$Q88)*PML_FI)*(1+VLOOKUP(BA$3,Assumption!$H$35:$K$43,4,0))^0.5-($M88+$R88)*PML_FI-($S88*PML_FI*BB87),0))</f>
        <v>0</v>
      </c>
      <c r="BB88" s="207">
        <f>+IF($B88&gt;Coverage,0,ROUND(BA88*(1+VLOOKUP(BA$3,Assumption!$H$35:$K$43,4,0))^0.5,0))</f>
        <v>0</v>
      </c>
      <c r="BC88" s="207">
        <f>+IF($B88="",0,(1-VLOOKUP(MIN($B88,6),Assumption!$M$10:$N$16,2))*BB88)</f>
        <v>0</v>
      </c>
    </row>
    <row r="89" ht="14.25" customHeight="1">
      <c r="A89" s="126">
        <v>82.0</v>
      </c>
      <c r="B89" s="129" t="str">
        <f>+IF(A89&gt;Coverage,"",A89)</f>
        <v/>
      </c>
      <c r="C89" s="134" t="str">
        <f>+IF(B89=1,Insured_Age,IF(B89="","",C88+1))</f>
        <v/>
      </c>
      <c r="D89" s="134" t="str">
        <f>+IF(B89&gt;Coverage,"",IF(B89=1,input!$H$11,D88+1))</f>
        <v/>
      </c>
      <c r="E89" s="134" t="str">
        <f>IF(B89=1,premi_dasar,IF(B89&gt;Coverage,"",0))</f>
        <v/>
      </c>
      <c r="F89" s="134" t="str">
        <f>IF(B89&gt;Coverage,"",SUM(E89))</f>
        <v/>
      </c>
      <c r="G89" s="134" t="str">
        <f>IF(B89&gt;Coverage,"",SUMIFS(input!$E$38:$E$50,input!$C$38:$C$50,$C89))</f>
        <v/>
      </c>
      <c r="H89" s="134" t="str">
        <f>IF(B89&gt;Coverage,"",SUMIFS(input!$E$53:$E$87,input!$C$53:$C$87,$C89))</f>
        <v/>
      </c>
      <c r="I89" s="66" t="str">
        <f>+IF(B89="","",Sum_Assured*VLOOKUP(MIN(C89,10),Assumption!$M$19:$N$28,2,0))</f>
        <v/>
      </c>
      <c r="J89" s="66" t="str">
        <f>IF(B89="","",input!$D$33)</f>
        <v/>
      </c>
      <c r="K89" s="66" t="str">
        <f>IF(B89&gt;Coverage,"",VLOOKUP($C89,COI_Tab[],IF(sex="Male",2,3),0)*I89*(1+EM_Basic)/1000)</f>
        <v/>
      </c>
      <c r="L89" s="66" t="str">
        <f>IF(B89&gt;Coverage,"",VLOOKUP($C89,COI_Tab[],4,0)*J89*(1+EM_Basic)/1000)</f>
        <v/>
      </c>
      <c r="M89" s="207" t="str">
        <f>IF(B89&gt;Coverage,"",ROUND(K89+L89,0))</f>
        <v/>
      </c>
      <c r="N89" s="134" t="str">
        <f>IF(B89&gt;Coverage,"",VLOOKUP($B89,Assumption!$H$11:$I$15,2)*E89)</f>
        <v/>
      </c>
      <c r="O89" s="134" t="str">
        <f>IF(B89&gt;Coverage,"",Assumption!$J$11*$G89)</f>
        <v/>
      </c>
      <c r="P89" s="134" t="str">
        <f>IF(B89&gt;Coverage,"",H89*VLOOKUP(MIN(B89,6),Assumption!$M$11:$N$16,2,0))</f>
        <v/>
      </c>
      <c r="Q89" s="134" t="str">
        <f>IF(B89&gt;Coverage,"",SUM(N89:P89))</f>
        <v/>
      </c>
      <c r="R89" s="207" t="str">
        <f>+IF($B89&gt;Coverage,"",Assumption!$I$18*12)</f>
        <v/>
      </c>
      <c r="S89" s="208" t="str">
        <f>+IF($B89&gt;Coverage,"",Assumption!$I$20)</f>
        <v/>
      </c>
      <c r="T89" s="207">
        <f>+IF($B89&gt;Coverage,0,ROUND((U88+($F89+$G89-$H89-$Q89)*PML_LF)*(1+VLOOKUP(T$3,Assumption!$H$35:$K$43,2,0))^0.5-($M89+$R89)*PML_LF-($S89*PML_LF*U88),0))</f>
        <v>0</v>
      </c>
      <c r="U89" s="207">
        <f>+IF($B89&gt;Coverage,0,ROUND(T89*(1+VLOOKUP(T$3,Assumption!$H$35:$K$43,2,0))^0.5,0))</f>
        <v>0</v>
      </c>
      <c r="V89" s="207">
        <f>+IF($B89="",0,(1-VLOOKUP(MIN($B89,6),Assumption!$M$10:$N$16,2))*U89)</f>
        <v>0</v>
      </c>
      <c r="W89" s="207">
        <f>+IF($B89&gt;Coverage,0,ROUND((X88+($F89+$G89-$H89-$Q89)*PML_BF)*(1+VLOOKUP(W$3,Assumption!$H$35:$K$43,2,0))^0.5-($M89+$R89)*PML_BF-($S89*PML_BF*X88),0))</f>
        <v>0</v>
      </c>
      <c r="X89" s="207">
        <f>+IF($B89&gt;Coverage,0,ROUND(W89*(1+VLOOKUP(W$3,Assumption!$H$35:$K$43,2,0))^0.5,0))</f>
        <v>0</v>
      </c>
      <c r="Y89" s="207">
        <f>+IF($B89="",0,(1-VLOOKUP(MIN($B89,6),Assumption!$M$10:$N$16,2))*X89)</f>
        <v>0</v>
      </c>
      <c r="Z89" s="207">
        <f>+IF($B89&gt;Coverage,0,ROUND((AA88+($F89+$G89-$H89-$Q89)*PML_EF)*(1+VLOOKUP(Z$3,Assumption!$H$35:$K$43,2,0))^0.5-($M89+$R89)*PML_EF-($S89*PML_EF*AA88),0))</f>
        <v>0</v>
      </c>
      <c r="AA89" s="207">
        <f>+IF($B89&gt;Coverage,0,ROUND(Z89*(1+VLOOKUP(Z$3,Assumption!$H$35:$K$43,2,0))^0.5,0))</f>
        <v>0</v>
      </c>
      <c r="AB89" s="207">
        <f>+IF($B89="",0,(1-VLOOKUP(MIN($B89,6),Assumption!$M$10:$N$16,2))*AA89)</f>
        <v>0</v>
      </c>
      <c r="AC89" s="207">
        <f>+IF($B89&gt;Coverage,0,ROUND((AD88+($F89+$G89-$H89-$Q89)*PML_FI)*(1+VLOOKUP(AC$3,Assumption!$H$35:$K$43,2,0))^0.5-($M89+$R89)*PML_FI-($S89*PML_FI*AD88),0))</f>
        <v>0</v>
      </c>
      <c r="AD89" s="207">
        <f>+IF($B89&gt;Coverage,0,ROUND(AC89*(1+VLOOKUP(AC$3,Assumption!$H$35:$K$43,2,0))^0.5,0))</f>
        <v>0</v>
      </c>
      <c r="AE89" s="207">
        <f>+IF($B89="",0,(1-VLOOKUP(MIN($B89,6),Assumption!$M$10:$N$16,2))*AD89)</f>
        <v>0</v>
      </c>
      <c r="AF89" s="207">
        <f>+IF($B89&gt;Coverage,0,ROUND((AG88+($F89+$G89-$H89-$Q89)*PML_LF)*(1+VLOOKUP(AF$3,Assumption!$H$35:$K$43,3,0))^0.5-($M89+$R89)*PML_LF-($S89*PML_LF*AG88),0))</f>
        <v>0</v>
      </c>
      <c r="AG89" s="207">
        <f>+IF($B89&gt;Coverage,0,ROUND(AF89*(1+VLOOKUP(AF$3,Assumption!$H$35:$K$43,3,0))^0.5,0))</f>
        <v>0</v>
      </c>
      <c r="AH89" s="207">
        <f>+IF($B89="",0,(1-VLOOKUP(MIN($B89,6),Assumption!$M$10:$N$16,2))*AG89)</f>
        <v>0</v>
      </c>
      <c r="AI89" s="207">
        <f>+IF($B89&gt;Coverage,0,ROUND((AJ88+($F89+$G89-$H89-$Q89)*PML_BF)*(1+VLOOKUP(AI$3,Assumption!$H$35:$K$43,3,0))^0.5-($M89+$R89)*PML_BF-($S89*PML_BF*AJ88),0))</f>
        <v>0</v>
      </c>
      <c r="AJ89" s="207">
        <f>+IF($B89&gt;Coverage,0,ROUND(AI89*(1+VLOOKUP(AI$3,Assumption!$H$35:$K$43,3,0))^0.5,0))</f>
        <v>0</v>
      </c>
      <c r="AK89" s="207">
        <f>+IF($B89="",0,(1-VLOOKUP(MIN($B89,6),Assumption!$M$10:$N$16,2))*AJ89)</f>
        <v>0</v>
      </c>
      <c r="AL89" s="207">
        <f>+IF($B89&gt;Coverage,0,ROUND((AM88+($F89+$G89-$H89-$Q89)*PML_EF)*(1+VLOOKUP(AL$3,Assumption!$H$35:$K$43,3,0))^0.5-($M89+$R89)*PML_EF-($S89*PML_EF*AM88),0))</f>
        <v>0</v>
      </c>
      <c r="AM89" s="207">
        <f>+IF($B89&gt;Coverage,0,ROUND(AL89*(1+VLOOKUP(AL$3,Assumption!$H$35:$K$43,3,0))^0.5,0))</f>
        <v>0</v>
      </c>
      <c r="AN89" s="207">
        <f>+IF($B89="",0,(1-VLOOKUP(MIN($B89,6),Assumption!$M$10:$N$16,2))*AM89)</f>
        <v>0</v>
      </c>
      <c r="AO89" s="207">
        <f>+IF($B89&gt;Coverage,0,ROUND((AP88+($F89+$G89-$H89-$Q89)*PML_FI)*(1+VLOOKUP(AO$3,Assumption!$H$35:$K$43,3,0))^0.5-($M89+$R89)*PML_FI-($S89*PML_FI*AP88),0))</f>
        <v>0</v>
      </c>
      <c r="AP89" s="207">
        <f>+IF($B89&gt;Coverage,0,ROUND(AO89*(1+VLOOKUP(AO$3,Assumption!$H$35:$K$43,3,0))^0.5,0))</f>
        <v>0</v>
      </c>
      <c r="AQ89" s="207">
        <f>+IF($B89="",0,(1-VLOOKUP(MIN($B89,6),Assumption!$M$10:$N$16,2))*AP89)</f>
        <v>0</v>
      </c>
      <c r="AR89" s="207">
        <f>+IF($B89&gt;Coverage,0,ROUND((AS88+($F89+$G89-$H89-$Q89)*PML_LF)*(1+VLOOKUP(AR$3,Assumption!$H$35:$K$43,4,0))^0.5-($M89+$R89)*PML_LF-($S89*PML_LF*AS88),0))</f>
        <v>0</v>
      </c>
      <c r="AS89" s="207">
        <f>+IF($B89&gt;Coverage,0,ROUND(AR89*(1+VLOOKUP(AR$3,Assumption!$H$35:$K$43,4,0))^0.5,0))</f>
        <v>0</v>
      </c>
      <c r="AT89" s="207">
        <f>+IF($B89="",0,(1-VLOOKUP(MIN($B89,6),Assumption!$M$10:$N$16,2))*AS89)</f>
        <v>0</v>
      </c>
      <c r="AU89" s="207">
        <f>+IF($B89&gt;Coverage,0,ROUND((AV88+($F89+$G89-$H89-$Q89)*PML_BF)*(1+VLOOKUP(AU$3,Assumption!$H$35:$K$43,4,0))^0.5-($M89+$R89)*PML_BF-($S89*PML_BF*AV88),0))</f>
        <v>0</v>
      </c>
      <c r="AV89" s="207">
        <f>+IF($B89&gt;Coverage,0,ROUND(AU89*(1+VLOOKUP(AU$3,Assumption!$H$35:$K$43,4,0))^0.5,0))</f>
        <v>0</v>
      </c>
      <c r="AW89" s="207">
        <f>+IF($B89="",0,(1-VLOOKUP(MIN($B89,6),Assumption!$M$10:$N$16,2))*AV89)</f>
        <v>0</v>
      </c>
      <c r="AX89" s="207">
        <f>+IF($B89&gt;Coverage,0,ROUND((AY88+($F89+$G89-$H89-$Q89)*PML_EF)*(1+VLOOKUP(AX$3,Assumption!$H$35:$K$43,4,0))^0.5-($M89+$R89)*PML_EF-($S89*PML_EF*AY88),0))</f>
        <v>0</v>
      </c>
      <c r="AY89" s="207">
        <f>+IF($B89&gt;Coverage,0,ROUND(AX89*(1+VLOOKUP(AX$3,Assumption!$H$35:$K$43,4,0))^0.5,0))</f>
        <v>0</v>
      </c>
      <c r="AZ89" s="207">
        <f>+IF($B89="",0,(1-VLOOKUP(MIN($B89,6),Assumption!$M$10:$N$16,2))*AY89)</f>
        <v>0</v>
      </c>
      <c r="BA89" s="207">
        <f>+IF($B89&gt;Coverage,0,ROUND((BB88+($F89+$G89-$H89-$Q89)*PML_FI)*(1+VLOOKUP(BA$3,Assumption!$H$35:$K$43,4,0))^0.5-($M89+$R89)*PML_FI-($S89*PML_FI*BB88),0))</f>
        <v>0</v>
      </c>
      <c r="BB89" s="207">
        <f>+IF($B89&gt;Coverage,0,ROUND(BA89*(1+VLOOKUP(BA$3,Assumption!$H$35:$K$43,4,0))^0.5,0))</f>
        <v>0</v>
      </c>
      <c r="BC89" s="207">
        <f>+IF($B89="",0,(1-VLOOKUP(MIN($B89,6),Assumption!$M$10:$N$16,2))*BB89)</f>
        <v>0</v>
      </c>
    </row>
    <row r="90" ht="14.25" customHeight="1">
      <c r="A90" s="126">
        <v>83.0</v>
      </c>
      <c r="B90" s="129" t="str">
        <f>+IF(A90&gt;Coverage,"",A90)</f>
        <v/>
      </c>
      <c r="C90" s="134" t="str">
        <f>+IF(B90=1,Insured_Age,IF(B90="","",C89+1))</f>
        <v/>
      </c>
      <c r="D90" s="134" t="str">
        <f>+IF(B90&gt;Coverage,"",IF(B90=1,input!$H$11,D89+1))</f>
        <v/>
      </c>
      <c r="E90" s="134" t="str">
        <f>IF(B90=1,premi_dasar,IF(B90&gt;Coverage,"",0))</f>
        <v/>
      </c>
      <c r="F90" s="134" t="str">
        <f>IF(B90&gt;Coverage,"",SUM(E90))</f>
        <v/>
      </c>
      <c r="G90" s="134" t="str">
        <f>IF(B90&gt;Coverage,"",SUMIFS(input!$E$38:$E$50,input!$C$38:$C$50,$C90))</f>
        <v/>
      </c>
      <c r="H90" s="134" t="str">
        <f>IF(B90&gt;Coverage,"",SUMIFS(input!$E$53:$E$87,input!$C$53:$C$87,$C90))</f>
        <v/>
      </c>
      <c r="I90" s="66" t="str">
        <f>+IF(B90="","",Sum_Assured*VLOOKUP(MIN(C90,10),Assumption!$M$19:$N$28,2,0))</f>
        <v/>
      </c>
      <c r="J90" s="66" t="str">
        <f>IF(B90="","",input!$D$33)</f>
        <v/>
      </c>
      <c r="K90" s="66" t="str">
        <f>IF(B90&gt;Coverage,"",VLOOKUP($C90,COI_Tab[],IF(sex="Male",2,3),0)*I90*(1+EM_Basic)/1000)</f>
        <v/>
      </c>
      <c r="L90" s="66" t="str">
        <f>IF(B90&gt;Coverage,"",VLOOKUP($C90,COI_Tab[],4,0)*J90*(1+EM_Basic)/1000)</f>
        <v/>
      </c>
      <c r="M90" s="207" t="str">
        <f>IF(B90&gt;Coverage,"",ROUND(K90+L90,0))</f>
        <v/>
      </c>
      <c r="N90" s="134" t="str">
        <f>IF(B90&gt;Coverage,"",VLOOKUP($B90,Assumption!$H$11:$I$15,2)*E90)</f>
        <v/>
      </c>
      <c r="O90" s="134" t="str">
        <f>IF(B90&gt;Coverage,"",Assumption!$J$11*$G90)</f>
        <v/>
      </c>
      <c r="P90" s="134" t="str">
        <f>IF(B90&gt;Coverage,"",H90*VLOOKUP(MIN(B90,6),Assumption!$M$11:$N$16,2,0))</f>
        <v/>
      </c>
      <c r="Q90" s="134" t="str">
        <f>IF(B90&gt;Coverage,"",SUM(N90:P90))</f>
        <v/>
      </c>
      <c r="R90" s="207" t="str">
        <f>+IF($B90&gt;Coverage,"",Assumption!$I$18*12)</f>
        <v/>
      </c>
      <c r="S90" s="208" t="str">
        <f>+IF($B90&gt;Coverage,"",Assumption!$I$20)</f>
        <v/>
      </c>
      <c r="T90" s="207">
        <f>+IF($B90&gt;Coverage,0,ROUND((U89+($F90+$G90-$H90-$Q90)*PML_LF)*(1+VLOOKUP(T$3,Assumption!$H$35:$K$43,2,0))^0.5-($M90+$R90)*PML_LF-($S90*PML_LF*U89),0))</f>
        <v>0</v>
      </c>
      <c r="U90" s="207">
        <f>+IF($B90&gt;Coverage,0,ROUND(T90*(1+VLOOKUP(T$3,Assumption!$H$35:$K$43,2,0))^0.5,0))</f>
        <v>0</v>
      </c>
      <c r="V90" s="207">
        <f>+IF($B90="",0,(1-VLOOKUP(MIN($B90,6),Assumption!$M$10:$N$16,2))*U90)</f>
        <v>0</v>
      </c>
      <c r="W90" s="207">
        <f>+IF($B90&gt;Coverage,0,ROUND((X89+($F90+$G90-$H90-$Q90)*PML_BF)*(1+VLOOKUP(W$3,Assumption!$H$35:$K$43,2,0))^0.5-($M90+$R90)*PML_BF-($S90*PML_BF*X89),0))</f>
        <v>0</v>
      </c>
      <c r="X90" s="207">
        <f>+IF($B90&gt;Coverage,0,ROUND(W90*(1+VLOOKUP(W$3,Assumption!$H$35:$K$43,2,0))^0.5,0))</f>
        <v>0</v>
      </c>
      <c r="Y90" s="207">
        <f>+IF($B90="",0,(1-VLOOKUP(MIN($B90,6),Assumption!$M$10:$N$16,2))*X90)</f>
        <v>0</v>
      </c>
      <c r="Z90" s="207">
        <f>+IF($B90&gt;Coverage,0,ROUND((AA89+($F90+$G90-$H90-$Q90)*PML_EF)*(1+VLOOKUP(Z$3,Assumption!$H$35:$K$43,2,0))^0.5-($M90+$R90)*PML_EF-($S90*PML_EF*AA89),0))</f>
        <v>0</v>
      </c>
      <c r="AA90" s="207">
        <f>+IF($B90&gt;Coverage,0,ROUND(Z90*(1+VLOOKUP(Z$3,Assumption!$H$35:$K$43,2,0))^0.5,0))</f>
        <v>0</v>
      </c>
      <c r="AB90" s="207">
        <f>+IF($B90="",0,(1-VLOOKUP(MIN($B90,6),Assumption!$M$10:$N$16,2))*AA90)</f>
        <v>0</v>
      </c>
      <c r="AC90" s="207">
        <f>+IF($B90&gt;Coverage,0,ROUND((AD89+($F90+$G90-$H90-$Q90)*PML_FI)*(1+VLOOKUP(AC$3,Assumption!$H$35:$K$43,2,0))^0.5-($M90+$R90)*PML_FI-($S90*PML_FI*AD89),0))</f>
        <v>0</v>
      </c>
      <c r="AD90" s="207">
        <f>+IF($B90&gt;Coverage,0,ROUND(AC90*(1+VLOOKUP(AC$3,Assumption!$H$35:$K$43,2,0))^0.5,0))</f>
        <v>0</v>
      </c>
      <c r="AE90" s="207">
        <f>+IF($B90="",0,(1-VLOOKUP(MIN($B90,6),Assumption!$M$10:$N$16,2))*AD90)</f>
        <v>0</v>
      </c>
      <c r="AF90" s="207">
        <f>+IF($B90&gt;Coverage,0,ROUND((AG89+($F90+$G90-$H90-$Q90)*PML_LF)*(1+VLOOKUP(AF$3,Assumption!$H$35:$K$43,3,0))^0.5-($M90+$R90)*PML_LF-($S90*PML_LF*AG89),0))</f>
        <v>0</v>
      </c>
      <c r="AG90" s="207">
        <f>+IF($B90&gt;Coverage,0,ROUND(AF90*(1+VLOOKUP(AF$3,Assumption!$H$35:$K$43,3,0))^0.5,0))</f>
        <v>0</v>
      </c>
      <c r="AH90" s="207">
        <f>+IF($B90="",0,(1-VLOOKUP(MIN($B90,6),Assumption!$M$10:$N$16,2))*AG90)</f>
        <v>0</v>
      </c>
      <c r="AI90" s="207">
        <f>+IF($B90&gt;Coverage,0,ROUND((AJ89+($F90+$G90-$H90-$Q90)*PML_BF)*(1+VLOOKUP(AI$3,Assumption!$H$35:$K$43,3,0))^0.5-($M90+$R90)*PML_BF-($S90*PML_BF*AJ89),0))</f>
        <v>0</v>
      </c>
      <c r="AJ90" s="207">
        <f>+IF($B90&gt;Coverage,0,ROUND(AI90*(1+VLOOKUP(AI$3,Assumption!$H$35:$K$43,3,0))^0.5,0))</f>
        <v>0</v>
      </c>
      <c r="AK90" s="207">
        <f>+IF($B90="",0,(1-VLOOKUP(MIN($B90,6),Assumption!$M$10:$N$16,2))*AJ90)</f>
        <v>0</v>
      </c>
      <c r="AL90" s="207">
        <f>+IF($B90&gt;Coverage,0,ROUND((AM89+($F90+$G90-$H90-$Q90)*PML_EF)*(1+VLOOKUP(AL$3,Assumption!$H$35:$K$43,3,0))^0.5-($M90+$R90)*PML_EF-($S90*PML_EF*AM89),0))</f>
        <v>0</v>
      </c>
      <c r="AM90" s="207">
        <f>+IF($B90&gt;Coverage,0,ROUND(AL90*(1+VLOOKUP(AL$3,Assumption!$H$35:$K$43,3,0))^0.5,0))</f>
        <v>0</v>
      </c>
      <c r="AN90" s="207">
        <f>+IF($B90="",0,(1-VLOOKUP(MIN($B90,6),Assumption!$M$10:$N$16,2))*AM90)</f>
        <v>0</v>
      </c>
      <c r="AO90" s="207">
        <f>+IF($B90&gt;Coverage,0,ROUND((AP89+($F90+$G90-$H90-$Q90)*PML_FI)*(1+VLOOKUP(AO$3,Assumption!$H$35:$K$43,3,0))^0.5-($M90+$R90)*PML_FI-($S90*PML_FI*AP89),0))</f>
        <v>0</v>
      </c>
      <c r="AP90" s="207">
        <f>+IF($B90&gt;Coverage,0,ROUND(AO90*(1+VLOOKUP(AO$3,Assumption!$H$35:$K$43,3,0))^0.5,0))</f>
        <v>0</v>
      </c>
      <c r="AQ90" s="207">
        <f>+IF($B90="",0,(1-VLOOKUP(MIN($B90,6),Assumption!$M$10:$N$16,2))*AP90)</f>
        <v>0</v>
      </c>
      <c r="AR90" s="207">
        <f>+IF($B90&gt;Coverage,0,ROUND((AS89+($F90+$G90-$H90-$Q90)*PML_LF)*(1+VLOOKUP(AR$3,Assumption!$H$35:$K$43,4,0))^0.5-($M90+$R90)*PML_LF-($S90*PML_LF*AS89),0))</f>
        <v>0</v>
      </c>
      <c r="AS90" s="207">
        <f>+IF($B90&gt;Coverage,0,ROUND(AR90*(1+VLOOKUP(AR$3,Assumption!$H$35:$K$43,4,0))^0.5,0))</f>
        <v>0</v>
      </c>
      <c r="AT90" s="207">
        <f>+IF($B90="",0,(1-VLOOKUP(MIN($B90,6),Assumption!$M$10:$N$16,2))*AS90)</f>
        <v>0</v>
      </c>
      <c r="AU90" s="207">
        <f>+IF($B90&gt;Coverage,0,ROUND((AV89+($F90+$G90-$H90-$Q90)*PML_BF)*(1+VLOOKUP(AU$3,Assumption!$H$35:$K$43,4,0))^0.5-($M90+$R90)*PML_BF-($S90*PML_BF*AV89),0))</f>
        <v>0</v>
      </c>
      <c r="AV90" s="207">
        <f>+IF($B90&gt;Coverage,0,ROUND(AU90*(1+VLOOKUP(AU$3,Assumption!$H$35:$K$43,4,0))^0.5,0))</f>
        <v>0</v>
      </c>
      <c r="AW90" s="207">
        <f>+IF($B90="",0,(1-VLOOKUP(MIN($B90,6),Assumption!$M$10:$N$16,2))*AV90)</f>
        <v>0</v>
      </c>
      <c r="AX90" s="207">
        <f>+IF($B90&gt;Coverage,0,ROUND((AY89+($F90+$G90-$H90-$Q90)*PML_EF)*(1+VLOOKUP(AX$3,Assumption!$H$35:$K$43,4,0))^0.5-($M90+$R90)*PML_EF-($S90*PML_EF*AY89),0))</f>
        <v>0</v>
      </c>
      <c r="AY90" s="207">
        <f>+IF($B90&gt;Coverage,0,ROUND(AX90*(1+VLOOKUP(AX$3,Assumption!$H$35:$K$43,4,0))^0.5,0))</f>
        <v>0</v>
      </c>
      <c r="AZ90" s="207">
        <f>+IF($B90="",0,(1-VLOOKUP(MIN($B90,6),Assumption!$M$10:$N$16,2))*AY90)</f>
        <v>0</v>
      </c>
      <c r="BA90" s="207">
        <f>+IF($B90&gt;Coverage,0,ROUND((BB89+($F90+$G90-$H90-$Q90)*PML_FI)*(1+VLOOKUP(BA$3,Assumption!$H$35:$K$43,4,0))^0.5-($M90+$R90)*PML_FI-($S90*PML_FI*BB89),0))</f>
        <v>0</v>
      </c>
      <c r="BB90" s="207">
        <f>+IF($B90&gt;Coverage,0,ROUND(BA90*(1+VLOOKUP(BA$3,Assumption!$H$35:$K$43,4,0))^0.5,0))</f>
        <v>0</v>
      </c>
      <c r="BC90" s="207">
        <f>+IF($B90="",0,(1-VLOOKUP(MIN($B90,6),Assumption!$M$10:$N$16,2))*BB90)</f>
        <v>0</v>
      </c>
    </row>
    <row r="91" ht="14.25" customHeight="1">
      <c r="A91" s="126">
        <v>84.0</v>
      </c>
      <c r="B91" s="129" t="str">
        <f>+IF(A91&gt;Coverage,"",A91)</f>
        <v/>
      </c>
      <c r="C91" s="134" t="str">
        <f>+IF(B91=1,Insured_Age,IF(B91="","",C90+1))</f>
        <v/>
      </c>
      <c r="D91" s="134" t="str">
        <f>+IF(B91&gt;Coverage,"",IF(B91=1,input!$H$11,D90+1))</f>
        <v/>
      </c>
      <c r="E91" s="134" t="str">
        <f>IF(B91=1,premi_dasar,IF(B91&gt;Coverage,"",0))</f>
        <v/>
      </c>
      <c r="F91" s="134" t="str">
        <f>IF(B91&gt;Coverage,"",SUM(E91))</f>
        <v/>
      </c>
      <c r="G91" s="134" t="str">
        <f>IF(B91&gt;Coverage,"",SUMIFS(input!$E$38:$E$50,input!$C$38:$C$50,$C91))</f>
        <v/>
      </c>
      <c r="H91" s="134" t="str">
        <f>IF(B91&gt;Coverage,"",SUMIFS(input!$E$53:$E$87,input!$C$53:$C$87,$C91))</f>
        <v/>
      </c>
      <c r="I91" s="66" t="str">
        <f>+IF(B91="","",Sum_Assured*VLOOKUP(MIN(C91,10),Assumption!$M$19:$N$28,2,0))</f>
        <v/>
      </c>
      <c r="J91" s="66" t="str">
        <f>IF(B91="","",input!$D$33)</f>
        <v/>
      </c>
      <c r="K91" s="66" t="str">
        <f>IF(B91&gt;Coverage,"",VLOOKUP($C91,COI_Tab[],IF(sex="Male",2,3),0)*I91*(1+EM_Basic)/1000)</f>
        <v/>
      </c>
      <c r="L91" s="66" t="str">
        <f>IF(B91&gt;Coverage,"",VLOOKUP($C91,COI_Tab[],4,0)*J91*(1+EM_Basic)/1000)</f>
        <v/>
      </c>
      <c r="M91" s="207" t="str">
        <f>IF(B91&gt;Coverage,"",ROUND(K91+L91,0))</f>
        <v/>
      </c>
      <c r="N91" s="134" t="str">
        <f>IF(B91&gt;Coverage,"",VLOOKUP($B91,Assumption!$H$11:$I$15,2)*E91)</f>
        <v/>
      </c>
      <c r="O91" s="134" t="str">
        <f>IF(B91&gt;Coverage,"",Assumption!$J$11*$G91)</f>
        <v/>
      </c>
      <c r="P91" s="134" t="str">
        <f>IF(B91&gt;Coverage,"",H91*VLOOKUP(MIN(B91,6),Assumption!$M$11:$N$16,2,0))</f>
        <v/>
      </c>
      <c r="Q91" s="134" t="str">
        <f>IF(B91&gt;Coverage,"",SUM(N91:P91))</f>
        <v/>
      </c>
      <c r="R91" s="207" t="str">
        <f>+IF($B91&gt;Coverage,"",Assumption!$I$18*12)</f>
        <v/>
      </c>
      <c r="S91" s="208" t="str">
        <f>+IF($B91&gt;Coverage,"",Assumption!$I$20)</f>
        <v/>
      </c>
      <c r="T91" s="207">
        <f>+IF($B91&gt;Coverage,0,ROUND((U90+($F91+$G91-$H91-$Q91)*PML_LF)*(1+VLOOKUP(T$3,Assumption!$H$35:$K$43,2,0))^0.5-($M91+$R91)*PML_LF-($S91*PML_LF*U90),0))</f>
        <v>0</v>
      </c>
      <c r="U91" s="207">
        <f>+IF($B91&gt;Coverage,0,ROUND(T91*(1+VLOOKUP(T$3,Assumption!$H$35:$K$43,2,0))^0.5,0))</f>
        <v>0</v>
      </c>
      <c r="V91" s="207">
        <f>+IF($B91="",0,(1-VLOOKUP(MIN($B91,6),Assumption!$M$10:$N$16,2))*U91)</f>
        <v>0</v>
      </c>
      <c r="W91" s="207">
        <f>+IF($B91&gt;Coverage,0,ROUND((X90+($F91+$G91-$H91-$Q91)*PML_BF)*(1+VLOOKUP(W$3,Assumption!$H$35:$K$43,2,0))^0.5-($M91+$R91)*PML_BF-($S91*PML_BF*X90),0))</f>
        <v>0</v>
      </c>
      <c r="X91" s="207">
        <f>+IF($B91&gt;Coverage,0,ROUND(W91*(1+VLOOKUP(W$3,Assumption!$H$35:$K$43,2,0))^0.5,0))</f>
        <v>0</v>
      </c>
      <c r="Y91" s="207">
        <f>+IF($B91="",0,(1-VLOOKUP(MIN($B91,6),Assumption!$M$10:$N$16,2))*X91)</f>
        <v>0</v>
      </c>
      <c r="Z91" s="207">
        <f>+IF($B91&gt;Coverage,0,ROUND((AA90+($F91+$G91-$H91-$Q91)*PML_EF)*(1+VLOOKUP(Z$3,Assumption!$H$35:$K$43,2,0))^0.5-($M91+$R91)*PML_EF-($S91*PML_EF*AA90),0))</f>
        <v>0</v>
      </c>
      <c r="AA91" s="207">
        <f>+IF($B91&gt;Coverage,0,ROUND(Z91*(1+VLOOKUP(Z$3,Assumption!$H$35:$K$43,2,0))^0.5,0))</f>
        <v>0</v>
      </c>
      <c r="AB91" s="207">
        <f>+IF($B91="",0,(1-VLOOKUP(MIN($B91,6),Assumption!$M$10:$N$16,2))*AA91)</f>
        <v>0</v>
      </c>
      <c r="AC91" s="207">
        <f>+IF($B91&gt;Coverage,0,ROUND((AD90+($F91+$G91-$H91-$Q91)*PML_FI)*(1+VLOOKUP(AC$3,Assumption!$H$35:$K$43,2,0))^0.5-($M91+$R91)*PML_FI-($S91*PML_FI*AD90),0))</f>
        <v>0</v>
      </c>
      <c r="AD91" s="207">
        <f>+IF($B91&gt;Coverage,0,ROUND(AC91*(1+VLOOKUP(AC$3,Assumption!$H$35:$K$43,2,0))^0.5,0))</f>
        <v>0</v>
      </c>
      <c r="AE91" s="207">
        <f>+IF($B91="",0,(1-VLOOKUP(MIN($B91,6),Assumption!$M$10:$N$16,2))*AD91)</f>
        <v>0</v>
      </c>
      <c r="AF91" s="207">
        <f>+IF($B91&gt;Coverage,0,ROUND((AG90+($F91+$G91-$H91-$Q91)*PML_LF)*(1+VLOOKUP(AF$3,Assumption!$H$35:$K$43,3,0))^0.5-($M91+$R91)*PML_LF-($S91*PML_LF*AG90),0))</f>
        <v>0</v>
      </c>
      <c r="AG91" s="207">
        <f>+IF($B91&gt;Coverage,0,ROUND(AF91*(1+VLOOKUP(AF$3,Assumption!$H$35:$K$43,3,0))^0.5,0))</f>
        <v>0</v>
      </c>
      <c r="AH91" s="207">
        <f>+IF($B91="",0,(1-VLOOKUP(MIN($B91,6),Assumption!$M$10:$N$16,2))*AG91)</f>
        <v>0</v>
      </c>
      <c r="AI91" s="207">
        <f>+IF($B91&gt;Coverage,0,ROUND((AJ90+($F91+$G91-$H91-$Q91)*PML_BF)*(1+VLOOKUP(AI$3,Assumption!$H$35:$K$43,3,0))^0.5-($M91+$R91)*PML_BF-($S91*PML_BF*AJ90),0))</f>
        <v>0</v>
      </c>
      <c r="AJ91" s="207">
        <f>+IF($B91&gt;Coverage,0,ROUND(AI91*(1+VLOOKUP(AI$3,Assumption!$H$35:$K$43,3,0))^0.5,0))</f>
        <v>0</v>
      </c>
      <c r="AK91" s="207">
        <f>+IF($B91="",0,(1-VLOOKUP(MIN($B91,6),Assumption!$M$10:$N$16,2))*AJ91)</f>
        <v>0</v>
      </c>
      <c r="AL91" s="207">
        <f>+IF($B91&gt;Coverage,0,ROUND((AM90+($F91+$G91-$H91-$Q91)*PML_EF)*(1+VLOOKUP(AL$3,Assumption!$H$35:$K$43,3,0))^0.5-($M91+$R91)*PML_EF-($S91*PML_EF*AM90),0))</f>
        <v>0</v>
      </c>
      <c r="AM91" s="207">
        <f>+IF($B91&gt;Coverage,0,ROUND(AL91*(1+VLOOKUP(AL$3,Assumption!$H$35:$K$43,3,0))^0.5,0))</f>
        <v>0</v>
      </c>
      <c r="AN91" s="207">
        <f>+IF($B91="",0,(1-VLOOKUP(MIN($B91,6),Assumption!$M$10:$N$16,2))*AM91)</f>
        <v>0</v>
      </c>
      <c r="AO91" s="207">
        <f>+IF($B91&gt;Coverage,0,ROUND((AP90+($F91+$G91-$H91-$Q91)*PML_FI)*(1+VLOOKUP(AO$3,Assumption!$H$35:$K$43,3,0))^0.5-($M91+$R91)*PML_FI-($S91*PML_FI*AP90),0))</f>
        <v>0</v>
      </c>
      <c r="AP91" s="207">
        <f>+IF($B91&gt;Coverage,0,ROUND(AO91*(1+VLOOKUP(AO$3,Assumption!$H$35:$K$43,3,0))^0.5,0))</f>
        <v>0</v>
      </c>
      <c r="AQ91" s="207">
        <f>+IF($B91="",0,(1-VLOOKUP(MIN($B91,6),Assumption!$M$10:$N$16,2))*AP91)</f>
        <v>0</v>
      </c>
      <c r="AR91" s="207">
        <f>+IF($B91&gt;Coverage,0,ROUND((AS90+($F91+$G91-$H91-$Q91)*PML_LF)*(1+VLOOKUP(AR$3,Assumption!$H$35:$K$43,4,0))^0.5-($M91+$R91)*PML_LF-($S91*PML_LF*AS90),0))</f>
        <v>0</v>
      </c>
      <c r="AS91" s="207">
        <f>+IF($B91&gt;Coverage,0,ROUND(AR91*(1+VLOOKUP(AR$3,Assumption!$H$35:$K$43,4,0))^0.5,0))</f>
        <v>0</v>
      </c>
      <c r="AT91" s="207">
        <f>+IF($B91="",0,(1-VLOOKUP(MIN($B91,6),Assumption!$M$10:$N$16,2))*AS91)</f>
        <v>0</v>
      </c>
      <c r="AU91" s="207">
        <f>+IF($B91&gt;Coverage,0,ROUND((AV90+($F91+$G91-$H91-$Q91)*PML_BF)*(1+VLOOKUP(AU$3,Assumption!$H$35:$K$43,4,0))^0.5-($M91+$R91)*PML_BF-($S91*PML_BF*AV90),0))</f>
        <v>0</v>
      </c>
      <c r="AV91" s="207">
        <f>+IF($B91&gt;Coverage,0,ROUND(AU91*(1+VLOOKUP(AU$3,Assumption!$H$35:$K$43,4,0))^0.5,0))</f>
        <v>0</v>
      </c>
      <c r="AW91" s="207">
        <f>+IF($B91="",0,(1-VLOOKUP(MIN($B91,6),Assumption!$M$10:$N$16,2))*AV91)</f>
        <v>0</v>
      </c>
      <c r="AX91" s="207">
        <f>+IF($B91&gt;Coverage,0,ROUND((AY90+($F91+$G91-$H91-$Q91)*PML_EF)*(1+VLOOKUP(AX$3,Assumption!$H$35:$K$43,4,0))^0.5-($M91+$R91)*PML_EF-($S91*PML_EF*AY90),0))</f>
        <v>0</v>
      </c>
      <c r="AY91" s="207">
        <f>+IF($B91&gt;Coverage,0,ROUND(AX91*(1+VLOOKUP(AX$3,Assumption!$H$35:$K$43,4,0))^0.5,0))</f>
        <v>0</v>
      </c>
      <c r="AZ91" s="207">
        <f>+IF($B91="",0,(1-VLOOKUP(MIN($B91,6),Assumption!$M$10:$N$16,2))*AY91)</f>
        <v>0</v>
      </c>
      <c r="BA91" s="207">
        <f>+IF($B91&gt;Coverage,0,ROUND((BB90+($F91+$G91-$H91-$Q91)*PML_FI)*(1+VLOOKUP(BA$3,Assumption!$H$35:$K$43,4,0))^0.5-($M91+$R91)*PML_FI-($S91*PML_FI*BB90),0))</f>
        <v>0</v>
      </c>
      <c r="BB91" s="207">
        <f>+IF($B91&gt;Coverage,0,ROUND(BA91*(1+VLOOKUP(BA$3,Assumption!$H$35:$K$43,4,0))^0.5,0))</f>
        <v>0</v>
      </c>
      <c r="BC91" s="207">
        <f>+IF($B91="",0,(1-VLOOKUP(MIN($B91,6),Assumption!$M$10:$N$16,2))*BB91)</f>
        <v>0</v>
      </c>
    </row>
    <row r="92" ht="14.25" customHeight="1">
      <c r="A92" s="126">
        <v>85.0</v>
      </c>
      <c r="B92" s="129" t="str">
        <f>+IF(A92&gt;Coverage,"",A92)</f>
        <v/>
      </c>
      <c r="C92" s="134" t="str">
        <f>+IF(B92=1,Insured_Age,IF(B92="","",C91+1))</f>
        <v/>
      </c>
      <c r="D92" s="134" t="str">
        <f>+IF(B92&gt;Coverage,"",IF(B92=1,input!$H$11,D91+1))</f>
        <v/>
      </c>
      <c r="E92" s="134" t="str">
        <f>IF(B92=1,premi_dasar,IF(B92&gt;Coverage,"",0))</f>
        <v/>
      </c>
      <c r="F92" s="134" t="str">
        <f>IF(B92&gt;Coverage,"",SUM(E92))</f>
        <v/>
      </c>
      <c r="G92" s="134" t="str">
        <f>IF(B92&gt;Coverage,"",SUMIFS(input!$E$38:$E$50,input!$C$38:$C$50,$C92))</f>
        <v/>
      </c>
      <c r="H92" s="134" t="str">
        <f>IF(B92&gt;Coverage,"",SUMIFS(input!$E$53:$E$87,input!$C$53:$C$87,$C92))</f>
        <v/>
      </c>
      <c r="I92" s="66" t="str">
        <f>+IF(B92="","",Sum_Assured*VLOOKUP(MIN(C92,10),Assumption!$M$19:$N$28,2,0))</f>
        <v/>
      </c>
      <c r="J92" s="66" t="str">
        <f>IF(B92="","",input!$D$33)</f>
        <v/>
      </c>
      <c r="K92" s="66" t="str">
        <f>IF(B92&gt;Coverage,"",VLOOKUP($C92,COI_Tab[],IF(sex="Male",2,3),0)*I92*(1+EM_Basic)/1000)</f>
        <v/>
      </c>
      <c r="L92" s="66" t="str">
        <f>IF(B92&gt;Coverage,"",VLOOKUP($C92,COI_Tab[],4,0)*J92*(1+EM_Basic)/1000)</f>
        <v/>
      </c>
      <c r="M92" s="207" t="str">
        <f>IF(B92&gt;Coverage,"",ROUND(K92+L92,0))</f>
        <v/>
      </c>
      <c r="N92" s="134" t="str">
        <f>IF(B92&gt;Coverage,"",VLOOKUP($B92,Assumption!$H$11:$I$15,2)*E92)</f>
        <v/>
      </c>
      <c r="O92" s="134" t="str">
        <f>IF(B92&gt;Coverage,"",Assumption!$J$11*$G92)</f>
        <v/>
      </c>
      <c r="P92" s="134" t="str">
        <f>IF(B92&gt;Coverage,"",H92*VLOOKUP(MIN(B92,6),Assumption!$M$11:$N$16,2,0))</f>
        <v/>
      </c>
      <c r="Q92" s="134" t="str">
        <f>IF(B92&gt;Coverage,"",SUM(N92:P92))</f>
        <v/>
      </c>
      <c r="R92" s="207" t="str">
        <f>+IF($B92&gt;Coverage,"",Assumption!$I$18*12)</f>
        <v/>
      </c>
      <c r="S92" s="208" t="str">
        <f>+IF($B92&gt;Coverage,"",Assumption!$I$20)</f>
        <v/>
      </c>
      <c r="T92" s="207">
        <f>+IF($B92&gt;Coverage,0,ROUND((U91+($F92+$G92-$H92-$Q92)*PML_LF)*(1+VLOOKUP(T$3,Assumption!$H$35:$K$43,2,0))^0.5-($M92+$R92)*PML_LF-($S92*PML_LF*U91),0))</f>
        <v>0</v>
      </c>
      <c r="U92" s="207">
        <f>+IF($B92&gt;Coverage,0,ROUND(T92*(1+VLOOKUP(T$3,Assumption!$H$35:$K$43,2,0))^0.5,0))</f>
        <v>0</v>
      </c>
      <c r="V92" s="207">
        <f>+IF($B92="",0,(1-VLOOKUP(MIN($B92,6),Assumption!$M$10:$N$16,2))*U92)</f>
        <v>0</v>
      </c>
      <c r="W92" s="207">
        <f>+IF($B92&gt;Coverage,0,ROUND((X91+($F92+$G92-$H92-$Q92)*PML_BF)*(1+VLOOKUP(W$3,Assumption!$H$35:$K$43,2,0))^0.5-($M92+$R92)*PML_BF-($S92*PML_BF*X91),0))</f>
        <v>0</v>
      </c>
      <c r="X92" s="207">
        <f>+IF($B92&gt;Coverage,0,ROUND(W92*(1+VLOOKUP(W$3,Assumption!$H$35:$K$43,2,0))^0.5,0))</f>
        <v>0</v>
      </c>
      <c r="Y92" s="207">
        <f>+IF($B92="",0,(1-VLOOKUP(MIN($B92,6),Assumption!$M$10:$N$16,2))*X92)</f>
        <v>0</v>
      </c>
      <c r="Z92" s="207">
        <f>+IF($B92&gt;Coverage,0,ROUND((AA91+($F92+$G92-$H92-$Q92)*PML_EF)*(1+VLOOKUP(Z$3,Assumption!$H$35:$K$43,2,0))^0.5-($M92+$R92)*PML_EF-($S92*PML_EF*AA91),0))</f>
        <v>0</v>
      </c>
      <c r="AA92" s="207">
        <f>+IF($B92&gt;Coverage,0,ROUND(Z92*(1+VLOOKUP(Z$3,Assumption!$H$35:$K$43,2,0))^0.5,0))</f>
        <v>0</v>
      </c>
      <c r="AB92" s="207">
        <f>+IF($B92="",0,(1-VLOOKUP(MIN($B92,6),Assumption!$M$10:$N$16,2))*AA92)</f>
        <v>0</v>
      </c>
      <c r="AC92" s="207">
        <f>+IF($B92&gt;Coverage,0,ROUND((AD91+($F92+$G92-$H92-$Q92)*PML_FI)*(1+VLOOKUP(AC$3,Assumption!$H$35:$K$43,2,0))^0.5-($M92+$R92)*PML_FI-($S92*PML_FI*AD91),0))</f>
        <v>0</v>
      </c>
      <c r="AD92" s="207">
        <f>+IF($B92&gt;Coverage,0,ROUND(AC92*(1+VLOOKUP(AC$3,Assumption!$H$35:$K$43,2,0))^0.5,0))</f>
        <v>0</v>
      </c>
      <c r="AE92" s="207">
        <f>+IF($B92="",0,(1-VLOOKUP(MIN($B92,6),Assumption!$M$10:$N$16,2))*AD92)</f>
        <v>0</v>
      </c>
      <c r="AF92" s="207">
        <f>+IF($B92&gt;Coverage,0,ROUND((AG91+($F92+$G92-$H92-$Q92)*PML_LF)*(1+VLOOKUP(AF$3,Assumption!$H$35:$K$43,3,0))^0.5-($M92+$R92)*PML_LF-($S92*PML_LF*AG91),0))</f>
        <v>0</v>
      </c>
      <c r="AG92" s="207">
        <f>+IF($B92&gt;Coverage,0,ROUND(AF92*(1+VLOOKUP(AF$3,Assumption!$H$35:$K$43,3,0))^0.5,0))</f>
        <v>0</v>
      </c>
      <c r="AH92" s="207">
        <f>+IF($B92="",0,(1-VLOOKUP(MIN($B92,6),Assumption!$M$10:$N$16,2))*AG92)</f>
        <v>0</v>
      </c>
      <c r="AI92" s="207">
        <f>+IF($B92&gt;Coverage,0,ROUND((AJ91+($F92+$G92-$H92-$Q92)*PML_BF)*(1+VLOOKUP(AI$3,Assumption!$H$35:$K$43,3,0))^0.5-($M92+$R92)*PML_BF-($S92*PML_BF*AJ91),0))</f>
        <v>0</v>
      </c>
      <c r="AJ92" s="207">
        <f>+IF($B92&gt;Coverage,0,ROUND(AI92*(1+VLOOKUP(AI$3,Assumption!$H$35:$K$43,3,0))^0.5,0))</f>
        <v>0</v>
      </c>
      <c r="AK92" s="207">
        <f>+IF($B92="",0,(1-VLOOKUP(MIN($B92,6),Assumption!$M$10:$N$16,2))*AJ92)</f>
        <v>0</v>
      </c>
      <c r="AL92" s="207">
        <f>+IF($B92&gt;Coverage,0,ROUND((AM91+($F92+$G92-$H92-$Q92)*PML_EF)*(1+VLOOKUP(AL$3,Assumption!$H$35:$K$43,3,0))^0.5-($M92+$R92)*PML_EF-($S92*PML_EF*AM91),0))</f>
        <v>0</v>
      </c>
      <c r="AM92" s="207">
        <f>+IF($B92&gt;Coverage,0,ROUND(AL92*(1+VLOOKUP(AL$3,Assumption!$H$35:$K$43,3,0))^0.5,0))</f>
        <v>0</v>
      </c>
      <c r="AN92" s="207">
        <f>+IF($B92="",0,(1-VLOOKUP(MIN($B92,6),Assumption!$M$10:$N$16,2))*AM92)</f>
        <v>0</v>
      </c>
      <c r="AO92" s="207">
        <f>+IF($B92&gt;Coverage,0,ROUND((AP91+($F92+$G92-$H92-$Q92)*PML_FI)*(1+VLOOKUP(AO$3,Assumption!$H$35:$K$43,3,0))^0.5-($M92+$R92)*PML_FI-($S92*PML_FI*AP91),0))</f>
        <v>0</v>
      </c>
      <c r="AP92" s="207">
        <f>+IF($B92&gt;Coverage,0,ROUND(AO92*(1+VLOOKUP(AO$3,Assumption!$H$35:$K$43,3,0))^0.5,0))</f>
        <v>0</v>
      </c>
      <c r="AQ92" s="207">
        <f>+IF($B92="",0,(1-VLOOKUP(MIN($B92,6),Assumption!$M$10:$N$16,2))*AP92)</f>
        <v>0</v>
      </c>
      <c r="AR92" s="207">
        <f>+IF($B92&gt;Coverage,0,ROUND((AS91+($F92+$G92-$H92-$Q92)*PML_LF)*(1+VLOOKUP(AR$3,Assumption!$H$35:$K$43,4,0))^0.5-($M92+$R92)*PML_LF-($S92*PML_LF*AS91),0))</f>
        <v>0</v>
      </c>
      <c r="AS92" s="207">
        <f>+IF($B92&gt;Coverage,0,ROUND(AR92*(1+VLOOKUP(AR$3,Assumption!$H$35:$K$43,4,0))^0.5,0))</f>
        <v>0</v>
      </c>
      <c r="AT92" s="207">
        <f>+IF($B92="",0,(1-VLOOKUP(MIN($B92,6),Assumption!$M$10:$N$16,2))*AS92)</f>
        <v>0</v>
      </c>
      <c r="AU92" s="207">
        <f>+IF($B92&gt;Coverage,0,ROUND((AV91+($F92+$G92-$H92-$Q92)*PML_BF)*(1+VLOOKUP(AU$3,Assumption!$H$35:$K$43,4,0))^0.5-($M92+$R92)*PML_BF-($S92*PML_BF*AV91),0))</f>
        <v>0</v>
      </c>
      <c r="AV92" s="207">
        <f>+IF($B92&gt;Coverage,0,ROUND(AU92*(1+VLOOKUP(AU$3,Assumption!$H$35:$K$43,4,0))^0.5,0))</f>
        <v>0</v>
      </c>
      <c r="AW92" s="207">
        <f>+IF($B92="",0,(1-VLOOKUP(MIN($B92,6),Assumption!$M$10:$N$16,2))*AV92)</f>
        <v>0</v>
      </c>
      <c r="AX92" s="207">
        <f>+IF($B92&gt;Coverage,0,ROUND((AY91+($F92+$G92-$H92-$Q92)*PML_EF)*(1+VLOOKUP(AX$3,Assumption!$H$35:$K$43,4,0))^0.5-($M92+$R92)*PML_EF-($S92*PML_EF*AY91),0))</f>
        <v>0</v>
      </c>
      <c r="AY92" s="207">
        <f>+IF($B92&gt;Coverage,0,ROUND(AX92*(1+VLOOKUP(AX$3,Assumption!$H$35:$K$43,4,0))^0.5,0))</f>
        <v>0</v>
      </c>
      <c r="AZ92" s="207">
        <f>+IF($B92="",0,(1-VLOOKUP(MIN($B92,6),Assumption!$M$10:$N$16,2))*AY92)</f>
        <v>0</v>
      </c>
      <c r="BA92" s="207">
        <f>+IF($B92&gt;Coverage,0,ROUND((BB91+($F92+$G92-$H92-$Q92)*PML_FI)*(1+VLOOKUP(BA$3,Assumption!$H$35:$K$43,4,0))^0.5-($M92+$R92)*PML_FI-($S92*PML_FI*BB91),0))</f>
        <v>0</v>
      </c>
      <c r="BB92" s="207">
        <f>+IF($B92&gt;Coverage,0,ROUND(BA92*(1+VLOOKUP(BA$3,Assumption!$H$35:$K$43,4,0))^0.5,0))</f>
        <v>0</v>
      </c>
      <c r="BC92" s="207">
        <f>+IF($B92="",0,(1-VLOOKUP(MIN($B92,6),Assumption!$M$10:$N$16,2))*BB92)</f>
        <v>0</v>
      </c>
    </row>
    <row r="93" ht="14.25" customHeight="1">
      <c r="A93" s="126">
        <v>86.0</v>
      </c>
      <c r="B93" s="129" t="str">
        <f>+IF(A93&gt;Coverage,"",A93)</f>
        <v/>
      </c>
      <c r="C93" s="134" t="str">
        <f>+IF(B93=1,Insured_Age,IF(B93="","",C92+1))</f>
        <v/>
      </c>
      <c r="D93" s="134" t="str">
        <f>+IF(B93&gt;Coverage,"",IF(B93=1,input!$H$11,D92+1))</f>
        <v/>
      </c>
      <c r="E93" s="134" t="str">
        <f>IF(B93=1,premi_dasar,IF(B93&gt;Coverage,"",0))</f>
        <v/>
      </c>
      <c r="F93" s="134" t="str">
        <f>IF(B93&gt;Coverage,"",SUM(E93))</f>
        <v/>
      </c>
      <c r="G93" s="134" t="str">
        <f>IF(B93&gt;Coverage,"",SUMIFS(input!$E$38:$E$50,input!$C$38:$C$50,$C93))</f>
        <v/>
      </c>
      <c r="H93" s="134" t="str">
        <f>IF(B93&gt;Coverage,"",SUMIFS(input!$E$53:$E$87,input!$C$53:$C$87,$C93))</f>
        <v/>
      </c>
      <c r="I93" s="66" t="str">
        <f>+IF(B93="","",Sum_Assured*VLOOKUP(MIN(C93,10),Assumption!$M$19:$N$28,2,0))</f>
        <v/>
      </c>
      <c r="J93" s="66" t="str">
        <f>IF(B93="","",input!$D$33)</f>
        <v/>
      </c>
      <c r="K93" s="66" t="str">
        <f>IF(B93&gt;Coverage,"",VLOOKUP($C93,COI_Tab[],IF(sex="Male",2,3),0)*I93*(1+EM_Basic)/1000)</f>
        <v/>
      </c>
      <c r="L93" s="66" t="str">
        <f>IF(B93&gt;Coverage,"",VLOOKUP($C93,COI_Tab[],4,0)*J93*(1+EM_Basic)/1000)</f>
        <v/>
      </c>
      <c r="M93" s="207" t="str">
        <f>IF(B93&gt;Coverage,"",ROUND(K93+L93,0))</f>
        <v/>
      </c>
      <c r="N93" s="134" t="str">
        <f>IF(B93&gt;Coverage,"",VLOOKUP($B93,Assumption!$H$11:$I$15,2)*E93)</f>
        <v/>
      </c>
      <c r="O93" s="134" t="str">
        <f>IF(B93&gt;Coverage,"",Assumption!$J$11*$G93)</f>
        <v/>
      </c>
      <c r="P93" s="134" t="str">
        <f>IF(B93&gt;Coverage,"",H93*VLOOKUP(MIN(B93,6),Assumption!$M$11:$N$16,2,0))</f>
        <v/>
      </c>
      <c r="Q93" s="134" t="str">
        <f>IF(B93&gt;Coverage,"",SUM(N93:P93))</f>
        <v/>
      </c>
      <c r="R93" s="207" t="str">
        <f>+IF($B93&gt;Coverage,"",Assumption!$I$18*12)</f>
        <v/>
      </c>
      <c r="S93" s="208" t="str">
        <f>+IF($B93&gt;Coverage,"",Assumption!$I$20)</f>
        <v/>
      </c>
      <c r="T93" s="207">
        <f>+IF($B93&gt;Coverage,0,ROUND((U92+($F93+$G93-$H93-$Q93)*PML_LF)*(1+VLOOKUP(T$3,Assumption!$H$35:$K$43,2,0))^0.5-($M93+$R93)*PML_LF-($S93*PML_LF*U92),0))</f>
        <v>0</v>
      </c>
      <c r="U93" s="207">
        <f>+IF($B93&gt;Coverage,0,ROUND(T93*(1+VLOOKUP(T$3,Assumption!$H$35:$K$43,2,0))^0.5,0))</f>
        <v>0</v>
      </c>
      <c r="V93" s="207">
        <f>+IF($B93="",0,(1-VLOOKUP(MIN($B93,6),Assumption!$M$10:$N$16,2))*U93)</f>
        <v>0</v>
      </c>
      <c r="W93" s="207">
        <f>+IF($B93&gt;Coverage,0,ROUND((X92+($F93+$G93-$H93-$Q93)*PML_BF)*(1+VLOOKUP(W$3,Assumption!$H$35:$K$43,2,0))^0.5-($M93+$R93)*PML_BF-($S93*PML_BF*X92),0))</f>
        <v>0</v>
      </c>
      <c r="X93" s="207">
        <f>+IF($B93&gt;Coverage,0,ROUND(W93*(1+VLOOKUP(W$3,Assumption!$H$35:$K$43,2,0))^0.5,0))</f>
        <v>0</v>
      </c>
      <c r="Y93" s="207">
        <f>+IF($B93="",0,(1-VLOOKUP(MIN($B93,6),Assumption!$M$10:$N$16,2))*X93)</f>
        <v>0</v>
      </c>
      <c r="Z93" s="207">
        <f>+IF($B93&gt;Coverage,0,ROUND((AA92+($F93+$G93-$H93-$Q93)*PML_EF)*(1+VLOOKUP(Z$3,Assumption!$H$35:$K$43,2,0))^0.5-($M93+$R93)*PML_EF-($S93*PML_EF*AA92),0))</f>
        <v>0</v>
      </c>
      <c r="AA93" s="207">
        <f>+IF($B93&gt;Coverage,0,ROUND(Z93*(1+VLOOKUP(Z$3,Assumption!$H$35:$K$43,2,0))^0.5,0))</f>
        <v>0</v>
      </c>
      <c r="AB93" s="207">
        <f>+IF($B93="",0,(1-VLOOKUP(MIN($B93,6),Assumption!$M$10:$N$16,2))*AA93)</f>
        <v>0</v>
      </c>
      <c r="AC93" s="207">
        <f>+IF($B93&gt;Coverage,0,ROUND((AD92+($F93+$G93-$H93-$Q93)*PML_FI)*(1+VLOOKUP(AC$3,Assumption!$H$35:$K$43,2,0))^0.5-($M93+$R93)*PML_FI-($S93*PML_FI*AD92),0))</f>
        <v>0</v>
      </c>
      <c r="AD93" s="207">
        <f>+IF($B93&gt;Coverage,0,ROUND(AC93*(1+VLOOKUP(AC$3,Assumption!$H$35:$K$43,2,0))^0.5,0))</f>
        <v>0</v>
      </c>
      <c r="AE93" s="207">
        <f>+IF($B93="",0,(1-VLOOKUP(MIN($B93,6),Assumption!$M$10:$N$16,2))*AD93)</f>
        <v>0</v>
      </c>
      <c r="AF93" s="207">
        <f>+IF($B93&gt;Coverage,0,ROUND((AG92+($F93+$G93-$H93-$Q93)*PML_LF)*(1+VLOOKUP(AF$3,Assumption!$H$35:$K$43,3,0))^0.5-($M93+$R93)*PML_LF-($S93*PML_LF*AG92),0))</f>
        <v>0</v>
      </c>
      <c r="AG93" s="207">
        <f>+IF($B93&gt;Coverage,0,ROUND(AF93*(1+VLOOKUP(AF$3,Assumption!$H$35:$K$43,3,0))^0.5,0))</f>
        <v>0</v>
      </c>
      <c r="AH93" s="207">
        <f>+IF($B93="",0,(1-VLOOKUP(MIN($B93,6),Assumption!$M$10:$N$16,2))*AG93)</f>
        <v>0</v>
      </c>
      <c r="AI93" s="207">
        <f>+IF($B93&gt;Coverage,0,ROUND((AJ92+($F93+$G93-$H93-$Q93)*PML_BF)*(1+VLOOKUP(AI$3,Assumption!$H$35:$K$43,3,0))^0.5-($M93+$R93)*PML_BF-($S93*PML_BF*AJ92),0))</f>
        <v>0</v>
      </c>
      <c r="AJ93" s="207">
        <f>+IF($B93&gt;Coverage,0,ROUND(AI93*(1+VLOOKUP(AI$3,Assumption!$H$35:$K$43,3,0))^0.5,0))</f>
        <v>0</v>
      </c>
      <c r="AK93" s="207">
        <f>+IF($B93="",0,(1-VLOOKUP(MIN($B93,6),Assumption!$M$10:$N$16,2))*AJ93)</f>
        <v>0</v>
      </c>
      <c r="AL93" s="207">
        <f>+IF($B93&gt;Coverage,0,ROUND((AM92+($F93+$G93-$H93-$Q93)*PML_EF)*(1+VLOOKUP(AL$3,Assumption!$H$35:$K$43,3,0))^0.5-($M93+$R93)*PML_EF-($S93*PML_EF*AM92),0))</f>
        <v>0</v>
      </c>
      <c r="AM93" s="207">
        <f>+IF($B93&gt;Coverage,0,ROUND(AL93*(1+VLOOKUP(AL$3,Assumption!$H$35:$K$43,3,0))^0.5,0))</f>
        <v>0</v>
      </c>
      <c r="AN93" s="207">
        <f>+IF($B93="",0,(1-VLOOKUP(MIN($B93,6),Assumption!$M$10:$N$16,2))*AM93)</f>
        <v>0</v>
      </c>
      <c r="AO93" s="207">
        <f>+IF($B93&gt;Coverage,0,ROUND((AP92+($F93+$G93-$H93-$Q93)*PML_FI)*(1+VLOOKUP(AO$3,Assumption!$H$35:$K$43,3,0))^0.5-($M93+$R93)*PML_FI-($S93*PML_FI*AP92),0))</f>
        <v>0</v>
      </c>
      <c r="AP93" s="207">
        <f>+IF($B93&gt;Coverage,0,ROUND(AO93*(1+VLOOKUP(AO$3,Assumption!$H$35:$K$43,3,0))^0.5,0))</f>
        <v>0</v>
      </c>
      <c r="AQ93" s="207">
        <f>+IF($B93="",0,(1-VLOOKUP(MIN($B93,6),Assumption!$M$10:$N$16,2))*AP93)</f>
        <v>0</v>
      </c>
      <c r="AR93" s="207">
        <f>+IF($B93&gt;Coverage,0,ROUND((AS92+($F93+$G93-$H93-$Q93)*PML_LF)*(1+VLOOKUP(AR$3,Assumption!$H$35:$K$43,4,0))^0.5-($M93+$R93)*PML_LF-($S93*PML_LF*AS92),0))</f>
        <v>0</v>
      </c>
      <c r="AS93" s="207">
        <f>+IF($B93&gt;Coverage,0,ROUND(AR93*(1+VLOOKUP(AR$3,Assumption!$H$35:$K$43,4,0))^0.5,0))</f>
        <v>0</v>
      </c>
      <c r="AT93" s="207">
        <f>+IF($B93="",0,(1-VLOOKUP(MIN($B93,6),Assumption!$M$10:$N$16,2))*AS93)</f>
        <v>0</v>
      </c>
      <c r="AU93" s="207">
        <f>+IF($B93&gt;Coverage,0,ROUND((AV92+($F93+$G93-$H93-$Q93)*PML_BF)*(1+VLOOKUP(AU$3,Assumption!$H$35:$K$43,4,0))^0.5-($M93+$R93)*PML_BF-($S93*PML_BF*AV92),0))</f>
        <v>0</v>
      </c>
      <c r="AV93" s="207">
        <f>+IF($B93&gt;Coverage,0,ROUND(AU93*(1+VLOOKUP(AU$3,Assumption!$H$35:$K$43,4,0))^0.5,0))</f>
        <v>0</v>
      </c>
      <c r="AW93" s="207">
        <f>+IF($B93="",0,(1-VLOOKUP(MIN($B93,6),Assumption!$M$10:$N$16,2))*AV93)</f>
        <v>0</v>
      </c>
      <c r="AX93" s="207">
        <f>+IF($B93&gt;Coverage,0,ROUND((AY92+($F93+$G93-$H93-$Q93)*PML_EF)*(1+VLOOKUP(AX$3,Assumption!$H$35:$K$43,4,0))^0.5-($M93+$R93)*PML_EF-($S93*PML_EF*AY92),0))</f>
        <v>0</v>
      </c>
      <c r="AY93" s="207">
        <f>+IF($B93&gt;Coverage,0,ROUND(AX93*(1+VLOOKUP(AX$3,Assumption!$H$35:$K$43,4,0))^0.5,0))</f>
        <v>0</v>
      </c>
      <c r="AZ93" s="207">
        <f>+IF($B93="",0,(1-VLOOKUP(MIN($B93,6),Assumption!$M$10:$N$16,2))*AY93)</f>
        <v>0</v>
      </c>
      <c r="BA93" s="207">
        <f>+IF($B93&gt;Coverage,0,ROUND((BB92+($F93+$G93-$H93-$Q93)*PML_FI)*(1+VLOOKUP(BA$3,Assumption!$H$35:$K$43,4,0))^0.5-($M93+$R93)*PML_FI-($S93*PML_FI*BB92),0))</f>
        <v>0</v>
      </c>
      <c r="BB93" s="207">
        <f>+IF($B93&gt;Coverage,0,ROUND(BA93*(1+VLOOKUP(BA$3,Assumption!$H$35:$K$43,4,0))^0.5,0))</f>
        <v>0</v>
      </c>
      <c r="BC93" s="207">
        <f>+IF($B93="",0,(1-VLOOKUP(MIN($B93,6),Assumption!$M$10:$N$16,2))*BB93)</f>
        <v>0</v>
      </c>
    </row>
    <row r="94" ht="14.25" customHeight="1">
      <c r="A94" s="126">
        <v>87.0</v>
      </c>
      <c r="B94" s="129" t="str">
        <f>+IF(A94&gt;Coverage,"",A94)</f>
        <v/>
      </c>
      <c r="C94" s="134" t="str">
        <f>+IF(B94=1,Insured_Age,IF(B94="","",C93+1))</f>
        <v/>
      </c>
      <c r="D94" s="134" t="str">
        <f>+IF(B94&gt;Coverage,"",IF(B94=1,input!$H$11,D93+1))</f>
        <v/>
      </c>
      <c r="E94" s="134" t="str">
        <f>IF(B94=1,premi_dasar,IF(B94&gt;Coverage,"",0))</f>
        <v/>
      </c>
      <c r="F94" s="134" t="str">
        <f>IF(B94&gt;Coverage,"",SUM(E94))</f>
        <v/>
      </c>
      <c r="G94" s="134" t="str">
        <f>IF(B94&gt;Coverage,"",SUMIFS(input!$E$38:$E$50,input!$C$38:$C$50,$C94))</f>
        <v/>
      </c>
      <c r="H94" s="134" t="str">
        <f>IF(B94&gt;Coverage,"",SUMIFS(input!$E$53:$E$87,input!$C$53:$C$87,$C94))</f>
        <v/>
      </c>
      <c r="I94" s="66" t="str">
        <f>+IF(B94="","",Sum_Assured*VLOOKUP(MIN(C94,10),Assumption!$M$19:$N$28,2,0))</f>
        <v/>
      </c>
      <c r="J94" s="66" t="str">
        <f>IF(B94="","",input!$D$33)</f>
        <v/>
      </c>
      <c r="K94" s="66" t="str">
        <f>IF(B94&gt;Coverage,"",VLOOKUP($C94,COI_Tab[],IF(sex="Male",2,3),0)*I94*(1+EM_Basic)/1000)</f>
        <v/>
      </c>
      <c r="L94" s="66" t="str">
        <f>IF(B94&gt;Coverage,"",VLOOKUP($C94,COI_Tab[],4,0)*J94*(1+EM_Basic)/1000)</f>
        <v/>
      </c>
      <c r="M94" s="207" t="str">
        <f>IF(B94&gt;Coverage,"",ROUND(K94+L94,0))</f>
        <v/>
      </c>
      <c r="N94" s="134" t="str">
        <f>IF(B94&gt;Coverage,"",VLOOKUP($B94,Assumption!$H$11:$I$15,2)*E94)</f>
        <v/>
      </c>
      <c r="O94" s="134" t="str">
        <f>IF(B94&gt;Coverage,"",Assumption!$J$11*$G94)</f>
        <v/>
      </c>
      <c r="P94" s="134" t="str">
        <f>IF(B94&gt;Coverage,"",H94*VLOOKUP(MIN(B94,6),Assumption!$M$11:$N$16,2,0))</f>
        <v/>
      </c>
      <c r="Q94" s="134" t="str">
        <f>IF(B94&gt;Coverage,"",SUM(N94:P94))</f>
        <v/>
      </c>
      <c r="R94" s="207" t="str">
        <f>+IF($B94&gt;Coverage,"",Assumption!$I$18*12)</f>
        <v/>
      </c>
      <c r="S94" s="208" t="str">
        <f>+IF($B94&gt;Coverage,"",Assumption!$I$20)</f>
        <v/>
      </c>
      <c r="T94" s="207">
        <f>+IF($B94&gt;Coverage,0,ROUND((U93+($F94+$G94-$H94-$Q94)*PML_LF)*(1+VLOOKUP(T$3,Assumption!$H$35:$K$43,2,0))^0.5-($M94+$R94)*PML_LF-($S94*PML_LF*U93),0))</f>
        <v>0</v>
      </c>
      <c r="U94" s="207">
        <f>+IF($B94&gt;Coverage,0,ROUND(T94*(1+VLOOKUP(T$3,Assumption!$H$35:$K$43,2,0))^0.5,0))</f>
        <v>0</v>
      </c>
      <c r="V94" s="207">
        <f>+IF($B94="",0,(1-VLOOKUP(MIN($B94,6),Assumption!$M$10:$N$16,2))*U94)</f>
        <v>0</v>
      </c>
      <c r="W94" s="207">
        <f>+IF($B94&gt;Coverage,0,ROUND((X93+($F94+$G94-$H94-$Q94)*PML_BF)*(1+VLOOKUP(W$3,Assumption!$H$35:$K$43,2,0))^0.5-($M94+$R94)*PML_BF-($S94*PML_BF*X93),0))</f>
        <v>0</v>
      </c>
      <c r="X94" s="207">
        <f>+IF($B94&gt;Coverage,0,ROUND(W94*(1+VLOOKUP(W$3,Assumption!$H$35:$K$43,2,0))^0.5,0))</f>
        <v>0</v>
      </c>
      <c r="Y94" s="207">
        <f>+IF($B94="",0,(1-VLOOKUP(MIN($B94,6),Assumption!$M$10:$N$16,2))*X94)</f>
        <v>0</v>
      </c>
      <c r="Z94" s="207">
        <f>+IF($B94&gt;Coverage,0,ROUND((AA93+($F94+$G94-$H94-$Q94)*PML_EF)*(1+VLOOKUP(Z$3,Assumption!$H$35:$K$43,2,0))^0.5-($M94+$R94)*PML_EF-($S94*PML_EF*AA93),0))</f>
        <v>0</v>
      </c>
      <c r="AA94" s="207">
        <f>+IF($B94&gt;Coverage,0,ROUND(Z94*(1+VLOOKUP(Z$3,Assumption!$H$35:$K$43,2,0))^0.5,0))</f>
        <v>0</v>
      </c>
      <c r="AB94" s="207">
        <f>+IF($B94="",0,(1-VLOOKUP(MIN($B94,6),Assumption!$M$10:$N$16,2))*AA94)</f>
        <v>0</v>
      </c>
      <c r="AC94" s="207">
        <f>+IF($B94&gt;Coverage,0,ROUND((AD93+($F94+$G94-$H94-$Q94)*PML_FI)*(1+VLOOKUP(AC$3,Assumption!$H$35:$K$43,2,0))^0.5-($M94+$R94)*PML_FI-($S94*PML_FI*AD93),0))</f>
        <v>0</v>
      </c>
      <c r="AD94" s="207">
        <f>+IF($B94&gt;Coverage,0,ROUND(AC94*(1+VLOOKUP(AC$3,Assumption!$H$35:$K$43,2,0))^0.5,0))</f>
        <v>0</v>
      </c>
      <c r="AE94" s="207">
        <f>+IF($B94="",0,(1-VLOOKUP(MIN($B94,6),Assumption!$M$10:$N$16,2))*AD94)</f>
        <v>0</v>
      </c>
      <c r="AF94" s="207">
        <f>+IF($B94&gt;Coverage,0,ROUND((AG93+($F94+$G94-$H94-$Q94)*PML_LF)*(1+VLOOKUP(AF$3,Assumption!$H$35:$K$43,3,0))^0.5-($M94+$R94)*PML_LF-($S94*PML_LF*AG93),0))</f>
        <v>0</v>
      </c>
      <c r="AG94" s="207">
        <f>+IF($B94&gt;Coverage,0,ROUND(AF94*(1+VLOOKUP(AF$3,Assumption!$H$35:$K$43,3,0))^0.5,0))</f>
        <v>0</v>
      </c>
      <c r="AH94" s="207">
        <f>+IF($B94="",0,(1-VLOOKUP(MIN($B94,6),Assumption!$M$10:$N$16,2))*AG94)</f>
        <v>0</v>
      </c>
      <c r="AI94" s="207">
        <f>+IF($B94&gt;Coverage,0,ROUND((AJ93+($F94+$G94-$H94-$Q94)*PML_BF)*(1+VLOOKUP(AI$3,Assumption!$H$35:$K$43,3,0))^0.5-($M94+$R94)*PML_BF-($S94*PML_BF*AJ93),0))</f>
        <v>0</v>
      </c>
      <c r="AJ94" s="207">
        <f>+IF($B94&gt;Coverage,0,ROUND(AI94*(1+VLOOKUP(AI$3,Assumption!$H$35:$K$43,3,0))^0.5,0))</f>
        <v>0</v>
      </c>
      <c r="AK94" s="207">
        <f>+IF($B94="",0,(1-VLOOKUP(MIN($B94,6),Assumption!$M$10:$N$16,2))*AJ94)</f>
        <v>0</v>
      </c>
      <c r="AL94" s="207">
        <f>+IF($B94&gt;Coverage,0,ROUND((AM93+($F94+$G94-$H94-$Q94)*PML_EF)*(1+VLOOKUP(AL$3,Assumption!$H$35:$K$43,3,0))^0.5-($M94+$R94)*PML_EF-($S94*PML_EF*AM93),0))</f>
        <v>0</v>
      </c>
      <c r="AM94" s="207">
        <f>+IF($B94&gt;Coverage,0,ROUND(AL94*(1+VLOOKUP(AL$3,Assumption!$H$35:$K$43,3,0))^0.5,0))</f>
        <v>0</v>
      </c>
      <c r="AN94" s="207">
        <f>+IF($B94="",0,(1-VLOOKUP(MIN($B94,6),Assumption!$M$10:$N$16,2))*AM94)</f>
        <v>0</v>
      </c>
      <c r="AO94" s="207">
        <f>+IF($B94&gt;Coverage,0,ROUND((AP93+($F94+$G94-$H94-$Q94)*PML_FI)*(1+VLOOKUP(AO$3,Assumption!$H$35:$K$43,3,0))^0.5-($M94+$R94)*PML_FI-($S94*PML_FI*AP93),0))</f>
        <v>0</v>
      </c>
      <c r="AP94" s="207">
        <f>+IF($B94&gt;Coverage,0,ROUND(AO94*(1+VLOOKUP(AO$3,Assumption!$H$35:$K$43,3,0))^0.5,0))</f>
        <v>0</v>
      </c>
      <c r="AQ94" s="207">
        <f>+IF($B94="",0,(1-VLOOKUP(MIN($B94,6),Assumption!$M$10:$N$16,2))*AP94)</f>
        <v>0</v>
      </c>
      <c r="AR94" s="207">
        <f>+IF($B94&gt;Coverage,0,ROUND((AS93+($F94+$G94-$H94-$Q94)*PML_LF)*(1+VLOOKUP(AR$3,Assumption!$H$35:$K$43,4,0))^0.5-($M94+$R94)*PML_LF-($S94*PML_LF*AS93),0))</f>
        <v>0</v>
      </c>
      <c r="AS94" s="207">
        <f>+IF($B94&gt;Coverage,0,ROUND(AR94*(1+VLOOKUP(AR$3,Assumption!$H$35:$K$43,4,0))^0.5,0))</f>
        <v>0</v>
      </c>
      <c r="AT94" s="207">
        <f>+IF($B94="",0,(1-VLOOKUP(MIN($B94,6),Assumption!$M$10:$N$16,2))*AS94)</f>
        <v>0</v>
      </c>
      <c r="AU94" s="207">
        <f>+IF($B94&gt;Coverage,0,ROUND((AV93+($F94+$G94-$H94-$Q94)*PML_BF)*(1+VLOOKUP(AU$3,Assumption!$H$35:$K$43,4,0))^0.5-($M94+$R94)*PML_BF-($S94*PML_BF*AV93),0))</f>
        <v>0</v>
      </c>
      <c r="AV94" s="207">
        <f>+IF($B94&gt;Coverage,0,ROUND(AU94*(1+VLOOKUP(AU$3,Assumption!$H$35:$K$43,4,0))^0.5,0))</f>
        <v>0</v>
      </c>
      <c r="AW94" s="207">
        <f>+IF($B94="",0,(1-VLOOKUP(MIN($B94,6),Assumption!$M$10:$N$16,2))*AV94)</f>
        <v>0</v>
      </c>
      <c r="AX94" s="207">
        <f>+IF($B94&gt;Coverage,0,ROUND((AY93+($F94+$G94-$H94-$Q94)*PML_EF)*(1+VLOOKUP(AX$3,Assumption!$H$35:$K$43,4,0))^0.5-($M94+$R94)*PML_EF-($S94*PML_EF*AY93),0))</f>
        <v>0</v>
      </c>
      <c r="AY94" s="207">
        <f>+IF($B94&gt;Coverage,0,ROUND(AX94*(1+VLOOKUP(AX$3,Assumption!$H$35:$K$43,4,0))^0.5,0))</f>
        <v>0</v>
      </c>
      <c r="AZ94" s="207">
        <f>+IF($B94="",0,(1-VLOOKUP(MIN($B94,6),Assumption!$M$10:$N$16,2))*AY94)</f>
        <v>0</v>
      </c>
      <c r="BA94" s="207">
        <f>+IF($B94&gt;Coverage,0,ROUND((BB93+($F94+$G94-$H94-$Q94)*PML_FI)*(1+VLOOKUP(BA$3,Assumption!$H$35:$K$43,4,0))^0.5-($M94+$R94)*PML_FI-($S94*PML_FI*BB93),0))</f>
        <v>0</v>
      </c>
      <c r="BB94" s="207">
        <f>+IF($B94&gt;Coverage,0,ROUND(BA94*(1+VLOOKUP(BA$3,Assumption!$H$35:$K$43,4,0))^0.5,0))</f>
        <v>0</v>
      </c>
      <c r="BC94" s="207">
        <f>+IF($B94="",0,(1-VLOOKUP(MIN($B94,6),Assumption!$M$10:$N$16,2))*BB94)</f>
        <v>0</v>
      </c>
    </row>
    <row r="95" ht="14.25" customHeight="1">
      <c r="A95" s="126">
        <v>88.0</v>
      </c>
      <c r="B95" s="129" t="str">
        <f>+IF(A95&gt;Coverage,"",A95)</f>
        <v/>
      </c>
      <c r="C95" s="134" t="str">
        <f>+IF(B95=1,Insured_Age,IF(B95="","",C94+1))</f>
        <v/>
      </c>
      <c r="D95" s="134" t="str">
        <f>+IF(B95&gt;Coverage,"",IF(B95=1,input!$H$11,D94+1))</f>
        <v/>
      </c>
      <c r="E95" s="134" t="str">
        <f>IF(B95=1,premi_dasar,IF(B95&gt;Coverage,"",0))</f>
        <v/>
      </c>
      <c r="F95" s="134" t="str">
        <f>IF(B95&gt;Coverage,"",SUM(E95))</f>
        <v/>
      </c>
      <c r="G95" s="134" t="str">
        <f>IF(B95&gt;Coverage,"",SUMIFS(input!$E$38:$E$50,input!$C$38:$C$50,$C95))</f>
        <v/>
      </c>
      <c r="H95" s="134" t="str">
        <f>IF(B95&gt;Coverage,"",SUMIFS(input!$E$53:$E$87,input!$C$53:$C$87,$C95))</f>
        <v/>
      </c>
      <c r="I95" s="66" t="str">
        <f>+IF(B95="","",Sum_Assured*VLOOKUP(MIN(C95,10),Assumption!$M$19:$N$28,2,0))</f>
        <v/>
      </c>
      <c r="J95" s="66" t="str">
        <f>IF(B95="","",input!$D$33)</f>
        <v/>
      </c>
      <c r="K95" s="66" t="str">
        <f>IF(B95&gt;Coverage,"",VLOOKUP($C95,COI_Tab[],IF(sex="Male",2,3),0)*I95*(1+EM_Basic)/1000)</f>
        <v/>
      </c>
      <c r="L95" s="66" t="str">
        <f>IF(B95&gt;Coverage,"",VLOOKUP($C95,COI_Tab[],4,0)*J95*(1+EM_Basic)/1000)</f>
        <v/>
      </c>
      <c r="M95" s="207" t="str">
        <f>IF(B95&gt;Coverage,"",ROUND(K95+L95,0))</f>
        <v/>
      </c>
      <c r="N95" s="134" t="str">
        <f>IF(B95&gt;Coverage,"",VLOOKUP($B95,Assumption!$H$11:$I$15,2)*E95)</f>
        <v/>
      </c>
      <c r="O95" s="134" t="str">
        <f>IF(B95&gt;Coverage,"",Assumption!$J$11*$G95)</f>
        <v/>
      </c>
      <c r="P95" s="134" t="str">
        <f>IF(B95&gt;Coverage,"",H95*VLOOKUP(MIN(B95,6),Assumption!$M$11:$N$16,2,0))</f>
        <v/>
      </c>
      <c r="Q95" s="134" t="str">
        <f>IF(B95&gt;Coverage,"",SUM(N95:P95))</f>
        <v/>
      </c>
      <c r="R95" s="207" t="str">
        <f>+IF($B95&gt;Coverage,"",Assumption!$I$18*12)</f>
        <v/>
      </c>
      <c r="S95" s="208" t="str">
        <f>+IF($B95&gt;Coverage,"",Assumption!$I$20)</f>
        <v/>
      </c>
      <c r="T95" s="207">
        <f>+IF($B95&gt;Coverage,0,ROUND((U94+($F95+$G95-$H95-$Q95)*PML_LF)*(1+VLOOKUP(T$3,Assumption!$H$35:$K$43,2,0))^0.5-($M95+$R95)*PML_LF-($S95*PML_LF*U94),0))</f>
        <v>0</v>
      </c>
      <c r="U95" s="207">
        <f>+IF($B95&gt;Coverage,0,ROUND(T95*(1+VLOOKUP(T$3,Assumption!$H$35:$K$43,2,0))^0.5,0))</f>
        <v>0</v>
      </c>
      <c r="V95" s="207">
        <f>+IF($B95="",0,(1-VLOOKUP(MIN($B95,6),Assumption!$M$10:$N$16,2))*U95)</f>
        <v>0</v>
      </c>
      <c r="W95" s="207">
        <f>+IF($B95&gt;Coverage,0,ROUND((X94+($F95+$G95-$H95-$Q95)*PML_BF)*(1+VLOOKUP(W$3,Assumption!$H$35:$K$43,2,0))^0.5-($M95+$R95)*PML_BF-($S95*PML_BF*X94),0))</f>
        <v>0</v>
      </c>
      <c r="X95" s="207">
        <f>+IF($B95&gt;Coverage,0,ROUND(W95*(1+VLOOKUP(W$3,Assumption!$H$35:$K$43,2,0))^0.5,0))</f>
        <v>0</v>
      </c>
      <c r="Y95" s="207">
        <f>+IF($B95="",0,(1-VLOOKUP(MIN($B95,6),Assumption!$M$10:$N$16,2))*X95)</f>
        <v>0</v>
      </c>
      <c r="Z95" s="207">
        <f>+IF($B95&gt;Coverage,0,ROUND((AA94+($F95+$G95-$H95-$Q95)*PML_EF)*(1+VLOOKUP(Z$3,Assumption!$H$35:$K$43,2,0))^0.5-($M95+$R95)*PML_EF-($S95*PML_EF*AA94),0))</f>
        <v>0</v>
      </c>
      <c r="AA95" s="207">
        <f>+IF($B95&gt;Coverage,0,ROUND(Z95*(1+VLOOKUP(Z$3,Assumption!$H$35:$K$43,2,0))^0.5,0))</f>
        <v>0</v>
      </c>
      <c r="AB95" s="207">
        <f>+IF($B95="",0,(1-VLOOKUP(MIN($B95,6),Assumption!$M$10:$N$16,2))*AA95)</f>
        <v>0</v>
      </c>
      <c r="AC95" s="207">
        <f>+IF($B95&gt;Coverage,0,ROUND((AD94+($F95+$G95-$H95-$Q95)*PML_FI)*(1+VLOOKUP(AC$3,Assumption!$H$35:$K$43,2,0))^0.5-($M95+$R95)*PML_FI-($S95*PML_FI*AD94),0))</f>
        <v>0</v>
      </c>
      <c r="AD95" s="207">
        <f>+IF($B95&gt;Coverage,0,ROUND(AC95*(1+VLOOKUP(AC$3,Assumption!$H$35:$K$43,2,0))^0.5,0))</f>
        <v>0</v>
      </c>
      <c r="AE95" s="207">
        <f>+IF($B95="",0,(1-VLOOKUP(MIN($B95,6),Assumption!$M$10:$N$16,2))*AD95)</f>
        <v>0</v>
      </c>
      <c r="AF95" s="207">
        <f>+IF($B95&gt;Coverage,0,ROUND((AG94+($F95+$G95-$H95-$Q95)*PML_LF)*(1+VLOOKUP(AF$3,Assumption!$H$35:$K$43,3,0))^0.5-($M95+$R95)*PML_LF-($S95*PML_LF*AG94),0))</f>
        <v>0</v>
      </c>
      <c r="AG95" s="207">
        <f>+IF($B95&gt;Coverage,0,ROUND(AF95*(1+VLOOKUP(AF$3,Assumption!$H$35:$K$43,3,0))^0.5,0))</f>
        <v>0</v>
      </c>
      <c r="AH95" s="207">
        <f>+IF($B95="",0,(1-VLOOKUP(MIN($B95,6),Assumption!$M$10:$N$16,2))*AG95)</f>
        <v>0</v>
      </c>
      <c r="AI95" s="207">
        <f>+IF($B95&gt;Coverage,0,ROUND((AJ94+($F95+$G95-$H95-$Q95)*PML_BF)*(1+VLOOKUP(AI$3,Assumption!$H$35:$K$43,3,0))^0.5-($M95+$R95)*PML_BF-($S95*PML_BF*AJ94),0))</f>
        <v>0</v>
      </c>
      <c r="AJ95" s="207">
        <f>+IF($B95&gt;Coverage,0,ROUND(AI95*(1+VLOOKUP(AI$3,Assumption!$H$35:$K$43,3,0))^0.5,0))</f>
        <v>0</v>
      </c>
      <c r="AK95" s="207">
        <f>+IF($B95="",0,(1-VLOOKUP(MIN($B95,6),Assumption!$M$10:$N$16,2))*AJ95)</f>
        <v>0</v>
      </c>
      <c r="AL95" s="207">
        <f>+IF($B95&gt;Coverage,0,ROUND((AM94+($F95+$G95-$H95-$Q95)*PML_EF)*(1+VLOOKUP(AL$3,Assumption!$H$35:$K$43,3,0))^0.5-($M95+$R95)*PML_EF-($S95*PML_EF*AM94),0))</f>
        <v>0</v>
      </c>
      <c r="AM95" s="207">
        <f>+IF($B95&gt;Coverage,0,ROUND(AL95*(1+VLOOKUP(AL$3,Assumption!$H$35:$K$43,3,0))^0.5,0))</f>
        <v>0</v>
      </c>
      <c r="AN95" s="207">
        <f>+IF($B95="",0,(1-VLOOKUP(MIN($B95,6),Assumption!$M$10:$N$16,2))*AM95)</f>
        <v>0</v>
      </c>
      <c r="AO95" s="207">
        <f>+IF($B95&gt;Coverage,0,ROUND((AP94+($F95+$G95-$H95-$Q95)*PML_FI)*(1+VLOOKUP(AO$3,Assumption!$H$35:$K$43,3,0))^0.5-($M95+$R95)*PML_FI-($S95*PML_FI*AP94),0))</f>
        <v>0</v>
      </c>
      <c r="AP95" s="207">
        <f>+IF($B95&gt;Coverage,0,ROUND(AO95*(1+VLOOKUP(AO$3,Assumption!$H$35:$K$43,3,0))^0.5,0))</f>
        <v>0</v>
      </c>
      <c r="AQ95" s="207">
        <f>+IF($B95="",0,(1-VLOOKUP(MIN($B95,6),Assumption!$M$10:$N$16,2))*AP95)</f>
        <v>0</v>
      </c>
      <c r="AR95" s="207">
        <f>+IF($B95&gt;Coverage,0,ROUND((AS94+($F95+$G95-$H95-$Q95)*PML_LF)*(1+VLOOKUP(AR$3,Assumption!$H$35:$K$43,4,0))^0.5-($M95+$R95)*PML_LF-($S95*PML_LF*AS94),0))</f>
        <v>0</v>
      </c>
      <c r="AS95" s="207">
        <f>+IF($B95&gt;Coverage,0,ROUND(AR95*(1+VLOOKUP(AR$3,Assumption!$H$35:$K$43,4,0))^0.5,0))</f>
        <v>0</v>
      </c>
      <c r="AT95" s="207">
        <f>+IF($B95="",0,(1-VLOOKUP(MIN($B95,6),Assumption!$M$10:$N$16,2))*AS95)</f>
        <v>0</v>
      </c>
      <c r="AU95" s="207">
        <f>+IF($B95&gt;Coverage,0,ROUND((AV94+($F95+$G95-$H95-$Q95)*PML_BF)*(1+VLOOKUP(AU$3,Assumption!$H$35:$K$43,4,0))^0.5-($M95+$R95)*PML_BF-($S95*PML_BF*AV94),0))</f>
        <v>0</v>
      </c>
      <c r="AV95" s="207">
        <f>+IF($B95&gt;Coverage,0,ROUND(AU95*(1+VLOOKUP(AU$3,Assumption!$H$35:$K$43,4,0))^0.5,0))</f>
        <v>0</v>
      </c>
      <c r="AW95" s="207">
        <f>+IF($B95="",0,(1-VLOOKUP(MIN($B95,6),Assumption!$M$10:$N$16,2))*AV95)</f>
        <v>0</v>
      </c>
      <c r="AX95" s="207">
        <f>+IF($B95&gt;Coverage,0,ROUND((AY94+($F95+$G95-$H95-$Q95)*PML_EF)*(1+VLOOKUP(AX$3,Assumption!$H$35:$K$43,4,0))^0.5-($M95+$R95)*PML_EF-($S95*PML_EF*AY94),0))</f>
        <v>0</v>
      </c>
      <c r="AY95" s="207">
        <f>+IF($B95&gt;Coverage,0,ROUND(AX95*(1+VLOOKUP(AX$3,Assumption!$H$35:$K$43,4,0))^0.5,0))</f>
        <v>0</v>
      </c>
      <c r="AZ95" s="207">
        <f>+IF($B95="",0,(1-VLOOKUP(MIN($B95,6),Assumption!$M$10:$N$16,2))*AY95)</f>
        <v>0</v>
      </c>
      <c r="BA95" s="207">
        <f>+IF($B95&gt;Coverage,0,ROUND((BB94+($F95+$G95-$H95-$Q95)*PML_FI)*(1+VLOOKUP(BA$3,Assumption!$H$35:$K$43,4,0))^0.5-($M95+$R95)*PML_FI-($S95*PML_FI*BB94),0))</f>
        <v>0</v>
      </c>
      <c r="BB95" s="207">
        <f>+IF($B95&gt;Coverage,0,ROUND(BA95*(1+VLOOKUP(BA$3,Assumption!$H$35:$K$43,4,0))^0.5,0))</f>
        <v>0</v>
      </c>
      <c r="BC95" s="207">
        <f>+IF($B95="",0,(1-VLOOKUP(MIN($B95,6),Assumption!$M$10:$N$16,2))*BB95)</f>
        <v>0</v>
      </c>
    </row>
    <row r="96" ht="14.25" customHeight="1">
      <c r="A96" s="126">
        <v>89.0</v>
      </c>
      <c r="B96" s="129" t="str">
        <f>+IF(A96&gt;Coverage,"",A96)</f>
        <v/>
      </c>
      <c r="C96" s="134" t="str">
        <f>+IF(B96=1,Insured_Age,IF(B96="","",C95+1))</f>
        <v/>
      </c>
      <c r="D96" s="134" t="str">
        <f>+IF(B96&gt;Coverage,"",IF(B96=1,input!$H$11,D95+1))</f>
        <v/>
      </c>
      <c r="E96" s="134" t="str">
        <f>IF(B96=1,premi_dasar,IF(B96&gt;Coverage,"",0))</f>
        <v/>
      </c>
      <c r="F96" s="134" t="str">
        <f>IF(B96&gt;Coverage,"",SUM(E96))</f>
        <v/>
      </c>
      <c r="G96" s="134" t="str">
        <f>IF(B96&gt;Coverage,"",SUMIFS(input!$E$38:$E$50,input!$C$38:$C$50,$C96))</f>
        <v/>
      </c>
      <c r="H96" s="134" t="str">
        <f>IF(B96&gt;Coverage,"",SUMIFS(input!$E$53:$E$87,input!$C$53:$C$87,$C96))</f>
        <v/>
      </c>
      <c r="I96" s="66" t="str">
        <f>+IF(B96="","",Sum_Assured*VLOOKUP(MIN(C96,10),Assumption!$M$19:$N$28,2,0))</f>
        <v/>
      </c>
      <c r="J96" s="66" t="str">
        <f>IF(B96="","",input!$D$33)</f>
        <v/>
      </c>
      <c r="K96" s="66" t="str">
        <f>IF(B96&gt;Coverage,"",VLOOKUP($C96,COI_Tab[],IF(sex="Male",2,3),0)*I96*(1+EM_Basic)/1000)</f>
        <v/>
      </c>
      <c r="L96" s="66" t="str">
        <f>IF(B96&gt;Coverage,"",VLOOKUP($C96,COI_Tab[],4,0)*J96*(1+EM_Basic)/1000)</f>
        <v/>
      </c>
      <c r="M96" s="207" t="str">
        <f>IF(B96&gt;Coverage,"",ROUND(K96+L96,0))</f>
        <v/>
      </c>
      <c r="N96" s="134" t="str">
        <f>IF(B96&gt;Coverage,"",VLOOKUP($B96,Assumption!$H$11:$I$15,2)*E96)</f>
        <v/>
      </c>
      <c r="O96" s="134" t="str">
        <f>IF(B96&gt;Coverage,"",Assumption!$J$11*$G96)</f>
        <v/>
      </c>
      <c r="P96" s="134" t="str">
        <f>IF(B96&gt;Coverage,"",H96*VLOOKUP(MIN(B96,6),Assumption!$M$11:$N$16,2,0))</f>
        <v/>
      </c>
      <c r="Q96" s="134" t="str">
        <f>IF(B96&gt;Coverage,"",SUM(N96:P96))</f>
        <v/>
      </c>
      <c r="R96" s="207" t="str">
        <f>+IF($B96&gt;Coverage,"",Assumption!$I$18*12)</f>
        <v/>
      </c>
      <c r="S96" s="208" t="str">
        <f>+IF($B96&gt;Coverage,"",Assumption!$I$20)</f>
        <v/>
      </c>
      <c r="T96" s="207">
        <f>+IF($B96&gt;Coverage,0,ROUND((U95+($F96+$G96-$H96-$Q96)*PML_LF)*(1+VLOOKUP(T$3,Assumption!$H$35:$K$43,2,0))^0.5-($M96+$R96)*PML_LF-($S96*PML_LF*U95),0))</f>
        <v>0</v>
      </c>
      <c r="U96" s="207">
        <f>+IF($B96&gt;Coverage,0,ROUND(T96*(1+VLOOKUP(T$3,Assumption!$H$35:$K$43,2,0))^0.5,0))</f>
        <v>0</v>
      </c>
      <c r="V96" s="207">
        <f>+IF($B96="",0,(1-VLOOKUP(MIN($B96,6),Assumption!$M$10:$N$16,2))*U96)</f>
        <v>0</v>
      </c>
      <c r="W96" s="207">
        <f>+IF($B96&gt;Coverage,0,ROUND((X95+($F96+$G96-$H96-$Q96)*PML_BF)*(1+VLOOKUP(W$3,Assumption!$H$35:$K$43,2,0))^0.5-($M96+$R96)*PML_BF-($S96*PML_BF*X95),0))</f>
        <v>0</v>
      </c>
      <c r="X96" s="207">
        <f>+IF($B96&gt;Coverage,0,ROUND(W96*(1+VLOOKUP(W$3,Assumption!$H$35:$K$43,2,0))^0.5,0))</f>
        <v>0</v>
      </c>
      <c r="Y96" s="207">
        <f>+IF($B96="",0,(1-VLOOKUP(MIN($B96,6),Assumption!$M$10:$N$16,2))*X96)</f>
        <v>0</v>
      </c>
      <c r="Z96" s="207">
        <f>+IF($B96&gt;Coverage,0,ROUND((AA95+($F96+$G96-$H96-$Q96)*PML_EF)*(1+VLOOKUP(Z$3,Assumption!$H$35:$K$43,2,0))^0.5-($M96+$R96)*PML_EF-($S96*PML_EF*AA95),0))</f>
        <v>0</v>
      </c>
      <c r="AA96" s="207">
        <f>+IF($B96&gt;Coverage,0,ROUND(Z96*(1+VLOOKUP(Z$3,Assumption!$H$35:$K$43,2,0))^0.5,0))</f>
        <v>0</v>
      </c>
      <c r="AB96" s="207">
        <f>+IF($B96="",0,(1-VLOOKUP(MIN($B96,6),Assumption!$M$10:$N$16,2))*AA96)</f>
        <v>0</v>
      </c>
      <c r="AC96" s="207">
        <f>+IF($B96&gt;Coverage,0,ROUND((AD95+($F96+$G96-$H96-$Q96)*PML_FI)*(1+VLOOKUP(AC$3,Assumption!$H$35:$K$43,2,0))^0.5-($M96+$R96)*PML_FI-($S96*PML_FI*AD95),0))</f>
        <v>0</v>
      </c>
      <c r="AD96" s="207">
        <f>+IF($B96&gt;Coverage,0,ROUND(AC96*(1+VLOOKUP(AC$3,Assumption!$H$35:$K$43,2,0))^0.5,0))</f>
        <v>0</v>
      </c>
      <c r="AE96" s="207">
        <f>+IF($B96="",0,(1-VLOOKUP(MIN($B96,6),Assumption!$M$10:$N$16,2))*AD96)</f>
        <v>0</v>
      </c>
      <c r="AF96" s="207">
        <f>+IF($B96&gt;Coverage,0,ROUND((AG95+($F96+$G96-$H96-$Q96)*PML_LF)*(1+VLOOKUP(AF$3,Assumption!$H$35:$K$43,3,0))^0.5-($M96+$R96)*PML_LF-($S96*PML_LF*AG95),0))</f>
        <v>0</v>
      </c>
      <c r="AG96" s="207">
        <f>+IF($B96&gt;Coverage,0,ROUND(AF96*(1+VLOOKUP(AF$3,Assumption!$H$35:$K$43,3,0))^0.5,0))</f>
        <v>0</v>
      </c>
      <c r="AH96" s="207">
        <f>+IF($B96="",0,(1-VLOOKUP(MIN($B96,6),Assumption!$M$10:$N$16,2))*AG96)</f>
        <v>0</v>
      </c>
      <c r="AI96" s="207">
        <f>+IF($B96&gt;Coverage,0,ROUND((AJ95+($F96+$G96-$H96-$Q96)*PML_BF)*(1+VLOOKUP(AI$3,Assumption!$H$35:$K$43,3,0))^0.5-($M96+$R96)*PML_BF-($S96*PML_BF*AJ95),0))</f>
        <v>0</v>
      </c>
      <c r="AJ96" s="207">
        <f>+IF($B96&gt;Coverage,0,ROUND(AI96*(1+VLOOKUP(AI$3,Assumption!$H$35:$K$43,3,0))^0.5,0))</f>
        <v>0</v>
      </c>
      <c r="AK96" s="207">
        <f>+IF($B96="",0,(1-VLOOKUP(MIN($B96,6),Assumption!$M$10:$N$16,2))*AJ96)</f>
        <v>0</v>
      </c>
      <c r="AL96" s="207">
        <f>+IF($B96&gt;Coverage,0,ROUND((AM95+($F96+$G96-$H96-$Q96)*PML_EF)*(1+VLOOKUP(AL$3,Assumption!$H$35:$K$43,3,0))^0.5-($M96+$R96)*PML_EF-($S96*PML_EF*AM95),0))</f>
        <v>0</v>
      </c>
      <c r="AM96" s="207">
        <f>+IF($B96&gt;Coverage,0,ROUND(AL96*(1+VLOOKUP(AL$3,Assumption!$H$35:$K$43,3,0))^0.5,0))</f>
        <v>0</v>
      </c>
      <c r="AN96" s="207">
        <f>+IF($B96="",0,(1-VLOOKUP(MIN($B96,6),Assumption!$M$10:$N$16,2))*AM96)</f>
        <v>0</v>
      </c>
      <c r="AO96" s="207">
        <f>+IF($B96&gt;Coverage,0,ROUND((AP95+($F96+$G96-$H96-$Q96)*PML_FI)*(1+VLOOKUP(AO$3,Assumption!$H$35:$K$43,3,0))^0.5-($M96+$R96)*PML_FI-($S96*PML_FI*AP95),0))</f>
        <v>0</v>
      </c>
      <c r="AP96" s="207">
        <f>+IF($B96&gt;Coverage,0,ROUND(AO96*(1+VLOOKUP(AO$3,Assumption!$H$35:$K$43,3,0))^0.5,0))</f>
        <v>0</v>
      </c>
      <c r="AQ96" s="207">
        <f>+IF($B96="",0,(1-VLOOKUP(MIN($B96,6),Assumption!$M$10:$N$16,2))*AP96)</f>
        <v>0</v>
      </c>
      <c r="AR96" s="207">
        <f>+IF($B96&gt;Coverage,0,ROUND((AS95+($F96+$G96-$H96-$Q96)*PML_LF)*(1+VLOOKUP(AR$3,Assumption!$H$35:$K$43,4,0))^0.5-($M96+$R96)*PML_LF-($S96*PML_LF*AS95),0))</f>
        <v>0</v>
      </c>
      <c r="AS96" s="207">
        <f>+IF($B96&gt;Coverage,0,ROUND(AR96*(1+VLOOKUP(AR$3,Assumption!$H$35:$K$43,4,0))^0.5,0))</f>
        <v>0</v>
      </c>
      <c r="AT96" s="207">
        <f>+IF($B96="",0,(1-VLOOKUP(MIN($B96,6),Assumption!$M$10:$N$16,2))*AS96)</f>
        <v>0</v>
      </c>
      <c r="AU96" s="207">
        <f>+IF($B96&gt;Coverage,0,ROUND((AV95+($F96+$G96-$H96-$Q96)*PML_BF)*(1+VLOOKUP(AU$3,Assumption!$H$35:$K$43,4,0))^0.5-($M96+$R96)*PML_BF-($S96*PML_BF*AV95),0))</f>
        <v>0</v>
      </c>
      <c r="AV96" s="207">
        <f>+IF($B96&gt;Coverage,0,ROUND(AU96*(1+VLOOKUP(AU$3,Assumption!$H$35:$K$43,4,0))^0.5,0))</f>
        <v>0</v>
      </c>
      <c r="AW96" s="207">
        <f>+IF($B96="",0,(1-VLOOKUP(MIN($B96,6),Assumption!$M$10:$N$16,2))*AV96)</f>
        <v>0</v>
      </c>
      <c r="AX96" s="207">
        <f>+IF($B96&gt;Coverage,0,ROUND((AY95+($F96+$G96-$H96-$Q96)*PML_EF)*(1+VLOOKUP(AX$3,Assumption!$H$35:$K$43,4,0))^0.5-($M96+$R96)*PML_EF-($S96*PML_EF*AY95),0))</f>
        <v>0</v>
      </c>
      <c r="AY96" s="207">
        <f>+IF($B96&gt;Coverage,0,ROUND(AX96*(1+VLOOKUP(AX$3,Assumption!$H$35:$K$43,4,0))^0.5,0))</f>
        <v>0</v>
      </c>
      <c r="AZ96" s="207">
        <f>+IF($B96="",0,(1-VLOOKUP(MIN($B96,6),Assumption!$M$10:$N$16,2))*AY96)</f>
        <v>0</v>
      </c>
      <c r="BA96" s="207">
        <f>+IF($B96&gt;Coverage,0,ROUND((BB95+($F96+$G96-$H96-$Q96)*PML_FI)*(1+VLOOKUP(BA$3,Assumption!$H$35:$K$43,4,0))^0.5-($M96+$R96)*PML_FI-($S96*PML_FI*BB95),0))</f>
        <v>0</v>
      </c>
      <c r="BB96" s="207">
        <f>+IF($B96&gt;Coverage,0,ROUND(BA96*(1+VLOOKUP(BA$3,Assumption!$H$35:$K$43,4,0))^0.5,0))</f>
        <v>0</v>
      </c>
      <c r="BC96" s="207">
        <f>+IF($B96="",0,(1-VLOOKUP(MIN($B96,6),Assumption!$M$10:$N$16,2))*BB96)</f>
        <v>0</v>
      </c>
    </row>
    <row r="97" ht="14.25" customHeight="1">
      <c r="A97" s="126">
        <v>90.0</v>
      </c>
      <c r="B97" s="129" t="str">
        <f>+IF(A97&gt;Coverage,"",A97)</f>
        <v/>
      </c>
      <c r="C97" s="134" t="str">
        <f>+IF(B97=1,Insured_Age,IF(B97="","",C96+1))</f>
        <v/>
      </c>
      <c r="D97" s="134" t="str">
        <f>+IF(B97&gt;Coverage,"",IF(B97=1,input!$H$11,D96+1))</f>
        <v/>
      </c>
      <c r="E97" s="134" t="str">
        <f>IF(B97=1,premi_dasar,IF(B97&gt;Coverage,"",0))</f>
        <v/>
      </c>
      <c r="F97" s="134" t="str">
        <f>IF(B97&gt;Coverage,"",SUM(E97))</f>
        <v/>
      </c>
      <c r="G97" s="134" t="str">
        <f>IF(B97&gt;Coverage,"",SUMIFS(input!$E$38:$E$50,input!$C$38:$C$50,$C97))</f>
        <v/>
      </c>
      <c r="H97" s="134" t="str">
        <f>IF(B97&gt;Coverage,"",SUMIFS(input!$E$53:$E$87,input!$C$53:$C$87,$C97))</f>
        <v/>
      </c>
      <c r="I97" s="66" t="str">
        <f>+IF(B97="","",Sum_Assured*VLOOKUP(MIN(C97,10),Assumption!$M$19:$N$28,2,0))</f>
        <v/>
      </c>
      <c r="J97" s="66" t="str">
        <f>IF(B97="","",input!$D$33)</f>
        <v/>
      </c>
      <c r="K97" s="66" t="str">
        <f>IF(B97&gt;Coverage,"",VLOOKUP($C97,COI_Tab[],IF(sex="Male",2,3),0)*I97*(1+EM_Basic)/1000)</f>
        <v/>
      </c>
      <c r="L97" s="66" t="str">
        <f>IF(B97&gt;Coverage,"",VLOOKUP($C97,COI_Tab[],4,0)*J97*(1+EM_Basic)/1000)</f>
        <v/>
      </c>
      <c r="M97" s="207" t="str">
        <f>IF(B97&gt;Coverage,"",ROUND(K97+L97,0))</f>
        <v/>
      </c>
      <c r="N97" s="134" t="str">
        <f>IF(B97&gt;Coverage,"",VLOOKUP($B97,Assumption!$H$11:$I$15,2)*E97)</f>
        <v/>
      </c>
      <c r="O97" s="134" t="str">
        <f>IF(B97&gt;Coverage,"",Assumption!$J$11*$G97)</f>
        <v/>
      </c>
      <c r="P97" s="134" t="str">
        <f>IF(B97&gt;Coverage,"",H97*VLOOKUP(MIN(B97,6),Assumption!$M$11:$N$16,2,0))</f>
        <v/>
      </c>
      <c r="Q97" s="134" t="str">
        <f>IF(B97&gt;Coverage,"",SUM(N97:P97))</f>
        <v/>
      </c>
      <c r="R97" s="207" t="str">
        <f>+IF($B97&gt;Coverage,"",Assumption!$I$18*12)</f>
        <v/>
      </c>
      <c r="S97" s="208" t="str">
        <f>+IF($B97&gt;Coverage,"",Assumption!$I$20)</f>
        <v/>
      </c>
      <c r="T97" s="207">
        <f>+IF($B97&gt;Coverage,0,ROUND((U96+($F97+$G97-$H97-$Q97)*PML_LF)*(1+VLOOKUP(T$3,Assumption!$H$35:$K$43,2,0))^0.5-($M97+$R97)*PML_LF-($S97*PML_LF*U96),0))</f>
        <v>0</v>
      </c>
      <c r="U97" s="207">
        <f>+IF($B97&gt;Coverage,0,ROUND(T97*(1+VLOOKUP(T$3,Assumption!$H$35:$K$43,2,0))^0.5,0))</f>
        <v>0</v>
      </c>
      <c r="V97" s="207">
        <f>+IF($B97="",0,(1-VLOOKUP(MIN($B97,6),Assumption!$M$10:$N$16,2))*U97)</f>
        <v>0</v>
      </c>
      <c r="W97" s="207">
        <f>+IF($B97&gt;Coverage,0,ROUND((X96+($F97+$G97-$H97-$Q97)*PML_BF)*(1+VLOOKUP(W$3,Assumption!$H$35:$K$43,2,0))^0.5-($M97+$R97)*PML_BF-($S97*PML_BF*X96),0))</f>
        <v>0</v>
      </c>
      <c r="X97" s="207">
        <f>+IF($B97&gt;Coverage,0,ROUND(W97*(1+VLOOKUP(W$3,Assumption!$H$35:$K$43,2,0))^0.5,0))</f>
        <v>0</v>
      </c>
      <c r="Y97" s="207">
        <f>+IF($B97="",0,(1-VLOOKUP(MIN($B97,6),Assumption!$M$10:$N$16,2))*X97)</f>
        <v>0</v>
      </c>
      <c r="Z97" s="207">
        <f>+IF($B97&gt;Coverage,0,ROUND((AA96+($F97+$G97-$H97-$Q97)*PML_EF)*(1+VLOOKUP(Z$3,Assumption!$H$35:$K$43,2,0))^0.5-($M97+$R97)*PML_EF-($S97*PML_EF*AA96),0))</f>
        <v>0</v>
      </c>
      <c r="AA97" s="207">
        <f>+IF($B97&gt;Coverage,0,ROUND(Z97*(1+VLOOKUP(Z$3,Assumption!$H$35:$K$43,2,0))^0.5,0))</f>
        <v>0</v>
      </c>
      <c r="AB97" s="207">
        <f>+IF($B97="",0,(1-VLOOKUP(MIN($B97,6),Assumption!$M$10:$N$16,2))*AA97)</f>
        <v>0</v>
      </c>
      <c r="AC97" s="207">
        <f>+IF($B97&gt;Coverage,0,ROUND((AD96+($F97+$G97-$H97-$Q97)*PML_FI)*(1+VLOOKUP(AC$3,Assumption!$H$35:$K$43,2,0))^0.5-($M97+$R97)*PML_FI-($S97*PML_FI*AD96),0))</f>
        <v>0</v>
      </c>
      <c r="AD97" s="207">
        <f>+IF($B97&gt;Coverage,0,ROUND(AC97*(1+VLOOKUP(AC$3,Assumption!$H$35:$K$43,2,0))^0.5,0))</f>
        <v>0</v>
      </c>
      <c r="AE97" s="207">
        <f>+IF($B97="",0,(1-VLOOKUP(MIN($B97,6),Assumption!$M$10:$N$16,2))*AD97)</f>
        <v>0</v>
      </c>
      <c r="AF97" s="207">
        <f>+IF($B97&gt;Coverage,0,ROUND((AG96+($F97+$G97-$H97-$Q97)*PML_LF)*(1+VLOOKUP(AF$3,Assumption!$H$35:$K$43,3,0))^0.5-($M97+$R97)*PML_LF-($S97*PML_LF*AG96),0))</f>
        <v>0</v>
      </c>
      <c r="AG97" s="207">
        <f>+IF($B97&gt;Coverage,0,ROUND(AF97*(1+VLOOKUP(AF$3,Assumption!$H$35:$K$43,3,0))^0.5,0))</f>
        <v>0</v>
      </c>
      <c r="AH97" s="207">
        <f>+IF($B97="",0,(1-VLOOKUP(MIN($B97,6),Assumption!$M$10:$N$16,2))*AG97)</f>
        <v>0</v>
      </c>
      <c r="AI97" s="207">
        <f>+IF($B97&gt;Coverage,0,ROUND((AJ96+($F97+$G97-$H97-$Q97)*PML_BF)*(1+VLOOKUP(AI$3,Assumption!$H$35:$K$43,3,0))^0.5-($M97+$R97)*PML_BF-($S97*PML_BF*AJ96),0))</f>
        <v>0</v>
      </c>
      <c r="AJ97" s="207">
        <f>+IF($B97&gt;Coverage,0,ROUND(AI97*(1+VLOOKUP(AI$3,Assumption!$H$35:$K$43,3,0))^0.5,0))</f>
        <v>0</v>
      </c>
      <c r="AK97" s="207">
        <f>+IF($B97="",0,(1-VLOOKUP(MIN($B97,6),Assumption!$M$10:$N$16,2))*AJ97)</f>
        <v>0</v>
      </c>
      <c r="AL97" s="207">
        <f>+IF($B97&gt;Coverage,0,ROUND((AM96+($F97+$G97-$H97-$Q97)*PML_EF)*(1+VLOOKUP(AL$3,Assumption!$H$35:$K$43,3,0))^0.5-($M97+$R97)*PML_EF-($S97*PML_EF*AM96),0))</f>
        <v>0</v>
      </c>
      <c r="AM97" s="207">
        <f>+IF($B97&gt;Coverage,0,ROUND(AL97*(1+VLOOKUP(AL$3,Assumption!$H$35:$K$43,3,0))^0.5,0))</f>
        <v>0</v>
      </c>
      <c r="AN97" s="207">
        <f>+IF($B97="",0,(1-VLOOKUP(MIN($B97,6),Assumption!$M$10:$N$16,2))*AM97)</f>
        <v>0</v>
      </c>
      <c r="AO97" s="207">
        <f>+IF($B97&gt;Coverage,0,ROUND((AP96+($F97+$G97-$H97-$Q97)*PML_FI)*(1+VLOOKUP(AO$3,Assumption!$H$35:$K$43,3,0))^0.5-($M97+$R97)*PML_FI-($S97*PML_FI*AP96),0))</f>
        <v>0</v>
      </c>
      <c r="AP97" s="207">
        <f>+IF($B97&gt;Coverage,0,ROUND(AO97*(1+VLOOKUP(AO$3,Assumption!$H$35:$K$43,3,0))^0.5,0))</f>
        <v>0</v>
      </c>
      <c r="AQ97" s="207">
        <f>+IF($B97="",0,(1-VLOOKUP(MIN($B97,6),Assumption!$M$10:$N$16,2))*AP97)</f>
        <v>0</v>
      </c>
      <c r="AR97" s="207">
        <f>+IF($B97&gt;Coverage,0,ROUND((AS96+($F97+$G97-$H97-$Q97)*PML_LF)*(1+VLOOKUP(AR$3,Assumption!$H$35:$K$43,4,0))^0.5-($M97+$R97)*PML_LF-($S97*PML_LF*AS96),0))</f>
        <v>0</v>
      </c>
      <c r="AS97" s="207">
        <f>+IF($B97&gt;Coverage,0,ROUND(AR97*(1+VLOOKUP(AR$3,Assumption!$H$35:$K$43,4,0))^0.5,0))</f>
        <v>0</v>
      </c>
      <c r="AT97" s="207">
        <f>+IF($B97="",0,(1-VLOOKUP(MIN($B97,6),Assumption!$M$10:$N$16,2))*AS97)</f>
        <v>0</v>
      </c>
      <c r="AU97" s="207">
        <f>+IF($B97&gt;Coverage,0,ROUND((AV96+($F97+$G97-$H97-$Q97)*PML_BF)*(1+VLOOKUP(AU$3,Assumption!$H$35:$K$43,4,0))^0.5-($M97+$R97)*PML_BF-($S97*PML_BF*AV96),0))</f>
        <v>0</v>
      </c>
      <c r="AV97" s="207">
        <f>+IF($B97&gt;Coverage,0,ROUND(AU97*(1+VLOOKUP(AU$3,Assumption!$H$35:$K$43,4,0))^0.5,0))</f>
        <v>0</v>
      </c>
      <c r="AW97" s="207">
        <f>+IF($B97="",0,(1-VLOOKUP(MIN($B97,6),Assumption!$M$10:$N$16,2))*AV97)</f>
        <v>0</v>
      </c>
      <c r="AX97" s="207">
        <f>+IF($B97&gt;Coverage,0,ROUND((AY96+($F97+$G97-$H97-$Q97)*PML_EF)*(1+VLOOKUP(AX$3,Assumption!$H$35:$K$43,4,0))^0.5-($M97+$R97)*PML_EF-($S97*PML_EF*AY96),0))</f>
        <v>0</v>
      </c>
      <c r="AY97" s="207">
        <f>+IF($B97&gt;Coverage,0,ROUND(AX97*(1+VLOOKUP(AX$3,Assumption!$H$35:$K$43,4,0))^0.5,0))</f>
        <v>0</v>
      </c>
      <c r="AZ97" s="207">
        <f>+IF($B97="",0,(1-VLOOKUP(MIN($B97,6),Assumption!$M$10:$N$16,2))*AY97)</f>
        <v>0</v>
      </c>
      <c r="BA97" s="207">
        <f>+IF($B97&gt;Coverage,0,ROUND((BB96+($F97+$G97-$H97-$Q97)*PML_FI)*(1+VLOOKUP(BA$3,Assumption!$H$35:$K$43,4,0))^0.5-($M97+$R97)*PML_FI-($S97*PML_FI*BB96),0))</f>
        <v>0</v>
      </c>
      <c r="BB97" s="207">
        <f>+IF($B97&gt;Coverage,0,ROUND(BA97*(1+VLOOKUP(BA$3,Assumption!$H$35:$K$43,4,0))^0.5,0))</f>
        <v>0</v>
      </c>
      <c r="BC97" s="207">
        <f>+IF($B97="",0,(1-VLOOKUP(MIN($B97,6),Assumption!$M$10:$N$16,2))*BB97)</f>
        <v>0</v>
      </c>
    </row>
    <row r="98" ht="14.25" customHeight="1">
      <c r="A98" s="126">
        <v>91.0</v>
      </c>
      <c r="B98" s="129" t="str">
        <f>+IF(A98&gt;Coverage,"",A98)</f>
        <v/>
      </c>
      <c r="C98" s="134" t="str">
        <f>+IF(B98=1,Insured_Age,IF(B98="","",C97+1))</f>
        <v/>
      </c>
      <c r="D98" s="134" t="str">
        <f>+IF(B98&gt;Coverage,"",IF(B98=1,input!$H$11,D97+1))</f>
        <v/>
      </c>
      <c r="E98" s="134" t="str">
        <f>IF(B98=1,premi_dasar,IF(B98&gt;Coverage,"",0))</f>
        <v/>
      </c>
      <c r="F98" s="134" t="str">
        <f>IF(B98&gt;Coverage,"",SUM(E98))</f>
        <v/>
      </c>
      <c r="G98" s="134" t="str">
        <f>IF(B98&gt;Coverage,"",SUMIFS(input!$E$38:$E$50,input!$C$38:$C$50,$C98))</f>
        <v/>
      </c>
      <c r="H98" s="134" t="str">
        <f>IF(B98&gt;Coverage,"",SUMIFS(input!$E$53:$E$87,input!$C$53:$C$87,$C98))</f>
        <v/>
      </c>
      <c r="I98" s="66" t="str">
        <f>+IF(B98="","",Sum_Assured*VLOOKUP(MIN(C98,10),Assumption!$M$19:$N$28,2,0))</f>
        <v/>
      </c>
      <c r="J98" s="66" t="str">
        <f>IF(B98="","",input!$D$33)</f>
        <v/>
      </c>
      <c r="K98" s="66" t="str">
        <f>IF(B98&gt;Coverage,"",VLOOKUP($C98,COI_Tab[],IF(sex="Male",2,3),0)*I98*(1+EM_Basic)/1000)</f>
        <v/>
      </c>
      <c r="L98" s="66" t="str">
        <f>IF(B98&gt;Coverage,"",VLOOKUP($C98,COI_Tab[],4,0)*J98*(1+EM_Basic)/1000)</f>
        <v/>
      </c>
      <c r="M98" s="207" t="str">
        <f>IF(B98&gt;Coverage,"",ROUND(K98+L98,0))</f>
        <v/>
      </c>
      <c r="N98" s="134" t="str">
        <f>IF(B98&gt;Coverage,"",VLOOKUP($B98,Assumption!$H$11:$I$15,2)*E98)</f>
        <v/>
      </c>
      <c r="O98" s="134" t="str">
        <f>IF(B98&gt;Coverage,"",Assumption!$J$11*$G98)</f>
        <v/>
      </c>
      <c r="P98" s="134" t="str">
        <f>IF(B98&gt;Coverage,"",H98*VLOOKUP(MIN(B98,6),Assumption!$M$11:$N$16,2,0))</f>
        <v/>
      </c>
      <c r="Q98" s="134" t="str">
        <f>IF(B98&gt;Coverage,"",SUM(N98:P98))</f>
        <v/>
      </c>
      <c r="R98" s="207" t="str">
        <f>+IF($B98&gt;Coverage,"",Assumption!$I$18*12)</f>
        <v/>
      </c>
      <c r="S98" s="208" t="str">
        <f>+IF($B98&gt;Coverage,"",Assumption!$I$20)</f>
        <v/>
      </c>
      <c r="T98" s="207">
        <f>+IF($B98&gt;Coverage,0,ROUND((U97+($F98+$G98-$H98-$Q98)*PML_LF)*(1+VLOOKUP(T$3,Assumption!$H$35:$K$43,2,0))^0.5-($M98+$R98)*PML_LF-($S98*PML_LF*U97),0))</f>
        <v>0</v>
      </c>
      <c r="U98" s="207">
        <f>+IF($B98&gt;Coverage,0,ROUND(T98*(1+VLOOKUP(T$3,Assumption!$H$35:$K$43,2,0))^0.5,0))</f>
        <v>0</v>
      </c>
      <c r="V98" s="207">
        <f>+IF($B98="",0,(1-VLOOKUP(MIN($B98,6),Assumption!$M$10:$N$16,2))*U98)</f>
        <v>0</v>
      </c>
      <c r="W98" s="207">
        <f>+IF($B98&gt;Coverage,0,ROUND((X97+($F98+$G98-$H98-$Q98)*PML_BF)*(1+VLOOKUP(W$3,Assumption!$H$35:$K$43,2,0))^0.5-($M98+$R98)*PML_BF-($S98*PML_BF*X97),0))</f>
        <v>0</v>
      </c>
      <c r="X98" s="207">
        <f>+IF($B98&gt;Coverage,0,ROUND(W98*(1+VLOOKUP(W$3,Assumption!$H$35:$K$43,2,0))^0.5,0))</f>
        <v>0</v>
      </c>
      <c r="Y98" s="207">
        <f>+IF($B98="",0,(1-VLOOKUP(MIN($B98,6),Assumption!$M$10:$N$16,2))*X98)</f>
        <v>0</v>
      </c>
      <c r="Z98" s="207">
        <f>+IF($B98&gt;Coverage,0,ROUND((AA97+($F98+$G98-$H98-$Q98)*PML_EF)*(1+VLOOKUP(Z$3,Assumption!$H$35:$K$43,2,0))^0.5-($M98+$R98)*PML_EF-($S98*PML_EF*AA97),0))</f>
        <v>0</v>
      </c>
      <c r="AA98" s="207">
        <f>+IF($B98&gt;Coverage,0,ROUND(Z98*(1+VLOOKUP(Z$3,Assumption!$H$35:$K$43,2,0))^0.5,0))</f>
        <v>0</v>
      </c>
      <c r="AB98" s="207">
        <f>+IF($B98="",0,(1-VLOOKUP(MIN($B98,6),Assumption!$M$10:$N$16,2))*AA98)</f>
        <v>0</v>
      </c>
      <c r="AC98" s="207">
        <f>+IF($B98&gt;Coverage,0,ROUND((AD97+($F98+$G98-$H98-$Q98)*PML_FI)*(1+VLOOKUP(AC$3,Assumption!$H$35:$K$43,2,0))^0.5-($M98+$R98)*PML_FI-($S98*PML_FI*AD97),0))</f>
        <v>0</v>
      </c>
      <c r="AD98" s="207">
        <f>+IF($B98&gt;Coverage,0,ROUND(AC98*(1+VLOOKUP(AC$3,Assumption!$H$35:$K$43,2,0))^0.5,0))</f>
        <v>0</v>
      </c>
      <c r="AE98" s="207">
        <f>+IF($B98="",0,(1-VLOOKUP(MIN($B98,6),Assumption!$M$10:$N$16,2))*AD98)</f>
        <v>0</v>
      </c>
      <c r="AF98" s="207">
        <f>+IF($B98&gt;Coverage,0,ROUND((AG97+($F98+$G98-$H98-$Q98)*PML_LF)*(1+VLOOKUP(AF$3,Assumption!$H$35:$K$43,3,0))^0.5-($M98+$R98)*PML_LF-($S98*PML_LF*AG97),0))</f>
        <v>0</v>
      </c>
      <c r="AG98" s="207">
        <f>+IF($B98&gt;Coverage,0,ROUND(AF98*(1+VLOOKUP(AF$3,Assumption!$H$35:$K$43,3,0))^0.5,0))</f>
        <v>0</v>
      </c>
      <c r="AH98" s="207">
        <f>+IF($B98="",0,(1-VLOOKUP(MIN($B98,6),Assumption!$M$10:$N$16,2))*AG98)</f>
        <v>0</v>
      </c>
      <c r="AI98" s="207">
        <f>+IF($B98&gt;Coverage,0,ROUND((AJ97+($F98+$G98-$H98-$Q98)*PML_BF)*(1+VLOOKUP(AI$3,Assumption!$H$35:$K$43,3,0))^0.5-($M98+$R98)*PML_BF-($S98*PML_BF*AJ97),0))</f>
        <v>0</v>
      </c>
      <c r="AJ98" s="207">
        <f>+IF($B98&gt;Coverage,0,ROUND(AI98*(1+VLOOKUP(AI$3,Assumption!$H$35:$K$43,3,0))^0.5,0))</f>
        <v>0</v>
      </c>
      <c r="AK98" s="207">
        <f>+IF($B98="",0,(1-VLOOKUP(MIN($B98,6),Assumption!$M$10:$N$16,2))*AJ98)</f>
        <v>0</v>
      </c>
      <c r="AL98" s="207">
        <f>+IF($B98&gt;Coverage,0,ROUND((AM97+($F98+$G98-$H98-$Q98)*PML_EF)*(1+VLOOKUP(AL$3,Assumption!$H$35:$K$43,3,0))^0.5-($M98+$R98)*PML_EF-($S98*PML_EF*AM97),0))</f>
        <v>0</v>
      </c>
      <c r="AM98" s="207">
        <f>+IF($B98&gt;Coverage,0,ROUND(AL98*(1+VLOOKUP(AL$3,Assumption!$H$35:$K$43,3,0))^0.5,0))</f>
        <v>0</v>
      </c>
      <c r="AN98" s="207">
        <f>+IF($B98="",0,(1-VLOOKUP(MIN($B98,6),Assumption!$M$10:$N$16,2))*AM98)</f>
        <v>0</v>
      </c>
      <c r="AO98" s="207">
        <f>+IF($B98&gt;Coverage,0,ROUND((AP97+($F98+$G98-$H98-$Q98)*PML_FI)*(1+VLOOKUP(AO$3,Assumption!$H$35:$K$43,3,0))^0.5-($M98+$R98)*PML_FI-($S98*PML_FI*AP97),0))</f>
        <v>0</v>
      </c>
      <c r="AP98" s="207">
        <f>+IF($B98&gt;Coverage,0,ROUND(AO98*(1+VLOOKUP(AO$3,Assumption!$H$35:$K$43,3,0))^0.5,0))</f>
        <v>0</v>
      </c>
      <c r="AQ98" s="207">
        <f>+IF($B98="",0,(1-VLOOKUP(MIN($B98,6),Assumption!$M$10:$N$16,2))*AP98)</f>
        <v>0</v>
      </c>
      <c r="AR98" s="207">
        <f>+IF($B98&gt;Coverage,0,ROUND((AS97+($F98+$G98-$H98-$Q98)*PML_LF)*(1+VLOOKUP(AR$3,Assumption!$H$35:$K$43,4,0))^0.5-($M98+$R98)*PML_LF-($S98*PML_LF*AS97),0))</f>
        <v>0</v>
      </c>
      <c r="AS98" s="207">
        <f>+IF($B98&gt;Coverage,0,ROUND(AR98*(1+VLOOKUP(AR$3,Assumption!$H$35:$K$43,4,0))^0.5,0))</f>
        <v>0</v>
      </c>
      <c r="AT98" s="207">
        <f>+IF($B98="",0,(1-VLOOKUP(MIN($B98,6),Assumption!$M$10:$N$16,2))*AS98)</f>
        <v>0</v>
      </c>
      <c r="AU98" s="207">
        <f>+IF($B98&gt;Coverage,0,ROUND((AV97+($F98+$G98-$H98-$Q98)*PML_BF)*(1+VLOOKUP(AU$3,Assumption!$H$35:$K$43,4,0))^0.5-($M98+$R98)*PML_BF-($S98*PML_BF*AV97),0))</f>
        <v>0</v>
      </c>
      <c r="AV98" s="207">
        <f>+IF($B98&gt;Coverage,0,ROUND(AU98*(1+VLOOKUP(AU$3,Assumption!$H$35:$K$43,4,0))^0.5,0))</f>
        <v>0</v>
      </c>
      <c r="AW98" s="207">
        <f>+IF($B98="",0,(1-VLOOKUP(MIN($B98,6),Assumption!$M$10:$N$16,2))*AV98)</f>
        <v>0</v>
      </c>
      <c r="AX98" s="207">
        <f>+IF($B98&gt;Coverage,0,ROUND((AY97+($F98+$G98-$H98-$Q98)*PML_EF)*(1+VLOOKUP(AX$3,Assumption!$H$35:$K$43,4,0))^0.5-($M98+$R98)*PML_EF-($S98*PML_EF*AY97),0))</f>
        <v>0</v>
      </c>
      <c r="AY98" s="207">
        <f>+IF($B98&gt;Coverage,0,ROUND(AX98*(1+VLOOKUP(AX$3,Assumption!$H$35:$K$43,4,0))^0.5,0))</f>
        <v>0</v>
      </c>
      <c r="AZ98" s="207">
        <f>+IF($B98="",0,(1-VLOOKUP(MIN($B98,6),Assumption!$M$10:$N$16,2))*AY98)</f>
        <v>0</v>
      </c>
      <c r="BA98" s="207">
        <f>+IF($B98&gt;Coverage,0,ROUND((BB97+($F98+$G98-$H98-$Q98)*PML_FI)*(1+VLOOKUP(BA$3,Assumption!$H$35:$K$43,4,0))^0.5-($M98+$R98)*PML_FI-($S98*PML_FI*BB97),0))</f>
        <v>0</v>
      </c>
      <c r="BB98" s="207">
        <f>+IF($B98&gt;Coverage,0,ROUND(BA98*(1+VLOOKUP(BA$3,Assumption!$H$35:$K$43,4,0))^0.5,0))</f>
        <v>0</v>
      </c>
      <c r="BC98" s="207">
        <f>+IF($B98="",0,(1-VLOOKUP(MIN($B98,6),Assumption!$M$10:$N$16,2))*BB98)</f>
        <v>0</v>
      </c>
    </row>
    <row r="99" ht="14.25" customHeight="1">
      <c r="A99" s="126">
        <v>92.0</v>
      </c>
      <c r="B99" s="129" t="str">
        <f>+IF(A99&gt;Coverage,"",A99)</f>
        <v/>
      </c>
      <c r="C99" s="134" t="str">
        <f>+IF(B99=1,Insured_Age,IF(B99="","",C98+1))</f>
        <v/>
      </c>
      <c r="D99" s="134" t="str">
        <f>+IF(B99&gt;Coverage,"",IF(B99=1,input!$H$11,D98+1))</f>
        <v/>
      </c>
      <c r="E99" s="134" t="str">
        <f>IF(B99=1,premi_dasar,IF(B99&gt;Coverage,"",0))</f>
        <v/>
      </c>
      <c r="F99" s="134" t="str">
        <f>IF(B99&gt;Coverage,"",SUM(E99))</f>
        <v/>
      </c>
      <c r="G99" s="134" t="str">
        <f>IF(B99&gt;Coverage,"",SUMIFS(input!$E$38:$E$50,input!$C$38:$C$50,$C99))</f>
        <v/>
      </c>
      <c r="H99" s="134" t="str">
        <f>IF(B99&gt;Coverage,"",SUMIFS(input!$E$53:$E$87,input!$C$53:$C$87,$C99))</f>
        <v/>
      </c>
      <c r="I99" s="66" t="str">
        <f>+IF(B99="","",Sum_Assured*VLOOKUP(MIN(C99,10),Assumption!$M$19:$N$28,2,0))</f>
        <v/>
      </c>
      <c r="J99" s="66" t="str">
        <f>IF(B99="","",input!$D$33)</f>
        <v/>
      </c>
      <c r="K99" s="66" t="str">
        <f>IF(B99&gt;Coverage,"",VLOOKUP($C99,COI_Tab[],IF(sex="Male",2,3),0)*I99*(1+EM_Basic)/1000)</f>
        <v/>
      </c>
      <c r="L99" s="66" t="str">
        <f>IF(B99&gt;Coverage,"",VLOOKUP($C99,COI_Tab[],4,0)*J99*(1+EM_Basic)/1000)</f>
        <v/>
      </c>
      <c r="M99" s="207" t="str">
        <f>IF(B99&gt;Coverage,"",ROUND(K99+L99,0))</f>
        <v/>
      </c>
      <c r="N99" s="134" t="str">
        <f>IF(B99&gt;Coverage,"",VLOOKUP($B99,Assumption!$H$11:$I$15,2)*E99)</f>
        <v/>
      </c>
      <c r="O99" s="134" t="str">
        <f>IF(B99&gt;Coverage,"",Assumption!$J$11*$G99)</f>
        <v/>
      </c>
      <c r="P99" s="134" t="str">
        <f>IF(B99&gt;Coverage,"",H99*VLOOKUP(MIN(B99,6),Assumption!$M$11:$N$16,2,0))</f>
        <v/>
      </c>
      <c r="Q99" s="134" t="str">
        <f>IF(B99&gt;Coverage,"",SUM(N99:P99))</f>
        <v/>
      </c>
      <c r="R99" s="207" t="str">
        <f>+IF($B99&gt;Coverage,"",Assumption!$I$18*12)</f>
        <v/>
      </c>
      <c r="S99" s="208" t="str">
        <f>+IF($B99&gt;Coverage,"",Assumption!$I$20)</f>
        <v/>
      </c>
      <c r="T99" s="207">
        <f>+IF($B99&gt;Coverage,0,ROUND((U98+($F99+$G99-$H99-$Q99)*PML_LF)*(1+VLOOKUP(T$3,Assumption!$H$35:$K$43,2,0))^0.5-($M99+$R99)*PML_LF-($S99*PML_LF*U98),0))</f>
        <v>0</v>
      </c>
      <c r="U99" s="207">
        <f>+IF($B99&gt;Coverage,0,ROUND(T99*(1+VLOOKUP(T$3,Assumption!$H$35:$K$43,2,0))^0.5,0))</f>
        <v>0</v>
      </c>
      <c r="V99" s="207">
        <f>+IF($B99="",0,(1-VLOOKUP(MIN($B99,6),Assumption!$M$10:$N$16,2))*U99)</f>
        <v>0</v>
      </c>
      <c r="W99" s="207">
        <f>+IF($B99&gt;Coverage,0,ROUND((X98+($F99+$G99-$H99-$Q99)*PML_BF)*(1+VLOOKUP(W$3,Assumption!$H$35:$K$43,2,0))^0.5-($M99+$R99)*PML_BF-($S99*PML_BF*X98),0))</f>
        <v>0</v>
      </c>
      <c r="X99" s="207">
        <f>+IF($B99&gt;Coverage,0,ROUND(W99*(1+VLOOKUP(W$3,Assumption!$H$35:$K$43,2,0))^0.5,0))</f>
        <v>0</v>
      </c>
      <c r="Y99" s="207">
        <f>+IF($B99="",0,(1-VLOOKUP(MIN($B99,6),Assumption!$M$10:$N$16,2))*X99)</f>
        <v>0</v>
      </c>
      <c r="Z99" s="207">
        <f>+IF($B99&gt;Coverage,0,ROUND((AA98+($F99+$G99-$H99-$Q99)*PML_EF)*(1+VLOOKUP(Z$3,Assumption!$H$35:$K$43,2,0))^0.5-($M99+$R99)*PML_EF-($S99*PML_EF*AA98),0))</f>
        <v>0</v>
      </c>
      <c r="AA99" s="207">
        <f>+IF($B99&gt;Coverage,0,ROUND(Z99*(1+VLOOKUP(Z$3,Assumption!$H$35:$K$43,2,0))^0.5,0))</f>
        <v>0</v>
      </c>
      <c r="AB99" s="207">
        <f>+IF($B99="",0,(1-VLOOKUP(MIN($B99,6),Assumption!$M$10:$N$16,2))*AA99)</f>
        <v>0</v>
      </c>
      <c r="AC99" s="207">
        <f>+IF($B99&gt;Coverage,0,ROUND((AD98+($F99+$G99-$H99-$Q99)*PML_FI)*(1+VLOOKUP(AC$3,Assumption!$H$35:$K$43,2,0))^0.5-($M99+$R99)*PML_FI-($S99*PML_FI*AD98),0))</f>
        <v>0</v>
      </c>
      <c r="AD99" s="207">
        <f>+IF($B99&gt;Coverage,0,ROUND(AC99*(1+VLOOKUP(AC$3,Assumption!$H$35:$K$43,2,0))^0.5,0))</f>
        <v>0</v>
      </c>
      <c r="AE99" s="207">
        <f>+IF($B99="",0,(1-VLOOKUP(MIN($B99,6),Assumption!$M$10:$N$16,2))*AD99)</f>
        <v>0</v>
      </c>
      <c r="AF99" s="207">
        <f>+IF($B99&gt;Coverage,0,ROUND((AG98+($F99+$G99-$H99-$Q99)*PML_LF)*(1+VLOOKUP(AF$3,Assumption!$H$35:$K$43,3,0))^0.5-($M99+$R99)*PML_LF-($S99*PML_LF*AG98),0))</f>
        <v>0</v>
      </c>
      <c r="AG99" s="207">
        <f>+IF($B99&gt;Coverage,0,ROUND(AF99*(1+VLOOKUP(AF$3,Assumption!$H$35:$K$43,3,0))^0.5,0))</f>
        <v>0</v>
      </c>
      <c r="AH99" s="207">
        <f>+IF($B99="",0,(1-VLOOKUP(MIN($B99,6),Assumption!$M$10:$N$16,2))*AG99)</f>
        <v>0</v>
      </c>
      <c r="AI99" s="207">
        <f>+IF($B99&gt;Coverage,0,ROUND((AJ98+($F99+$G99-$H99-$Q99)*PML_BF)*(1+VLOOKUP(AI$3,Assumption!$H$35:$K$43,3,0))^0.5-($M99+$R99)*PML_BF-($S99*PML_BF*AJ98),0))</f>
        <v>0</v>
      </c>
      <c r="AJ99" s="207">
        <f>+IF($B99&gt;Coverage,0,ROUND(AI99*(1+VLOOKUP(AI$3,Assumption!$H$35:$K$43,3,0))^0.5,0))</f>
        <v>0</v>
      </c>
      <c r="AK99" s="207">
        <f>+IF($B99="",0,(1-VLOOKUP(MIN($B99,6),Assumption!$M$10:$N$16,2))*AJ99)</f>
        <v>0</v>
      </c>
      <c r="AL99" s="207">
        <f>+IF($B99&gt;Coverage,0,ROUND((AM98+($F99+$G99-$H99-$Q99)*PML_EF)*(1+VLOOKUP(AL$3,Assumption!$H$35:$K$43,3,0))^0.5-($M99+$R99)*PML_EF-($S99*PML_EF*AM98),0))</f>
        <v>0</v>
      </c>
      <c r="AM99" s="207">
        <f>+IF($B99&gt;Coverage,0,ROUND(AL99*(1+VLOOKUP(AL$3,Assumption!$H$35:$K$43,3,0))^0.5,0))</f>
        <v>0</v>
      </c>
      <c r="AN99" s="207">
        <f>+IF($B99="",0,(1-VLOOKUP(MIN($B99,6),Assumption!$M$10:$N$16,2))*AM99)</f>
        <v>0</v>
      </c>
      <c r="AO99" s="207">
        <f>+IF($B99&gt;Coverage,0,ROUND((AP98+($F99+$G99-$H99-$Q99)*PML_FI)*(1+VLOOKUP(AO$3,Assumption!$H$35:$K$43,3,0))^0.5-($M99+$R99)*PML_FI-($S99*PML_FI*AP98),0))</f>
        <v>0</v>
      </c>
      <c r="AP99" s="207">
        <f>+IF($B99&gt;Coverage,0,ROUND(AO99*(1+VLOOKUP(AO$3,Assumption!$H$35:$K$43,3,0))^0.5,0))</f>
        <v>0</v>
      </c>
      <c r="AQ99" s="207">
        <f>+IF($B99="",0,(1-VLOOKUP(MIN($B99,6),Assumption!$M$10:$N$16,2))*AP99)</f>
        <v>0</v>
      </c>
      <c r="AR99" s="207">
        <f>+IF($B99&gt;Coverage,0,ROUND((AS98+($F99+$G99-$H99-$Q99)*PML_LF)*(1+VLOOKUP(AR$3,Assumption!$H$35:$K$43,4,0))^0.5-($M99+$R99)*PML_LF-($S99*PML_LF*AS98),0))</f>
        <v>0</v>
      </c>
      <c r="AS99" s="207">
        <f>+IF($B99&gt;Coverage,0,ROUND(AR99*(1+VLOOKUP(AR$3,Assumption!$H$35:$K$43,4,0))^0.5,0))</f>
        <v>0</v>
      </c>
      <c r="AT99" s="207">
        <f>+IF($B99="",0,(1-VLOOKUP(MIN($B99,6),Assumption!$M$10:$N$16,2))*AS99)</f>
        <v>0</v>
      </c>
      <c r="AU99" s="207">
        <f>+IF($B99&gt;Coverage,0,ROUND((AV98+($F99+$G99-$H99-$Q99)*PML_BF)*(1+VLOOKUP(AU$3,Assumption!$H$35:$K$43,4,0))^0.5-($M99+$R99)*PML_BF-($S99*PML_BF*AV98),0))</f>
        <v>0</v>
      </c>
      <c r="AV99" s="207">
        <f>+IF($B99&gt;Coverage,0,ROUND(AU99*(1+VLOOKUP(AU$3,Assumption!$H$35:$K$43,4,0))^0.5,0))</f>
        <v>0</v>
      </c>
      <c r="AW99" s="207">
        <f>+IF($B99="",0,(1-VLOOKUP(MIN($B99,6),Assumption!$M$10:$N$16,2))*AV99)</f>
        <v>0</v>
      </c>
      <c r="AX99" s="207">
        <f>+IF($B99&gt;Coverage,0,ROUND((AY98+($F99+$G99-$H99-$Q99)*PML_EF)*(1+VLOOKUP(AX$3,Assumption!$H$35:$K$43,4,0))^0.5-($M99+$R99)*PML_EF-($S99*PML_EF*AY98),0))</f>
        <v>0</v>
      </c>
      <c r="AY99" s="207">
        <f>+IF($B99&gt;Coverage,0,ROUND(AX99*(1+VLOOKUP(AX$3,Assumption!$H$35:$K$43,4,0))^0.5,0))</f>
        <v>0</v>
      </c>
      <c r="AZ99" s="207">
        <f>+IF($B99="",0,(1-VLOOKUP(MIN($B99,6),Assumption!$M$10:$N$16,2))*AY99)</f>
        <v>0</v>
      </c>
      <c r="BA99" s="207">
        <f>+IF($B99&gt;Coverage,0,ROUND((BB98+($F99+$G99-$H99-$Q99)*PML_FI)*(1+VLOOKUP(BA$3,Assumption!$H$35:$K$43,4,0))^0.5-($M99+$R99)*PML_FI-($S99*PML_FI*BB98),0))</f>
        <v>0</v>
      </c>
      <c r="BB99" s="207">
        <f>+IF($B99&gt;Coverage,0,ROUND(BA99*(1+VLOOKUP(BA$3,Assumption!$H$35:$K$43,4,0))^0.5,0))</f>
        <v>0</v>
      </c>
      <c r="BC99" s="207">
        <f>+IF($B99="",0,(1-VLOOKUP(MIN($B99,6),Assumption!$M$10:$N$16,2))*BB99)</f>
        <v>0</v>
      </c>
    </row>
    <row r="100" ht="14.25" customHeight="1">
      <c r="A100" s="126">
        <v>93.0</v>
      </c>
      <c r="B100" s="129" t="str">
        <f>+IF(A100&gt;Coverage,"",A100)</f>
        <v/>
      </c>
      <c r="C100" s="134" t="str">
        <f>+IF(B100=1,Insured_Age,IF(B100="","",C99+1))</f>
        <v/>
      </c>
      <c r="D100" s="134" t="str">
        <f>+IF(B100&gt;Coverage,"",IF(B100=1,input!$H$11,D99+1))</f>
        <v/>
      </c>
      <c r="E100" s="134" t="str">
        <f>IF(B100=1,premi_dasar,IF(B100&gt;Coverage,"",0))</f>
        <v/>
      </c>
      <c r="F100" s="134" t="str">
        <f>IF(B100&gt;Coverage,"",SUM(E100))</f>
        <v/>
      </c>
      <c r="G100" s="134" t="str">
        <f>IF(B100&gt;Coverage,"",SUMIFS(input!$E$38:$E$50,input!$C$38:$C$50,$C100))</f>
        <v/>
      </c>
      <c r="H100" s="134" t="str">
        <f>IF(B100&gt;Coverage,"",SUMIFS(input!$E$53:$E$87,input!$C$53:$C$87,$C100))</f>
        <v/>
      </c>
      <c r="I100" s="66" t="str">
        <f>+IF(B100="","",Sum_Assured*VLOOKUP(MIN(C100,10),Assumption!$M$19:$N$28,2,0))</f>
        <v/>
      </c>
      <c r="J100" s="66" t="str">
        <f>IF(B100="","",input!$D$33)</f>
        <v/>
      </c>
      <c r="K100" s="66" t="str">
        <f>IF(B100&gt;Coverage,"",VLOOKUP($C100,COI_Tab[],IF(sex="Male",2,3),0)*I100*(1+EM_Basic)/1000)</f>
        <v/>
      </c>
      <c r="L100" s="66" t="str">
        <f>IF(B100&gt;Coverage,"",VLOOKUP($C100,COI_Tab[],4,0)*J100*(1+EM_Basic)/1000)</f>
        <v/>
      </c>
      <c r="M100" s="207" t="str">
        <f>IF(B100&gt;Coverage,"",ROUND(K100+L100,0))</f>
        <v/>
      </c>
      <c r="N100" s="134" t="str">
        <f>IF(B100&gt;Coverage,"",VLOOKUP($B100,Assumption!$H$11:$I$15,2)*E100)</f>
        <v/>
      </c>
      <c r="O100" s="134" t="str">
        <f>IF(B100&gt;Coverage,"",Assumption!$J$11*$G100)</f>
        <v/>
      </c>
      <c r="P100" s="134" t="str">
        <f>IF(B100&gt;Coverage,"",H100*VLOOKUP(MIN(B100,6),Assumption!$M$11:$N$16,2,0))</f>
        <v/>
      </c>
      <c r="Q100" s="134" t="str">
        <f>IF(B100&gt;Coverage,"",SUM(N100:P100))</f>
        <v/>
      </c>
      <c r="R100" s="207" t="str">
        <f>+IF($B100&gt;Coverage,"",Assumption!$I$18*12)</f>
        <v/>
      </c>
      <c r="S100" s="208" t="str">
        <f>+IF($B100&gt;Coverage,"",Assumption!$I$20)</f>
        <v/>
      </c>
      <c r="T100" s="207">
        <f>+IF($B100&gt;Coverage,0,ROUND((U99+($F100+$G100-$H100-$Q100)*PML_LF)*(1+VLOOKUP(T$3,Assumption!$H$35:$K$43,2,0))^0.5-($M100+$R100)*PML_LF-($S100*PML_LF*U99),0))</f>
        <v>0</v>
      </c>
      <c r="U100" s="207">
        <f>+IF($B100&gt;Coverage,0,ROUND(T100*(1+VLOOKUP(T$3,Assumption!$H$35:$K$43,2,0))^0.5,0))</f>
        <v>0</v>
      </c>
      <c r="V100" s="207">
        <f>+IF($B100="",0,(1-VLOOKUP(MIN($B100,6),Assumption!$M$10:$N$16,2))*U100)</f>
        <v>0</v>
      </c>
      <c r="W100" s="207">
        <f>+IF($B100&gt;Coverage,0,ROUND((X99+($F100+$G100-$H100-$Q100)*PML_BF)*(1+VLOOKUP(W$3,Assumption!$H$35:$K$43,2,0))^0.5-($M100+$R100)*PML_BF-($S100*PML_BF*X99),0))</f>
        <v>0</v>
      </c>
      <c r="X100" s="207">
        <f>+IF($B100&gt;Coverage,0,ROUND(W100*(1+VLOOKUP(W$3,Assumption!$H$35:$K$43,2,0))^0.5,0))</f>
        <v>0</v>
      </c>
      <c r="Y100" s="207">
        <f>+IF($B100="",0,(1-VLOOKUP(MIN($B100,6),Assumption!$M$10:$N$16,2))*X100)</f>
        <v>0</v>
      </c>
      <c r="Z100" s="207">
        <f>+IF($B100&gt;Coverage,0,ROUND((AA99+($F100+$G100-$H100-$Q100)*PML_EF)*(1+VLOOKUP(Z$3,Assumption!$H$35:$K$43,2,0))^0.5-($M100+$R100)*PML_EF-($S100*PML_EF*AA99),0))</f>
        <v>0</v>
      </c>
      <c r="AA100" s="207">
        <f>+IF($B100&gt;Coverage,0,ROUND(Z100*(1+VLOOKUP(Z$3,Assumption!$H$35:$K$43,2,0))^0.5,0))</f>
        <v>0</v>
      </c>
      <c r="AB100" s="207">
        <f>+IF($B100="",0,(1-VLOOKUP(MIN($B100,6),Assumption!$M$10:$N$16,2))*AA100)</f>
        <v>0</v>
      </c>
      <c r="AC100" s="207">
        <f>+IF($B100&gt;Coverage,0,ROUND((AD99+($F100+$G100-$H100-$Q100)*PML_FI)*(1+VLOOKUP(AC$3,Assumption!$H$35:$K$43,2,0))^0.5-($M100+$R100)*PML_FI-($S100*PML_FI*AD99),0))</f>
        <v>0</v>
      </c>
      <c r="AD100" s="207">
        <f>+IF($B100&gt;Coverage,0,ROUND(AC100*(1+VLOOKUP(AC$3,Assumption!$H$35:$K$43,2,0))^0.5,0))</f>
        <v>0</v>
      </c>
      <c r="AE100" s="207">
        <f>+IF($B100="",0,(1-VLOOKUP(MIN($B100,6),Assumption!$M$10:$N$16,2))*AD100)</f>
        <v>0</v>
      </c>
      <c r="AF100" s="207">
        <f>+IF($B100&gt;Coverage,0,ROUND((AG99+($F100+$G100-$H100-$Q100)*PML_LF)*(1+VLOOKUP(AF$3,Assumption!$H$35:$K$43,3,0))^0.5-($M100+$R100)*PML_LF-($S100*PML_LF*AG99),0))</f>
        <v>0</v>
      </c>
      <c r="AG100" s="207">
        <f>+IF($B100&gt;Coverage,0,ROUND(AF100*(1+VLOOKUP(AF$3,Assumption!$H$35:$K$43,3,0))^0.5,0))</f>
        <v>0</v>
      </c>
      <c r="AH100" s="207">
        <f>+IF($B100="",0,(1-VLOOKUP(MIN($B100,6),Assumption!$M$10:$N$16,2))*AG100)</f>
        <v>0</v>
      </c>
      <c r="AI100" s="207">
        <f>+IF($B100&gt;Coverage,0,ROUND((AJ99+($F100+$G100-$H100-$Q100)*PML_BF)*(1+VLOOKUP(AI$3,Assumption!$H$35:$K$43,3,0))^0.5-($M100+$R100)*PML_BF-($S100*PML_BF*AJ99),0))</f>
        <v>0</v>
      </c>
      <c r="AJ100" s="207">
        <f>+IF($B100&gt;Coverage,0,ROUND(AI100*(1+VLOOKUP(AI$3,Assumption!$H$35:$K$43,3,0))^0.5,0))</f>
        <v>0</v>
      </c>
      <c r="AK100" s="207">
        <f>+IF($B100="",0,(1-VLOOKUP(MIN($B100,6),Assumption!$M$10:$N$16,2))*AJ100)</f>
        <v>0</v>
      </c>
      <c r="AL100" s="207">
        <f>+IF($B100&gt;Coverage,0,ROUND((AM99+($F100+$G100-$H100-$Q100)*PML_EF)*(1+VLOOKUP(AL$3,Assumption!$H$35:$K$43,3,0))^0.5-($M100+$R100)*PML_EF-($S100*PML_EF*AM99),0))</f>
        <v>0</v>
      </c>
      <c r="AM100" s="207">
        <f>+IF($B100&gt;Coverage,0,ROUND(AL100*(1+VLOOKUP(AL$3,Assumption!$H$35:$K$43,3,0))^0.5,0))</f>
        <v>0</v>
      </c>
      <c r="AN100" s="207">
        <f>+IF($B100="",0,(1-VLOOKUP(MIN($B100,6),Assumption!$M$10:$N$16,2))*AM100)</f>
        <v>0</v>
      </c>
      <c r="AO100" s="207">
        <f>+IF($B100&gt;Coverage,0,ROUND((AP99+($F100+$G100-$H100-$Q100)*PML_FI)*(1+VLOOKUP(AO$3,Assumption!$H$35:$K$43,3,0))^0.5-($M100+$R100)*PML_FI-($S100*PML_FI*AP99),0))</f>
        <v>0</v>
      </c>
      <c r="AP100" s="207">
        <f>+IF($B100&gt;Coverage,0,ROUND(AO100*(1+VLOOKUP(AO$3,Assumption!$H$35:$K$43,3,0))^0.5,0))</f>
        <v>0</v>
      </c>
      <c r="AQ100" s="207">
        <f>+IF($B100="",0,(1-VLOOKUP(MIN($B100,6),Assumption!$M$10:$N$16,2))*AP100)</f>
        <v>0</v>
      </c>
      <c r="AR100" s="207">
        <f>+IF($B100&gt;Coverage,0,ROUND((AS99+($F100+$G100-$H100-$Q100)*PML_LF)*(1+VLOOKUP(AR$3,Assumption!$H$35:$K$43,4,0))^0.5-($M100+$R100)*PML_LF-($S100*PML_LF*AS99),0))</f>
        <v>0</v>
      </c>
      <c r="AS100" s="207">
        <f>+IF($B100&gt;Coverage,0,ROUND(AR100*(1+VLOOKUP(AR$3,Assumption!$H$35:$K$43,4,0))^0.5,0))</f>
        <v>0</v>
      </c>
      <c r="AT100" s="207">
        <f>+IF($B100="",0,(1-VLOOKUP(MIN($B100,6),Assumption!$M$10:$N$16,2))*AS100)</f>
        <v>0</v>
      </c>
      <c r="AU100" s="207">
        <f>+IF($B100&gt;Coverage,0,ROUND((AV99+($F100+$G100-$H100-$Q100)*PML_BF)*(1+VLOOKUP(AU$3,Assumption!$H$35:$K$43,4,0))^0.5-($M100+$R100)*PML_BF-($S100*PML_BF*AV99),0))</f>
        <v>0</v>
      </c>
      <c r="AV100" s="207">
        <f>+IF($B100&gt;Coverage,0,ROUND(AU100*(1+VLOOKUP(AU$3,Assumption!$H$35:$K$43,4,0))^0.5,0))</f>
        <v>0</v>
      </c>
      <c r="AW100" s="207">
        <f>+IF($B100="",0,(1-VLOOKUP(MIN($B100,6),Assumption!$M$10:$N$16,2))*AV100)</f>
        <v>0</v>
      </c>
      <c r="AX100" s="207">
        <f>+IF($B100&gt;Coverage,0,ROUND((AY99+($F100+$G100-$H100-$Q100)*PML_EF)*(1+VLOOKUP(AX$3,Assumption!$H$35:$K$43,4,0))^0.5-($M100+$R100)*PML_EF-($S100*PML_EF*AY99),0))</f>
        <v>0</v>
      </c>
      <c r="AY100" s="207">
        <f>+IF($B100&gt;Coverage,0,ROUND(AX100*(1+VLOOKUP(AX$3,Assumption!$H$35:$K$43,4,0))^0.5,0))</f>
        <v>0</v>
      </c>
      <c r="AZ100" s="207">
        <f>+IF($B100="",0,(1-VLOOKUP(MIN($B100,6),Assumption!$M$10:$N$16,2))*AY100)</f>
        <v>0</v>
      </c>
      <c r="BA100" s="207">
        <f>+IF($B100&gt;Coverage,0,ROUND((BB99+($F100+$G100-$H100-$Q100)*PML_FI)*(1+VLOOKUP(BA$3,Assumption!$H$35:$K$43,4,0))^0.5-($M100+$R100)*PML_FI-($S100*PML_FI*BB99),0))</f>
        <v>0</v>
      </c>
      <c r="BB100" s="207">
        <f>+IF($B100&gt;Coverage,0,ROUND(BA100*(1+VLOOKUP(BA$3,Assumption!$H$35:$K$43,4,0))^0.5,0))</f>
        <v>0</v>
      </c>
      <c r="BC100" s="207">
        <f>+IF($B100="",0,(1-VLOOKUP(MIN($B100,6),Assumption!$M$10:$N$16,2))*BB100)</f>
        <v>0</v>
      </c>
    </row>
    <row r="101" ht="14.25" customHeight="1">
      <c r="A101" s="126">
        <v>94.0</v>
      </c>
      <c r="B101" s="129" t="str">
        <f>+IF(A101&gt;Coverage,"",A101)</f>
        <v/>
      </c>
      <c r="C101" s="134" t="str">
        <f>+IF(B101=1,Insured_Age,IF(B101="","",C100+1))</f>
        <v/>
      </c>
      <c r="D101" s="134" t="str">
        <f>+IF(B101&gt;Coverage,"",IF(B101=1,input!$H$11,D100+1))</f>
        <v/>
      </c>
      <c r="E101" s="134" t="str">
        <f>IF(B101=1,premi_dasar,IF(B101&gt;Coverage,"",0))</f>
        <v/>
      </c>
      <c r="F101" s="134" t="str">
        <f>IF(B101&gt;Coverage,"",SUM(E101))</f>
        <v/>
      </c>
      <c r="G101" s="134" t="str">
        <f>IF(B101&gt;Coverage,"",SUMIFS(input!$E$38:$E$50,input!$C$38:$C$50,$C101))</f>
        <v/>
      </c>
      <c r="H101" s="134" t="str">
        <f>IF(B101&gt;Coverage,"",SUMIFS(input!$E$53:$E$87,input!$C$53:$C$87,$C101))</f>
        <v/>
      </c>
      <c r="I101" s="66" t="str">
        <f>+IF(B101="","",Sum_Assured*VLOOKUP(MIN(C101,10),Assumption!$M$19:$N$28,2,0))</f>
        <v/>
      </c>
      <c r="J101" s="66" t="str">
        <f>IF(B101="","",input!$D$33)</f>
        <v/>
      </c>
      <c r="K101" s="66" t="str">
        <f>IF(B101&gt;Coverage,"",VLOOKUP($C101,COI_Tab[],IF(sex="Male",2,3),0)*I101*(1+EM_Basic)/1000)</f>
        <v/>
      </c>
      <c r="L101" s="66" t="str">
        <f>IF(B101&gt;Coverage,"",VLOOKUP($C101,COI_Tab[],4,0)*J101*(1+EM_Basic)/1000)</f>
        <v/>
      </c>
      <c r="M101" s="207" t="str">
        <f>IF(B101&gt;Coverage,"",ROUND(K101+L101,0))</f>
        <v/>
      </c>
      <c r="N101" s="134" t="str">
        <f>IF(B101&gt;Coverage,"",VLOOKUP($B101,Assumption!$H$11:$I$15,2)*E101)</f>
        <v/>
      </c>
      <c r="O101" s="134" t="str">
        <f>IF(B101&gt;Coverage,"",Assumption!$J$11*$G101)</f>
        <v/>
      </c>
      <c r="P101" s="134" t="str">
        <f>IF(B101&gt;Coverage,"",H101*VLOOKUP(MIN(B101,6),Assumption!$M$11:$N$16,2,0))</f>
        <v/>
      </c>
      <c r="Q101" s="134" t="str">
        <f>IF(B101&gt;Coverage,"",SUM(N101:P101))</f>
        <v/>
      </c>
      <c r="R101" s="207" t="str">
        <f>+IF($B101&gt;Coverage,"",Assumption!$I$18*12)</f>
        <v/>
      </c>
      <c r="S101" s="208" t="str">
        <f>+IF($B101&gt;Coverage,"",Assumption!$I$20)</f>
        <v/>
      </c>
      <c r="T101" s="207">
        <f>+IF($B101&gt;Coverage,0,ROUND((U100+($F101+$G101-$H101-$Q101)*PML_LF)*(1+VLOOKUP(T$3,Assumption!$H$35:$K$43,2,0))^0.5-($M101+$R101)*PML_LF-($S101*PML_LF*U100),0))</f>
        <v>0</v>
      </c>
      <c r="U101" s="207">
        <f>+IF($B101&gt;Coverage,0,ROUND(T101*(1+VLOOKUP(T$3,Assumption!$H$35:$K$43,2,0))^0.5,0))</f>
        <v>0</v>
      </c>
      <c r="V101" s="207">
        <f>+IF($B101="",0,(1-VLOOKUP(MIN($B101,6),Assumption!$M$10:$N$16,2))*U101)</f>
        <v>0</v>
      </c>
      <c r="W101" s="207">
        <f>+IF($B101&gt;Coverage,0,ROUND((X100+($F101+$G101-$H101-$Q101)*PML_BF)*(1+VLOOKUP(W$3,Assumption!$H$35:$K$43,2,0))^0.5-($M101+$R101)*PML_BF-($S101*PML_BF*X100),0))</f>
        <v>0</v>
      </c>
      <c r="X101" s="207">
        <f>+IF($B101&gt;Coverage,0,ROUND(W101*(1+VLOOKUP(W$3,Assumption!$H$35:$K$43,2,0))^0.5,0))</f>
        <v>0</v>
      </c>
      <c r="Y101" s="207">
        <f>+IF($B101="",0,(1-VLOOKUP(MIN($B101,6),Assumption!$M$10:$N$16,2))*X101)</f>
        <v>0</v>
      </c>
      <c r="Z101" s="207">
        <f>+IF($B101&gt;Coverage,0,ROUND((AA100+($F101+$G101-$H101-$Q101)*PML_EF)*(1+VLOOKUP(Z$3,Assumption!$H$35:$K$43,2,0))^0.5-($M101+$R101)*PML_EF-($S101*PML_EF*AA100),0))</f>
        <v>0</v>
      </c>
      <c r="AA101" s="207">
        <f>+IF($B101&gt;Coverage,0,ROUND(Z101*(1+VLOOKUP(Z$3,Assumption!$H$35:$K$43,2,0))^0.5,0))</f>
        <v>0</v>
      </c>
      <c r="AB101" s="207">
        <f>+IF($B101="",0,(1-VLOOKUP(MIN($B101,6),Assumption!$M$10:$N$16,2))*AA101)</f>
        <v>0</v>
      </c>
      <c r="AC101" s="207">
        <f>+IF($B101&gt;Coverage,0,ROUND((AD100+($F101+$G101-$H101-$Q101)*PML_FI)*(1+VLOOKUP(AC$3,Assumption!$H$35:$K$43,2,0))^0.5-($M101+$R101)*PML_FI-($S101*PML_FI*AD100),0))</f>
        <v>0</v>
      </c>
      <c r="AD101" s="207">
        <f>+IF($B101&gt;Coverage,0,ROUND(AC101*(1+VLOOKUP(AC$3,Assumption!$H$35:$K$43,2,0))^0.5,0))</f>
        <v>0</v>
      </c>
      <c r="AE101" s="207">
        <f>+IF($B101="",0,(1-VLOOKUP(MIN($B101,6),Assumption!$M$10:$N$16,2))*AD101)</f>
        <v>0</v>
      </c>
      <c r="AF101" s="207">
        <f>+IF($B101&gt;Coverage,0,ROUND((AG100+($F101+$G101-$H101-$Q101)*PML_LF)*(1+VLOOKUP(AF$3,Assumption!$H$35:$K$43,3,0))^0.5-($M101+$R101)*PML_LF-($S101*PML_LF*AG100),0))</f>
        <v>0</v>
      </c>
      <c r="AG101" s="207">
        <f>+IF($B101&gt;Coverage,0,ROUND(AF101*(1+VLOOKUP(AF$3,Assumption!$H$35:$K$43,3,0))^0.5,0))</f>
        <v>0</v>
      </c>
      <c r="AH101" s="207">
        <f>+IF($B101="",0,(1-VLOOKUP(MIN($B101,6),Assumption!$M$10:$N$16,2))*AG101)</f>
        <v>0</v>
      </c>
      <c r="AI101" s="207">
        <f>+IF($B101&gt;Coverage,0,ROUND((AJ100+($F101+$G101-$H101-$Q101)*PML_BF)*(1+VLOOKUP(AI$3,Assumption!$H$35:$K$43,3,0))^0.5-($M101+$R101)*PML_BF-($S101*PML_BF*AJ100),0))</f>
        <v>0</v>
      </c>
      <c r="AJ101" s="207">
        <f>+IF($B101&gt;Coverage,0,ROUND(AI101*(1+VLOOKUP(AI$3,Assumption!$H$35:$K$43,3,0))^0.5,0))</f>
        <v>0</v>
      </c>
      <c r="AK101" s="207">
        <f>+IF($B101="",0,(1-VLOOKUP(MIN($B101,6),Assumption!$M$10:$N$16,2))*AJ101)</f>
        <v>0</v>
      </c>
      <c r="AL101" s="207">
        <f>+IF($B101&gt;Coverage,0,ROUND((AM100+($F101+$G101-$H101-$Q101)*PML_EF)*(1+VLOOKUP(AL$3,Assumption!$H$35:$K$43,3,0))^0.5-($M101+$R101)*PML_EF-($S101*PML_EF*AM100),0))</f>
        <v>0</v>
      </c>
      <c r="AM101" s="207">
        <f>+IF($B101&gt;Coverage,0,ROUND(AL101*(1+VLOOKUP(AL$3,Assumption!$H$35:$K$43,3,0))^0.5,0))</f>
        <v>0</v>
      </c>
      <c r="AN101" s="207">
        <f>+IF($B101="",0,(1-VLOOKUP(MIN($B101,6),Assumption!$M$10:$N$16,2))*AM101)</f>
        <v>0</v>
      </c>
      <c r="AO101" s="207">
        <f>+IF($B101&gt;Coverage,0,ROUND((AP100+($F101+$G101-$H101-$Q101)*PML_FI)*(1+VLOOKUP(AO$3,Assumption!$H$35:$K$43,3,0))^0.5-($M101+$R101)*PML_FI-($S101*PML_FI*AP100),0))</f>
        <v>0</v>
      </c>
      <c r="AP101" s="207">
        <f>+IF($B101&gt;Coverage,0,ROUND(AO101*(1+VLOOKUP(AO$3,Assumption!$H$35:$K$43,3,0))^0.5,0))</f>
        <v>0</v>
      </c>
      <c r="AQ101" s="207">
        <f>+IF($B101="",0,(1-VLOOKUP(MIN($B101,6),Assumption!$M$10:$N$16,2))*AP101)</f>
        <v>0</v>
      </c>
      <c r="AR101" s="207">
        <f>+IF($B101&gt;Coverage,0,ROUND((AS100+($F101+$G101-$H101-$Q101)*PML_LF)*(1+VLOOKUP(AR$3,Assumption!$H$35:$K$43,4,0))^0.5-($M101+$R101)*PML_LF-($S101*PML_LF*AS100),0))</f>
        <v>0</v>
      </c>
      <c r="AS101" s="207">
        <f>+IF($B101&gt;Coverage,0,ROUND(AR101*(1+VLOOKUP(AR$3,Assumption!$H$35:$K$43,4,0))^0.5,0))</f>
        <v>0</v>
      </c>
      <c r="AT101" s="207">
        <f>+IF($B101="",0,(1-VLOOKUP(MIN($B101,6),Assumption!$M$10:$N$16,2))*AS101)</f>
        <v>0</v>
      </c>
      <c r="AU101" s="207">
        <f>+IF($B101&gt;Coverage,0,ROUND((AV100+($F101+$G101-$H101-$Q101)*PML_BF)*(1+VLOOKUP(AU$3,Assumption!$H$35:$K$43,4,0))^0.5-($M101+$R101)*PML_BF-($S101*PML_BF*AV100),0))</f>
        <v>0</v>
      </c>
      <c r="AV101" s="207">
        <f>+IF($B101&gt;Coverage,0,ROUND(AU101*(1+VLOOKUP(AU$3,Assumption!$H$35:$K$43,4,0))^0.5,0))</f>
        <v>0</v>
      </c>
      <c r="AW101" s="207">
        <f>+IF($B101="",0,(1-VLOOKUP(MIN($B101,6),Assumption!$M$10:$N$16,2))*AV101)</f>
        <v>0</v>
      </c>
      <c r="AX101" s="207">
        <f>+IF($B101&gt;Coverage,0,ROUND((AY100+($F101+$G101-$H101-$Q101)*PML_EF)*(1+VLOOKUP(AX$3,Assumption!$H$35:$K$43,4,0))^0.5-($M101+$R101)*PML_EF-($S101*PML_EF*AY100),0))</f>
        <v>0</v>
      </c>
      <c r="AY101" s="207">
        <f>+IF($B101&gt;Coverage,0,ROUND(AX101*(1+VLOOKUP(AX$3,Assumption!$H$35:$K$43,4,0))^0.5,0))</f>
        <v>0</v>
      </c>
      <c r="AZ101" s="207">
        <f>+IF($B101="",0,(1-VLOOKUP(MIN($B101,6),Assumption!$M$10:$N$16,2))*AY101)</f>
        <v>0</v>
      </c>
      <c r="BA101" s="207">
        <f>+IF($B101&gt;Coverage,0,ROUND((BB100+($F101+$G101-$H101-$Q101)*PML_FI)*(1+VLOOKUP(BA$3,Assumption!$H$35:$K$43,4,0))^0.5-($M101+$R101)*PML_FI-($S101*PML_FI*BB100),0))</f>
        <v>0</v>
      </c>
      <c r="BB101" s="207">
        <f>+IF($B101&gt;Coverage,0,ROUND(BA101*(1+VLOOKUP(BA$3,Assumption!$H$35:$K$43,4,0))^0.5,0))</f>
        <v>0</v>
      </c>
      <c r="BC101" s="207">
        <f>+IF($B101="",0,(1-VLOOKUP(MIN($B101,6),Assumption!$M$10:$N$16,2))*BB101)</f>
        <v>0</v>
      </c>
    </row>
    <row r="102" ht="14.25" customHeight="1">
      <c r="A102" s="126">
        <v>95.0</v>
      </c>
      <c r="B102" s="129" t="str">
        <f>+IF(A102&gt;Coverage,"",A102)</f>
        <v/>
      </c>
      <c r="C102" s="134" t="str">
        <f>+IF(B102=1,Insured_Age,IF(B102="","",C101+1))</f>
        <v/>
      </c>
      <c r="D102" s="134" t="str">
        <f>+IF(B102&gt;Coverage,"",IF(B102=1,input!$H$11,D101+1))</f>
        <v/>
      </c>
      <c r="E102" s="134" t="str">
        <f>IF(B102=1,premi_dasar,IF(B102&gt;Coverage,"",0))</f>
        <v/>
      </c>
      <c r="F102" s="134" t="str">
        <f>IF(B102&gt;Coverage,"",SUM(E102))</f>
        <v/>
      </c>
      <c r="G102" s="134" t="str">
        <f>IF(B102&gt;Coverage,"",SUMIFS(input!$E$38:$E$50,input!$C$38:$C$50,$C102))</f>
        <v/>
      </c>
      <c r="H102" s="134" t="str">
        <f>IF(B102&gt;Coverage,"",SUMIFS(input!$E$53:$E$87,input!$C$53:$C$87,$C102))</f>
        <v/>
      </c>
      <c r="I102" s="66" t="str">
        <f>+IF(B102="","",Sum_Assured*VLOOKUP(MIN(C102,10),Assumption!$M$19:$N$28,2,0))</f>
        <v/>
      </c>
      <c r="J102" s="66" t="str">
        <f>IF(B102="","",input!$D$33)</f>
        <v/>
      </c>
      <c r="K102" s="66" t="str">
        <f>IF(B102&gt;Coverage,"",VLOOKUP($C102,COI_Tab[],IF(sex="Male",2,3),0)*I102*(1+EM_Basic)/1000)</f>
        <v/>
      </c>
      <c r="L102" s="66" t="str">
        <f>IF(B102&gt;Coverage,"",VLOOKUP($C102,COI_Tab[],4,0)*J102*(1+EM_Basic)/1000)</f>
        <v/>
      </c>
      <c r="M102" s="207" t="str">
        <f>IF(B102&gt;Coverage,"",ROUND(K102+L102,0))</f>
        <v/>
      </c>
      <c r="N102" s="134" t="str">
        <f>IF(B102&gt;Coverage,"",VLOOKUP($B102,Assumption!$H$11:$I$15,2)*E102)</f>
        <v/>
      </c>
      <c r="O102" s="134" t="str">
        <f>IF(B102&gt;Coverage,"",Assumption!$J$11*$G102)</f>
        <v/>
      </c>
      <c r="P102" s="134" t="str">
        <f>IF(B102&gt;Coverage,"",H102*VLOOKUP(MIN(B102,6),Assumption!$M$11:$N$16,2,0))</f>
        <v/>
      </c>
      <c r="Q102" s="134" t="str">
        <f>IF(B102&gt;Coverage,"",SUM(N102:P102))</f>
        <v/>
      </c>
      <c r="R102" s="207" t="str">
        <f>+IF($B102&gt;Coverage,"",Assumption!$I$18*12)</f>
        <v/>
      </c>
      <c r="S102" s="208" t="str">
        <f>+IF($B102&gt;Coverage,"",Assumption!$I$20)</f>
        <v/>
      </c>
      <c r="T102" s="207">
        <f>+IF($B102&gt;Coverage,0,ROUND((U101+($F102+$G102-$H102-$Q102)*PML_LF)*(1+VLOOKUP(T$3,Assumption!$H$35:$K$43,2,0))^0.5-($M102+$R102)*PML_LF-($S102*PML_LF*U101),0))</f>
        <v>0</v>
      </c>
      <c r="U102" s="207">
        <f>+IF($B102&gt;Coverage,0,ROUND(T102*(1+VLOOKUP(T$3,Assumption!$H$35:$K$43,2,0))^0.5,0))</f>
        <v>0</v>
      </c>
      <c r="V102" s="207">
        <f>+IF($B102="",0,(1-VLOOKUP(MIN($B102,6),Assumption!$M$10:$N$16,2))*U102)</f>
        <v>0</v>
      </c>
      <c r="W102" s="207">
        <f>+IF($B102&gt;Coverage,0,ROUND((X101+($F102+$G102-$H102-$Q102)*PML_BF)*(1+VLOOKUP(W$3,Assumption!$H$35:$K$43,2,0))^0.5-($M102+$R102)*PML_BF-($S102*PML_BF*X101),0))</f>
        <v>0</v>
      </c>
      <c r="X102" s="207">
        <f>+IF($B102&gt;Coverage,0,ROUND(W102*(1+VLOOKUP(W$3,Assumption!$H$35:$K$43,2,0))^0.5,0))</f>
        <v>0</v>
      </c>
      <c r="Y102" s="207">
        <f>+IF($B102="",0,(1-VLOOKUP(MIN($B102,6),Assumption!$M$10:$N$16,2))*X102)</f>
        <v>0</v>
      </c>
      <c r="Z102" s="207">
        <f>+IF($B102&gt;Coverage,0,ROUND((AA101+($F102+$G102-$H102-$Q102)*PML_EF)*(1+VLOOKUP(Z$3,Assumption!$H$35:$K$43,2,0))^0.5-($M102+$R102)*PML_EF-($S102*PML_EF*AA101),0))</f>
        <v>0</v>
      </c>
      <c r="AA102" s="207">
        <f>+IF($B102&gt;Coverage,0,ROUND(Z102*(1+VLOOKUP(Z$3,Assumption!$H$35:$K$43,2,0))^0.5,0))</f>
        <v>0</v>
      </c>
      <c r="AB102" s="207">
        <f>+IF($B102="",0,(1-VLOOKUP(MIN($B102,6),Assumption!$M$10:$N$16,2))*AA102)</f>
        <v>0</v>
      </c>
      <c r="AC102" s="207">
        <f>+IF($B102&gt;Coverage,0,ROUND((AD101+($F102+$G102-$H102-$Q102)*PML_FI)*(1+VLOOKUP(AC$3,Assumption!$H$35:$K$43,2,0))^0.5-($M102+$R102)*PML_FI-($S102*PML_FI*AD101),0))</f>
        <v>0</v>
      </c>
      <c r="AD102" s="207">
        <f>+IF($B102&gt;Coverage,0,ROUND(AC102*(1+VLOOKUP(AC$3,Assumption!$H$35:$K$43,2,0))^0.5,0))</f>
        <v>0</v>
      </c>
      <c r="AE102" s="207">
        <f>+IF($B102="",0,(1-VLOOKUP(MIN($B102,6),Assumption!$M$10:$N$16,2))*AD102)</f>
        <v>0</v>
      </c>
      <c r="AF102" s="207">
        <f>+IF($B102&gt;Coverage,0,ROUND((AG101+($F102+$G102-$H102-$Q102)*PML_LF)*(1+VLOOKUP(AF$3,Assumption!$H$35:$K$43,3,0))^0.5-($M102+$R102)*PML_LF-($S102*PML_LF*AG101),0))</f>
        <v>0</v>
      </c>
      <c r="AG102" s="207">
        <f>+IF($B102&gt;Coverage,0,ROUND(AF102*(1+VLOOKUP(AF$3,Assumption!$H$35:$K$43,3,0))^0.5,0))</f>
        <v>0</v>
      </c>
      <c r="AH102" s="207">
        <f>+IF($B102="",0,(1-VLOOKUP(MIN($B102,6),Assumption!$M$10:$N$16,2))*AG102)</f>
        <v>0</v>
      </c>
      <c r="AI102" s="207">
        <f>+IF($B102&gt;Coverage,0,ROUND((AJ101+($F102+$G102-$H102-$Q102)*PML_BF)*(1+VLOOKUP(AI$3,Assumption!$H$35:$K$43,3,0))^0.5-($M102+$R102)*PML_BF-($S102*PML_BF*AJ101),0))</f>
        <v>0</v>
      </c>
      <c r="AJ102" s="207">
        <f>+IF($B102&gt;Coverage,0,ROUND(AI102*(1+VLOOKUP(AI$3,Assumption!$H$35:$K$43,3,0))^0.5,0))</f>
        <v>0</v>
      </c>
      <c r="AK102" s="207">
        <f>+IF($B102="",0,(1-VLOOKUP(MIN($B102,6),Assumption!$M$10:$N$16,2))*AJ102)</f>
        <v>0</v>
      </c>
      <c r="AL102" s="207">
        <f>+IF($B102&gt;Coverage,0,ROUND((AM101+($F102+$G102-$H102-$Q102)*PML_EF)*(1+VLOOKUP(AL$3,Assumption!$H$35:$K$43,3,0))^0.5-($M102+$R102)*PML_EF-($S102*PML_EF*AM101),0))</f>
        <v>0</v>
      </c>
      <c r="AM102" s="207">
        <f>+IF($B102&gt;Coverage,0,ROUND(AL102*(1+VLOOKUP(AL$3,Assumption!$H$35:$K$43,3,0))^0.5,0))</f>
        <v>0</v>
      </c>
      <c r="AN102" s="207">
        <f>+IF($B102="",0,(1-VLOOKUP(MIN($B102,6),Assumption!$M$10:$N$16,2))*AM102)</f>
        <v>0</v>
      </c>
      <c r="AO102" s="207">
        <f>+IF($B102&gt;Coverage,0,ROUND((AP101+($F102+$G102-$H102-$Q102)*PML_FI)*(1+VLOOKUP(AO$3,Assumption!$H$35:$K$43,3,0))^0.5-($M102+$R102)*PML_FI-($S102*PML_FI*AP101),0))</f>
        <v>0</v>
      </c>
      <c r="AP102" s="207">
        <f>+IF($B102&gt;Coverage,0,ROUND(AO102*(1+VLOOKUP(AO$3,Assumption!$H$35:$K$43,3,0))^0.5,0))</f>
        <v>0</v>
      </c>
      <c r="AQ102" s="207">
        <f>+IF($B102="",0,(1-VLOOKUP(MIN($B102,6),Assumption!$M$10:$N$16,2))*AP102)</f>
        <v>0</v>
      </c>
      <c r="AR102" s="207">
        <f>+IF($B102&gt;Coverage,0,ROUND((AS101+($F102+$G102-$H102-$Q102)*PML_LF)*(1+VLOOKUP(AR$3,Assumption!$H$35:$K$43,4,0))^0.5-($M102+$R102)*PML_LF-($S102*PML_LF*AS101),0))</f>
        <v>0</v>
      </c>
      <c r="AS102" s="207">
        <f>+IF($B102&gt;Coverage,0,ROUND(AR102*(1+VLOOKUP(AR$3,Assumption!$H$35:$K$43,4,0))^0.5,0))</f>
        <v>0</v>
      </c>
      <c r="AT102" s="207">
        <f>+IF($B102="",0,(1-VLOOKUP(MIN($B102,6),Assumption!$M$10:$N$16,2))*AS102)</f>
        <v>0</v>
      </c>
      <c r="AU102" s="207">
        <f>+IF($B102&gt;Coverage,0,ROUND((AV101+($F102+$G102-$H102-$Q102)*PML_BF)*(1+VLOOKUP(AU$3,Assumption!$H$35:$K$43,4,0))^0.5-($M102+$R102)*PML_BF-($S102*PML_BF*AV101),0))</f>
        <v>0</v>
      </c>
      <c r="AV102" s="207">
        <f>+IF($B102&gt;Coverage,0,ROUND(AU102*(1+VLOOKUP(AU$3,Assumption!$H$35:$K$43,4,0))^0.5,0))</f>
        <v>0</v>
      </c>
      <c r="AW102" s="207">
        <f>+IF($B102="",0,(1-VLOOKUP(MIN($B102,6),Assumption!$M$10:$N$16,2))*AV102)</f>
        <v>0</v>
      </c>
      <c r="AX102" s="207">
        <f>+IF($B102&gt;Coverage,0,ROUND((AY101+($F102+$G102-$H102-$Q102)*PML_EF)*(1+VLOOKUP(AX$3,Assumption!$H$35:$K$43,4,0))^0.5-($M102+$R102)*PML_EF-($S102*PML_EF*AY101),0))</f>
        <v>0</v>
      </c>
      <c r="AY102" s="207">
        <f>+IF($B102&gt;Coverage,0,ROUND(AX102*(1+VLOOKUP(AX$3,Assumption!$H$35:$K$43,4,0))^0.5,0))</f>
        <v>0</v>
      </c>
      <c r="AZ102" s="207">
        <f>+IF($B102="",0,(1-VLOOKUP(MIN($B102,6),Assumption!$M$10:$N$16,2))*AY102)</f>
        <v>0</v>
      </c>
      <c r="BA102" s="207">
        <f>+IF($B102&gt;Coverage,0,ROUND((BB101+($F102+$G102-$H102-$Q102)*PML_FI)*(1+VLOOKUP(BA$3,Assumption!$H$35:$K$43,4,0))^0.5-($M102+$R102)*PML_FI-($S102*PML_FI*BB101),0))</f>
        <v>0</v>
      </c>
      <c r="BB102" s="207">
        <f>+IF($B102&gt;Coverage,0,ROUND(BA102*(1+VLOOKUP(BA$3,Assumption!$H$35:$K$43,4,0))^0.5,0))</f>
        <v>0</v>
      </c>
      <c r="BC102" s="207">
        <f>+IF($B102="",0,(1-VLOOKUP(MIN($B102,6),Assumption!$M$10:$N$16,2))*BB102)</f>
        <v>0</v>
      </c>
    </row>
    <row r="103" ht="14.25" customHeight="1">
      <c r="A103" s="126">
        <v>96.0</v>
      </c>
      <c r="B103" s="129" t="str">
        <f>+IF(A103&gt;Coverage,"",A103)</f>
        <v/>
      </c>
      <c r="C103" s="134" t="str">
        <f>+IF(B103=1,Insured_Age,IF(B103="","",C102+1))</f>
        <v/>
      </c>
      <c r="D103" s="134" t="str">
        <f>+IF(B103&gt;Coverage,"",IF(B103=1,input!$H$11,D102+1))</f>
        <v/>
      </c>
      <c r="E103" s="134" t="str">
        <f>IF(B103=1,premi_dasar,IF(B103&gt;Coverage,"",0))</f>
        <v/>
      </c>
      <c r="F103" s="134" t="str">
        <f>IF(B103&gt;Coverage,"",SUM(E103))</f>
        <v/>
      </c>
      <c r="G103" s="134" t="str">
        <f>IF(B103&gt;Coverage,"",SUMIFS(input!$E$38:$E$50,input!$C$38:$C$50,$C103))</f>
        <v/>
      </c>
      <c r="H103" s="134" t="str">
        <f>IF(B103&gt;Coverage,"",SUMIFS(input!$E$53:$E$87,input!$C$53:$C$87,$C103))</f>
        <v/>
      </c>
      <c r="I103" s="66" t="str">
        <f>+IF(B103="","",Sum_Assured*VLOOKUP(MIN(C103,10),Assumption!$M$19:$N$28,2,0))</f>
        <v/>
      </c>
      <c r="J103" s="66" t="str">
        <f>IF(B103="","",input!$D$33)</f>
        <v/>
      </c>
      <c r="K103" s="66" t="str">
        <f>IF(B103&gt;Coverage,"",VLOOKUP($C103,COI_Tab[],IF(sex="Male",2,3),0)*I103*(1+EM_Basic)/1000)</f>
        <v/>
      </c>
      <c r="L103" s="66" t="str">
        <f>IF(B103&gt;Coverage,"",VLOOKUP($C103,COI_Tab[],4,0)*J103*(1+EM_Basic)/1000)</f>
        <v/>
      </c>
      <c r="M103" s="207" t="str">
        <f>IF(B103&gt;Coverage,"",ROUND(K103+L103,0))</f>
        <v/>
      </c>
      <c r="N103" s="134" t="str">
        <f>IF(B103&gt;Coverage,"",VLOOKUP($B103,Assumption!$H$11:$I$15,2)*E103)</f>
        <v/>
      </c>
      <c r="O103" s="134" t="str">
        <f>IF(B103&gt;Coverage,"",Assumption!$J$11*$G103)</f>
        <v/>
      </c>
      <c r="P103" s="134" t="str">
        <f>IF(B103&gt;Coverage,"",H103*VLOOKUP(MIN(B103,6),Assumption!$M$11:$N$16,2,0))</f>
        <v/>
      </c>
      <c r="Q103" s="134" t="str">
        <f>IF(B103&gt;Coverage,"",SUM(N103:P103))</f>
        <v/>
      </c>
      <c r="R103" s="207" t="str">
        <f>+IF($B103&gt;Coverage,"",Assumption!$I$18*12)</f>
        <v/>
      </c>
      <c r="S103" s="208" t="str">
        <f>+IF($B103&gt;Coverage,"",Assumption!$I$20)</f>
        <v/>
      </c>
      <c r="T103" s="207">
        <f>+IF($B103&gt;Coverage,0,ROUND((U102+($F103+$G103-$H103-$Q103)*PML_LF)*(1+VLOOKUP(T$3,Assumption!$H$35:$K$43,2,0))^0.5-($M103+$R103)*PML_LF-($S103*PML_LF*U102),0))</f>
        <v>0</v>
      </c>
      <c r="U103" s="207">
        <f>+IF($B103&gt;Coverage,0,ROUND(T103*(1+VLOOKUP(T$3,Assumption!$H$35:$K$43,2,0))^0.5,0))</f>
        <v>0</v>
      </c>
      <c r="V103" s="207">
        <f>+IF($B103="",0,(1-VLOOKUP(MIN($B103,6),Assumption!$M$10:$N$16,2))*U103)</f>
        <v>0</v>
      </c>
      <c r="W103" s="207">
        <f>+IF($B103&gt;Coverage,0,ROUND((X102+($F103+$G103-$H103-$Q103)*PML_BF)*(1+VLOOKUP(W$3,Assumption!$H$35:$K$43,2,0))^0.5-($M103+$R103)*PML_BF-($S103*PML_BF*X102),0))</f>
        <v>0</v>
      </c>
      <c r="X103" s="207">
        <f>+IF($B103&gt;Coverage,0,ROUND(W103*(1+VLOOKUP(W$3,Assumption!$H$35:$K$43,2,0))^0.5,0))</f>
        <v>0</v>
      </c>
      <c r="Y103" s="207">
        <f>+IF($B103="",0,(1-VLOOKUP(MIN($B103,6),Assumption!$M$10:$N$16,2))*X103)</f>
        <v>0</v>
      </c>
      <c r="Z103" s="207">
        <f>+IF($B103&gt;Coverage,0,ROUND((AA102+($F103+$G103-$H103-$Q103)*PML_EF)*(1+VLOOKUP(Z$3,Assumption!$H$35:$K$43,2,0))^0.5-($M103+$R103)*PML_EF-($S103*PML_EF*AA102),0))</f>
        <v>0</v>
      </c>
      <c r="AA103" s="207">
        <f>+IF($B103&gt;Coverage,0,ROUND(Z103*(1+VLOOKUP(Z$3,Assumption!$H$35:$K$43,2,0))^0.5,0))</f>
        <v>0</v>
      </c>
      <c r="AB103" s="207">
        <f>+IF($B103="",0,(1-VLOOKUP(MIN($B103,6),Assumption!$M$10:$N$16,2))*AA103)</f>
        <v>0</v>
      </c>
      <c r="AC103" s="207">
        <f>+IF($B103&gt;Coverage,0,ROUND((AD102+($F103+$G103-$H103-$Q103)*PML_FI)*(1+VLOOKUP(AC$3,Assumption!$H$35:$K$43,2,0))^0.5-($M103+$R103)*PML_FI-($S103*PML_FI*AD102),0))</f>
        <v>0</v>
      </c>
      <c r="AD103" s="207">
        <f>+IF($B103&gt;Coverage,0,ROUND(AC103*(1+VLOOKUP(AC$3,Assumption!$H$35:$K$43,2,0))^0.5,0))</f>
        <v>0</v>
      </c>
      <c r="AE103" s="207">
        <f>+IF($B103="",0,(1-VLOOKUP(MIN($B103,6),Assumption!$M$10:$N$16,2))*AD103)</f>
        <v>0</v>
      </c>
      <c r="AF103" s="207">
        <f>+IF($B103&gt;Coverage,0,ROUND((AG102+($F103+$G103-$H103-$Q103)*PML_LF)*(1+VLOOKUP(AF$3,Assumption!$H$35:$K$43,3,0))^0.5-($M103+$R103)*PML_LF-($S103*PML_LF*AG102),0))</f>
        <v>0</v>
      </c>
      <c r="AG103" s="207">
        <f>+IF($B103&gt;Coverage,0,ROUND(AF103*(1+VLOOKUP(AF$3,Assumption!$H$35:$K$43,3,0))^0.5,0))</f>
        <v>0</v>
      </c>
      <c r="AH103" s="207">
        <f>+IF($B103="",0,(1-VLOOKUP(MIN($B103,6),Assumption!$M$10:$N$16,2))*AG103)</f>
        <v>0</v>
      </c>
      <c r="AI103" s="207">
        <f>+IF($B103&gt;Coverage,0,ROUND((AJ102+($F103+$G103-$H103-$Q103)*PML_BF)*(1+VLOOKUP(AI$3,Assumption!$H$35:$K$43,3,0))^0.5-($M103+$R103)*PML_BF-($S103*PML_BF*AJ102),0))</f>
        <v>0</v>
      </c>
      <c r="AJ103" s="207">
        <f>+IF($B103&gt;Coverage,0,ROUND(AI103*(1+VLOOKUP(AI$3,Assumption!$H$35:$K$43,3,0))^0.5,0))</f>
        <v>0</v>
      </c>
      <c r="AK103" s="207">
        <f>+IF($B103="",0,(1-VLOOKUP(MIN($B103,6),Assumption!$M$10:$N$16,2))*AJ103)</f>
        <v>0</v>
      </c>
      <c r="AL103" s="207">
        <f>+IF($B103&gt;Coverage,0,ROUND((AM102+($F103+$G103-$H103-$Q103)*PML_EF)*(1+VLOOKUP(AL$3,Assumption!$H$35:$K$43,3,0))^0.5-($M103+$R103)*PML_EF-($S103*PML_EF*AM102),0))</f>
        <v>0</v>
      </c>
      <c r="AM103" s="207">
        <f>+IF($B103&gt;Coverage,0,ROUND(AL103*(1+VLOOKUP(AL$3,Assumption!$H$35:$K$43,3,0))^0.5,0))</f>
        <v>0</v>
      </c>
      <c r="AN103" s="207">
        <f>+IF($B103="",0,(1-VLOOKUP(MIN($B103,6),Assumption!$M$10:$N$16,2))*AM103)</f>
        <v>0</v>
      </c>
      <c r="AO103" s="207">
        <f>+IF($B103&gt;Coverage,0,ROUND((AP102+($F103+$G103-$H103-$Q103)*PML_FI)*(1+VLOOKUP(AO$3,Assumption!$H$35:$K$43,3,0))^0.5-($M103+$R103)*PML_FI-($S103*PML_FI*AP102),0))</f>
        <v>0</v>
      </c>
      <c r="AP103" s="207">
        <f>+IF($B103&gt;Coverage,0,ROUND(AO103*(1+VLOOKUP(AO$3,Assumption!$H$35:$K$43,3,0))^0.5,0))</f>
        <v>0</v>
      </c>
      <c r="AQ103" s="207">
        <f>+IF($B103="",0,(1-VLOOKUP(MIN($B103,6),Assumption!$M$10:$N$16,2))*AP103)</f>
        <v>0</v>
      </c>
      <c r="AR103" s="207">
        <f>+IF($B103&gt;Coverage,0,ROUND((AS102+($F103+$G103-$H103-$Q103)*PML_LF)*(1+VLOOKUP(AR$3,Assumption!$H$35:$K$43,4,0))^0.5-($M103+$R103)*PML_LF-($S103*PML_LF*AS102),0))</f>
        <v>0</v>
      </c>
      <c r="AS103" s="207">
        <f>+IF($B103&gt;Coverage,0,ROUND(AR103*(1+VLOOKUP(AR$3,Assumption!$H$35:$K$43,4,0))^0.5,0))</f>
        <v>0</v>
      </c>
      <c r="AT103" s="207">
        <f>+IF($B103="",0,(1-VLOOKUP(MIN($B103,6),Assumption!$M$10:$N$16,2))*AS103)</f>
        <v>0</v>
      </c>
      <c r="AU103" s="207">
        <f>+IF($B103&gt;Coverage,0,ROUND((AV102+($F103+$G103-$H103-$Q103)*PML_BF)*(1+VLOOKUP(AU$3,Assumption!$H$35:$K$43,4,0))^0.5-($M103+$R103)*PML_BF-($S103*PML_BF*AV102),0))</f>
        <v>0</v>
      </c>
      <c r="AV103" s="207">
        <f>+IF($B103&gt;Coverage,0,ROUND(AU103*(1+VLOOKUP(AU$3,Assumption!$H$35:$K$43,4,0))^0.5,0))</f>
        <v>0</v>
      </c>
      <c r="AW103" s="207">
        <f>+IF($B103="",0,(1-VLOOKUP(MIN($B103,6),Assumption!$M$10:$N$16,2))*AV103)</f>
        <v>0</v>
      </c>
      <c r="AX103" s="207">
        <f>+IF($B103&gt;Coverage,0,ROUND((AY102+($F103+$G103-$H103-$Q103)*PML_EF)*(1+VLOOKUP(AX$3,Assumption!$H$35:$K$43,4,0))^0.5-($M103+$R103)*PML_EF-($S103*PML_EF*AY102),0))</f>
        <v>0</v>
      </c>
      <c r="AY103" s="207">
        <f>+IF($B103&gt;Coverage,0,ROUND(AX103*(1+VLOOKUP(AX$3,Assumption!$H$35:$K$43,4,0))^0.5,0))</f>
        <v>0</v>
      </c>
      <c r="AZ103" s="207">
        <f>+IF($B103="",0,(1-VLOOKUP(MIN($B103,6),Assumption!$M$10:$N$16,2))*AY103)</f>
        <v>0</v>
      </c>
      <c r="BA103" s="207">
        <f>+IF($B103&gt;Coverage,0,ROUND((BB102+($F103+$G103-$H103-$Q103)*PML_FI)*(1+VLOOKUP(BA$3,Assumption!$H$35:$K$43,4,0))^0.5-($M103+$R103)*PML_FI-($S103*PML_FI*BB102),0))</f>
        <v>0</v>
      </c>
      <c r="BB103" s="207">
        <f>+IF($B103&gt;Coverage,0,ROUND(BA103*(1+VLOOKUP(BA$3,Assumption!$H$35:$K$43,4,0))^0.5,0))</f>
        <v>0</v>
      </c>
      <c r="BC103" s="207">
        <f>+IF($B103="",0,(1-VLOOKUP(MIN($B103,6),Assumption!$M$10:$N$16,2))*BB103)</f>
        <v>0</v>
      </c>
    </row>
    <row r="104" ht="14.25" customHeight="1">
      <c r="A104" s="126">
        <v>97.0</v>
      </c>
      <c r="B104" s="129" t="str">
        <f>+IF(A104&gt;Coverage,"",A104)</f>
        <v/>
      </c>
      <c r="C104" s="134" t="str">
        <f>+IF(B104=1,Insured_Age,IF(B104="","",C103+1))</f>
        <v/>
      </c>
      <c r="D104" s="134" t="str">
        <f>+IF(B104&gt;Coverage,"",IF(B104=1,input!$H$11,D103+1))</f>
        <v/>
      </c>
      <c r="E104" s="134" t="str">
        <f>IF(B104=1,premi_dasar,IF(B104&gt;Coverage,"",0))</f>
        <v/>
      </c>
      <c r="F104" s="134" t="str">
        <f>IF(B104&gt;Coverage,"",SUM(E104))</f>
        <v/>
      </c>
      <c r="G104" s="134" t="str">
        <f>IF(B104&gt;Coverage,"",SUMIFS(input!$E$38:$E$50,input!$C$38:$C$50,$C104))</f>
        <v/>
      </c>
      <c r="H104" s="134" t="str">
        <f>IF(B104&gt;Coverage,"",SUMIFS(input!$E$53:$E$87,input!$C$53:$C$87,$C104))</f>
        <v/>
      </c>
      <c r="I104" s="66" t="str">
        <f>+IF(B104="","",Sum_Assured*VLOOKUP(MIN(C104,10),Assumption!$M$19:$N$28,2,0))</f>
        <v/>
      </c>
      <c r="J104" s="66" t="str">
        <f>IF(B104="","",input!$D$33)</f>
        <v/>
      </c>
      <c r="K104" s="66" t="str">
        <f>IF(B104&gt;Coverage,"",VLOOKUP($C104,COI_Tab[],IF(sex="Male",2,3),0)*I104*(1+EM_Basic)/1000)</f>
        <v/>
      </c>
      <c r="L104" s="66" t="str">
        <f>IF(B104&gt;Coverage,"",VLOOKUP($C104,COI_Tab[],4,0)*J104*(1+EM_Basic)/1000)</f>
        <v/>
      </c>
      <c r="M104" s="207" t="str">
        <f>IF(B104&gt;Coverage,"",ROUND(K104+L104,0))</f>
        <v/>
      </c>
      <c r="N104" s="134" t="str">
        <f>IF(B104&gt;Coverage,"",VLOOKUP($B104,Assumption!$H$11:$I$15,2)*E104)</f>
        <v/>
      </c>
      <c r="O104" s="134" t="str">
        <f>IF(B104&gt;Coverage,"",Assumption!$J$11*$G104)</f>
        <v/>
      </c>
      <c r="P104" s="134" t="str">
        <f>IF(B104&gt;Coverage,"",H104*VLOOKUP(MIN(B104,6),Assumption!$M$11:$N$16,2,0))</f>
        <v/>
      </c>
      <c r="Q104" s="134" t="str">
        <f>IF(B104&gt;Coverage,"",SUM(N104:P104))</f>
        <v/>
      </c>
      <c r="R104" s="207" t="str">
        <f>+IF($B104&gt;Coverage,"",Assumption!$I$18*12)</f>
        <v/>
      </c>
      <c r="S104" s="208" t="str">
        <f>+IF($B104&gt;Coverage,"",Assumption!$I$20)</f>
        <v/>
      </c>
      <c r="T104" s="207">
        <f>+IF($B104&gt;Coverage,0,ROUND((U103+($F104+$G104-$H104-$Q104)*PML_LF)*(1+VLOOKUP(T$3,Assumption!$H$35:$K$43,2,0))^0.5-($M104+$R104)*PML_LF-($S104*PML_LF*U103),0))</f>
        <v>0</v>
      </c>
      <c r="U104" s="207">
        <f>+IF($B104&gt;Coverage,0,ROUND(T104*(1+VLOOKUP(T$3,Assumption!$H$35:$K$43,2,0))^0.5,0))</f>
        <v>0</v>
      </c>
      <c r="V104" s="207">
        <f>+IF($B104="",0,(1-VLOOKUP(MIN($B104,6),Assumption!$M$10:$N$16,2))*U104)</f>
        <v>0</v>
      </c>
      <c r="W104" s="207">
        <f>+IF($B104&gt;Coverage,0,ROUND((X103+($F104+$G104-$H104-$Q104)*PML_BF)*(1+VLOOKUP(W$3,Assumption!$H$35:$K$43,2,0))^0.5-($M104+$R104)*PML_BF-($S104*PML_BF*X103),0))</f>
        <v>0</v>
      </c>
      <c r="X104" s="207">
        <f>+IF($B104&gt;Coverage,0,ROUND(W104*(1+VLOOKUP(W$3,Assumption!$H$35:$K$43,2,0))^0.5,0))</f>
        <v>0</v>
      </c>
      <c r="Y104" s="207">
        <f>+IF($B104="",0,(1-VLOOKUP(MIN($B104,6),Assumption!$M$10:$N$16,2))*X104)</f>
        <v>0</v>
      </c>
      <c r="Z104" s="207">
        <f>+IF($B104&gt;Coverage,0,ROUND((AA103+($F104+$G104-$H104-$Q104)*PML_EF)*(1+VLOOKUP(Z$3,Assumption!$H$35:$K$43,2,0))^0.5-($M104+$R104)*PML_EF-($S104*PML_EF*AA103),0))</f>
        <v>0</v>
      </c>
      <c r="AA104" s="207">
        <f>+IF($B104&gt;Coverage,0,ROUND(Z104*(1+VLOOKUP(Z$3,Assumption!$H$35:$K$43,2,0))^0.5,0))</f>
        <v>0</v>
      </c>
      <c r="AB104" s="207">
        <f>+IF($B104="",0,(1-VLOOKUP(MIN($B104,6),Assumption!$M$10:$N$16,2))*AA104)</f>
        <v>0</v>
      </c>
      <c r="AC104" s="207">
        <f>+IF($B104&gt;Coverage,0,ROUND((AD103+($F104+$G104-$H104-$Q104)*PML_FI)*(1+VLOOKUP(AC$3,Assumption!$H$35:$K$43,2,0))^0.5-($M104+$R104)*PML_FI-($S104*PML_FI*AD103),0))</f>
        <v>0</v>
      </c>
      <c r="AD104" s="207">
        <f>+IF($B104&gt;Coverage,0,ROUND(AC104*(1+VLOOKUP(AC$3,Assumption!$H$35:$K$43,2,0))^0.5,0))</f>
        <v>0</v>
      </c>
      <c r="AE104" s="207">
        <f>+IF($B104="",0,(1-VLOOKUP(MIN($B104,6),Assumption!$M$10:$N$16,2))*AD104)</f>
        <v>0</v>
      </c>
      <c r="AF104" s="207">
        <f>+IF($B104&gt;Coverage,0,ROUND((AG103+($F104+$G104-$H104-$Q104)*PML_LF)*(1+VLOOKUP(AF$3,Assumption!$H$35:$K$43,3,0))^0.5-($M104+$R104)*PML_LF-($S104*PML_LF*AG103),0))</f>
        <v>0</v>
      </c>
      <c r="AG104" s="207">
        <f>+IF($B104&gt;Coverage,0,ROUND(AF104*(1+VLOOKUP(AF$3,Assumption!$H$35:$K$43,3,0))^0.5,0))</f>
        <v>0</v>
      </c>
      <c r="AH104" s="207">
        <f>+IF($B104="",0,(1-VLOOKUP(MIN($B104,6),Assumption!$M$10:$N$16,2))*AG104)</f>
        <v>0</v>
      </c>
      <c r="AI104" s="207">
        <f>+IF($B104&gt;Coverage,0,ROUND((AJ103+($F104+$G104-$H104-$Q104)*PML_BF)*(1+VLOOKUP(AI$3,Assumption!$H$35:$K$43,3,0))^0.5-($M104+$R104)*PML_BF-($S104*PML_BF*AJ103),0))</f>
        <v>0</v>
      </c>
      <c r="AJ104" s="207">
        <f>+IF($B104&gt;Coverage,0,ROUND(AI104*(1+VLOOKUP(AI$3,Assumption!$H$35:$K$43,3,0))^0.5,0))</f>
        <v>0</v>
      </c>
      <c r="AK104" s="207">
        <f>+IF($B104="",0,(1-VLOOKUP(MIN($B104,6),Assumption!$M$10:$N$16,2))*AJ104)</f>
        <v>0</v>
      </c>
      <c r="AL104" s="207">
        <f>+IF($B104&gt;Coverage,0,ROUND((AM103+($F104+$G104-$H104-$Q104)*PML_EF)*(1+VLOOKUP(AL$3,Assumption!$H$35:$K$43,3,0))^0.5-($M104+$R104)*PML_EF-($S104*PML_EF*AM103),0))</f>
        <v>0</v>
      </c>
      <c r="AM104" s="207">
        <f>+IF($B104&gt;Coverage,0,ROUND(AL104*(1+VLOOKUP(AL$3,Assumption!$H$35:$K$43,3,0))^0.5,0))</f>
        <v>0</v>
      </c>
      <c r="AN104" s="207">
        <f>+IF($B104="",0,(1-VLOOKUP(MIN($B104,6),Assumption!$M$10:$N$16,2))*AM104)</f>
        <v>0</v>
      </c>
      <c r="AO104" s="207">
        <f>+IF($B104&gt;Coverage,0,ROUND((AP103+($F104+$G104-$H104-$Q104)*PML_FI)*(1+VLOOKUP(AO$3,Assumption!$H$35:$K$43,3,0))^0.5-($M104+$R104)*PML_FI-($S104*PML_FI*AP103),0))</f>
        <v>0</v>
      </c>
      <c r="AP104" s="207">
        <f>+IF($B104&gt;Coverage,0,ROUND(AO104*(1+VLOOKUP(AO$3,Assumption!$H$35:$K$43,3,0))^0.5,0))</f>
        <v>0</v>
      </c>
      <c r="AQ104" s="207">
        <f>+IF($B104="",0,(1-VLOOKUP(MIN($B104,6),Assumption!$M$10:$N$16,2))*AP104)</f>
        <v>0</v>
      </c>
      <c r="AR104" s="207">
        <f>+IF($B104&gt;Coverage,0,ROUND((AS103+($F104+$G104-$H104-$Q104)*PML_LF)*(1+VLOOKUP(AR$3,Assumption!$H$35:$K$43,4,0))^0.5-($M104+$R104)*PML_LF-($S104*PML_LF*AS103),0))</f>
        <v>0</v>
      </c>
      <c r="AS104" s="207">
        <f>+IF($B104&gt;Coverage,0,ROUND(AR104*(1+VLOOKUP(AR$3,Assumption!$H$35:$K$43,4,0))^0.5,0))</f>
        <v>0</v>
      </c>
      <c r="AT104" s="207">
        <f>+IF($B104="",0,(1-VLOOKUP(MIN($B104,6),Assumption!$M$10:$N$16,2))*AS104)</f>
        <v>0</v>
      </c>
      <c r="AU104" s="207">
        <f>+IF($B104&gt;Coverage,0,ROUND((AV103+($F104+$G104-$H104-$Q104)*PML_BF)*(1+VLOOKUP(AU$3,Assumption!$H$35:$K$43,4,0))^0.5-($M104+$R104)*PML_BF-($S104*PML_BF*AV103),0))</f>
        <v>0</v>
      </c>
      <c r="AV104" s="207">
        <f>+IF($B104&gt;Coverage,0,ROUND(AU104*(1+VLOOKUP(AU$3,Assumption!$H$35:$K$43,4,0))^0.5,0))</f>
        <v>0</v>
      </c>
      <c r="AW104" s="207">
        <f>+IF($B104="",0,(1-VLOOKUP(MIN($B104,6),Assumption!$M$10:$N$16,2))*AV104)</f>
        <v>0</v>
      </c>
      <c r="AX104" s="207">
        <f>+IF($B104&gt;Coverage,0,ROUND((AY103+($F104+$G104-$H104-$Q104)*PML_EF)*(1+VLOOKUP(AX$3,Assumption!$H$35:$K$43,4,0))^0.5-($M104+$R104)*PML_EF-($S104*PML_EF*AY103),0))</f>
        <v>0</v>
      </c>
      <c r="AY104" s="207">
        <f>+IF($B104&gt;Coverage,0,ROUND(AX104*(1+VLOOKUP(AX$3,Assumption!$H$35:$K$43,4,0))^0.5,0))</f>
        <v>0</v>
      </c>
      <c r="AZ104" s="207">
        <f>+IF($B104="",0,(1-VLOOKUP(MIN($B104,6),Assumption!$M$10:$N$16,2))*AY104)</f>
        <v>0</v>
      </c>
      <c r="BA104" s="207">
        <f>+IF($B104&gt;Coverage,0,ROUND((BB103+($F104+$G104-$H104-$Q104)*PML_FI)*(1+VLOOKUP(BA$3,Assumption!$H$35:$K$43,4,0))^0.5-($M104+$R104)*PML_FI-($S104*PML_FI*BB103),0))</f>
        <v>0</v>
      </c>
      <c r="BB104" s="207">
        <f>+IF($B104&gt;Coverage,0,ROUND(BA104*(1+VLOOKUP(BA$3,Assumption!$H$35:$K$43,4,0))^0.5,0))</f>
        <v>0</v>
      </c>
      <c r="BC104" s="207">
        <f>+IF($B104="",0,(1-VLOOKUP(MIN($B104,6),Assumption!$M$10:$N$16,2))*BB104)</f>
        <v>0</v>
      </c>
    </row>
    <row r="105" ht="14.25" customHeight="1">
      <c r="A105" s="126">
        <v>98.0</v>
      </c>
      <c r="B105" s="129" t="str">
        <f>+IF(A105&gt;Coverage,"",A105)</f>
        <v/>
      </c>
      <c r="C105" s="134" t="str">
        <f>+IF(B105=1,Insured_Age,IF(B105="","",C104+1))</f>
        <v/>
      </c>
      <c r="D105" s="134" t="str">
        <f>+IF(B105&gt;Coverage,"",IF(B105=1,input!$H$11,D104+1))</f>
        <v/>
      </c>
      <c r="E105" s="134" t="str">
        <f>IF(B105=1,premi_dasar,IF(B105&gt;Coverage,"",0))</f>
        <v/>
      </c>
      <c r="F105" s="134" t="str">
        <f>IF(B105&gt;Coverage,"",SUM(E105))</f>
        <v/>
      </c>
      <c r="G105" s="134" t="str">
        <f>IF(B105&gt;Coverage,"",SUMIFS(input!$E$38:$E$50,input!$C$38:$C$50,$C105))</f>
        <v/>
      </c>
      <c r="H105" s="134" t="str">
        <f>IF(B105&gt;Coverage,"",SUMIFS(input!$E$53:$E$87,input!$C$53:$C$87,$C105))</f>
        <v/>
      </c>
      <c r="I105" s="66" t="str">
        <f>+IF(B105="","",Sum_Assured*VLOOKUP(MIN(C105,10),Assumption!$M$19:$N$28,2,0))</f>
        <v/>
      </c>
      <c r="J105" s="66" t="str">
        <f>IF(B105="","",input!$D$33)</f>
        <v/>
      </c>
      <c r="K105" s="66" t="str">
        <f>IF(B105&gt;Coverage,"",VLOOKUP($C105,COI_Tab[],IF(sex="Male",2,3),0)*I105*(1+EM_Basic)/1000)</f>
        <v/>
      </c>
      <c r="L105" s="66" t="str">
        <f>IF(B105&gt;Coverage,"",VLOOKUP($C105,COI_Tab[],4,0)*J105*(1+EM_Basic)/1000)</f>
        <v/>
      </c>
      <c r="M105" s="207" t="str">
        <f>IF(B105&gt;Coverage,"",ROUND(K105+L105,0))</f>
        <v/>
      </c>
      <c r="N105" s="134" t="str">
        <f>IF(B105&gt;Coverage,"",VLOOKUP($B105,Assumption!$H$11:$I$15,2)*E105)</f>
        <v/>
      </c>
      <c r="O105" s="134" t="str">
        <f>IF(B105&gt;Coverage,"",Assumption!$J$11*$G105)</f>
        <v/>
      </c>
      <c r="P105" s="134" t="str">
        <f>IF(B105&gt;Coverage,"",H105*VLOOKUP(MIN(B105,6),Assumption!$M$11:$N$16,2,0))</f>
        <v/>
      </c>
      <c r="Q105" s="134" t="str">
        <f>IF(B105&gt;Coverage,"",SUM(N105:P105))</f>
        <v/>
      </c>
      <c r="R105" s="207" t="str">
        <f>+IF($B105&gt;Coverage,"",Assumption!$I$18*12)</f>
        <v/>
      </c>
      <c r="S105" s="208" t="str">
        <f>+IF($B105&gt;Coverage,"",Assumption!$I$20)</f>
        <v/>
      </c>
      <c r="T105" s="207">
        <f>+IF($B105&gt;Coverage,0,ROUND((U104+($F105+$G105-$H105-$Q105)*PML_LF)*(1+VLOOKUP(T$3,Assumption!$H$35:$K$43,2,0))^0.5-($M105+$R105)*PML_LF-($S105*PML_LF*U104),0))</f>
        <v>0</v>
      </c>
      <c r="U105" s="207">
        <f>+IF($B105&gt;Coverage,0,ROUND(T105*(1+VLOOKUP(T$3,Assumption!$H$35:$K$43,2,0))^0.5,0))</f>
        <v>0</v>
      </c>
      <c r="V105" s="207">
        <f>+IF($B105="",0,(1-VLOOKUP(MIN($B105,6),Assumption!$M$10:$N$16,2))*U105)</f>
        <v>0</v>
      </c>
      <c r="W105" s="207">
        <f>+IF($B105&gt;Coverage,0,ROUND((X104+($F105+$G105-$H105-$Q105)*PML_BF)*(1+VLOOKUP(W$3,Assumption!$H$35:$K$43,2,0))^0.5-($M105+$R105)*PML_BF-($S105*PML_BF*X104),0))</f>
        <v>0</v>
      </c>
      <c r="X105" s="207">
        <f>+IF($B105&gt;Coverage,0,ROUND(W105*(1+VLOOKUP(W$3,Assumption!$H$35:$K$43,2,0))^0.5,0))</f>
        <v>0</v>
      </c>
      <c r="Y105" s="207">
        <f>+IF($B105="",0,(1-VLOOKUP(MIN($B105,6),Assumption!$M$10:$N$16,2))*X105)</f>
        <v>0</v>
      </c>
      <c r="Z105" s="207">
        <f>+IF($B105&gt;Coverage,0,ROUND((AA104+($F105+$G105-$H105-$Q105)*PML_EF)*(1+VLOOKUP(Z$3,Assumption!$H$35:$K$43,2,0))^0.5-($M105+$R105)*PML_EF-($S105*PML_EF*AA104),0))</f>
        <v>0</v>
      </c>
      <c r="AA105" s="207">
        <f>+IF($B105&gt;Coverage,0,ROUND(Z105*(1+VLOOKUP(Z$3,Assumption!$H$35:$K$43,2,0))^0.5,0))</f>
        <v>0</v>
      </c>
      <c r="AB105" s="207">
        <f>+IF($B105="",0,(1-VLOOKUP(MIN($B105,6),Assumption!$M$10:$N$16,2))*AA105)</f>
        <v>0</v>
      </c>
      <c r="AC105" s="207">
        <f>+IF($B105&gt;Coverage,0,ROUND((AD104+($F105+$G105-$H105-$Q105)*PML_FI)*(1+VLOOKUP(AC$3,Assumption!$H$35:$K$43,2,0))^0.5-($M105+$R105)*PML_FI-($S105*PML_FI*AD104),0))</f>
        <v>0</v>
      </c>
      <c r="AD105" s="207">
        <f>+IF($B105&gt;Coverage,0,ROUND(AC105*(1+VLOOKUP(AC$3,Assumption!$H$35:$K$43,2,0))^0.5,0))</f>
        <v>0</v>
      </c>
      <c r="AE105" s="207">
        <f>+IF($B105="",0,(1-VLOOKUP(MIN($B105,6),Assumption!$M$10:$N$16,2))*AD105)</f>
        <v>0</v>
      </c>
      <c r="AF105" s="207">
        <f>+IF($B105&gt;Coverage,0,ROUND((AG104+($F105+$G105-$H105-$Q105)*PML_LF)*(1+VLOOKUP(AF$3,Assumption!$H$35:$K$43,3,0))^0.5-($M105+$R105)*PML_LF-($S105*PML_LF*AG104),0))</f>
        <v>0</v>
      </c>
      <c r="AG105" s="207">
        <f>+IF($B105&gt;Coverage,0,ROUND(AF105*(1+VLOOKUP(AF$3,Assumption!$H$35:$K$43,3,0))^0.5,0))</f>
        <v>0</v>
      </c>
      <c r="AH105" s="207">
        <f>+IF($B105="",0,(1-VLOOKUP(MIN($B105,6),Assumption!$M$10:$N$16,2))*AG105)</f>
        <v>0</v>
      </c>
      <c r="AI105" s="207">
        <f>+IF($B105&gt;Coverage,0,ROUND((AJ104+($F105+$G105-$H105-$Q105)*PML_BF)*(1+VLOOKUP(AI$3,Assumption!$H$35:$K$43,3,0))^0.5-($M105+$R105)*PML_BF-($S105*PML_BF*AJ104),0))</f>
        <v>0</v>
      </c>
      <c r="AJ105" s="207">
        <f>+IF($B105&gt;Coverage,0,ROUND(AI105*(1+VLOOKUP(AI$3,Assumption!$H$35:$K$43,3,0))^0.5,0))</f>
        <v>0</v>
      </c>
      <c r="AK105" s="207">
        <f>+IF($B105="",0,(1-VLOOKUP(MIN($B105,6),Assumption!$M$10:$N$16,2))*AJ105)</f>
        <v>0</v>
      </c>
      <c r="AL105" s="207">
        <f>+IF($B105&gt;Coverage,0,ROUND((AM104+($F105+$G105-$H105-$Q105)*PML_EF)*(1+VLOOKUP(AL$3,Assumption!$H$35:$K$43,3,0))^0.5-($M105+$R105)*PML_EF-($S105*PML_EF*AM104),0))</f>
        <v>0</v>
      </c>
      <c r="AM105" s="207">
        <f>+IF($B105&gt;Coverage,0,ROUND(AL105*(1+VLOOKUP(AL$3,Assumption!$H$35:$K$43,3,0))^0.5,0))</f>
        <v>0</v>
      </c>
      <c r="AN105" s="207">
        <f>+IF($B105="",0,(1-VLOOKUP(MIN($B105,6),Assumption!$M$10:$N$16,2))*AM105)</f>
        <v>0</v>
      </c>
      <c r="AO105" s="207">
        <f>+IF($B105&gt;Coverage,0,ROUND((AP104+($F105+$G105-$H105-$Q105)*PML_FI)*(1+VLOOKUP(AO$3,Assumption!$H$35:$K$43,3,0))^0.5-($M105+$R105)*PML_FI-($S105*PML_FI*AP104),0))</f>
        <v>0</v>
      </c>
      <c r="AP105" s="207">
        <f>+IF($B105&gt;Coverage,0,ROUND(AO105*(1+VLOOKUP(AO$3,Assumption!$H$35:$K$43,3,0))^0.5,0))</f>
        <v>0</v>
      </c>
      <c r="AQ105" s="207">
        <f>+IF($B105="",0,(1-VLOOKUP(MIN($B105,6),Assumption!$M$10:$N$16,2))*AP105)</f>
        <v>0</v>
      </c>
      <c r="AR105" s="207">
        <f>+IF($B105&gt;Coverage,0,ROUND((AS104+($F105+$G105-$H105-$Q105)*PML_LF)*(1+VLOOKUP(AR$3,Assumption!$H$35:$K$43,4,0))^0.5-($M105+$R105)*PML_LF-($S105*PML_LF*AS104),0))</f>
        <v>0</v>
      </c>
      <c r="AS105" s="207">
        <f>+IF($B105&gt;Coverage,0,ROUND(AR105*(1+VLOOKUP(AR$3,Assumption!$H$35:$K$43,4,0))^0.5,0))</f>
        <v>0</v>
      </c>
      <c r="AT105" s="207">
        <f>+IF($B105="",0,(1-VLOOKUP(MIN($B105,6),Assumption!$M$10:$N$16,2))*AS105)</f>
        <v>0</v>
      </c>
      <c r="AU105" s="207">
        <f>+IF($B105&gt;Coverage,0,ROUND((AV104+($F105+$G105-$H105-$Q105)*PML_BF)*(1+VLOOKUP(AU$3,Assumption!$H$35:$K$43,4,0))^0.5-($M105+$R105)*PML_BF-($S105*PML_BF*AV104),0))</f>
        <v>0</v>
      </c>
      <c r="AV105" s="207">
        <f>+IF($B105&gt;Coverage,0,ROUND(AU105*(1+VLOOKUP(AU$3,Assumption!$H$35:$K$43,4,0))^0.5,0))</f>
        <v>0</v>
      </c>
      <c r="AW105" s="207">
        <f>+IF($B105="",0,(1-VLOOKUP(MIN($B105,6),Assumption!$M$10:$N$16,2))*AV105)</f>
        <v>0</v>
      </c>
      <c r="AX105" s="207">
        <f>+IF($B105&gt;Coverage,0,ROUND((AY104+($F105+$G105-$H105-$Q105)*PML_EF)*(1+VLOOKUP(AX$3,Assumption!$H$35:$K$43,4,0))^0.5-($M105+$R105)*PML_EF-($S105*PML_EF*AY104),0))</f>
        <v>0</v>
      </c>
      <c r="AY105" s="207">
        <f>+IF($B105&gt;Coverage,0,ROUND(AX105*(1+VLOOKUP(AX$3,Assumption!$H$35:$K$43,4,0))^0.5,0))</f>
        <v>0</v>
      </c>
      <c r="AZ105" s="207">
        <f>+IF($B105="",0,(1-VLOOKUP(MIN($B105,6),Assumption!$M$10:$N$16,2))*AY105)</f>
        <v>0</v>
      </c>
      <c r="BA105" s="207">
        <f>+IF($B105&gt;Coverage,0,ROUND((BB104+($F105+$G105-$H105-$Q105)*PML_FI)*(1+VLOOKUP(BA$3,Assumption!$H$35:$K$43,4,0))^0.5-($M105+$R105)*PML_FI-($S105*PML_FI*BB104),0))</f>
        <v>0</v>
      </c>
      <c r="BB105" s="207">
        <f>+IF($B105&gt;Coverage,0,ROUND(BA105*(1+VLOOKUP(BA$3,Assumption!$H$35:$K$43,4,0))^0.5,0))</f>
        <v>0</v>
      </c>
      <c r="BC105" s="207">
        <f>+IF($B105="",0,(1-VLOOKUP(MIN($B105,6),Assumption!$M$10:$N$16,2))*BB105)</f>
        <v>0</v>
      </c>
    </row>
    <row r="106" ht="14.25" customHeight="1">
      <c r="A106" s="126">
        <v>99.0</v>
      </c>
      <c r="B106" s="129" t="str">
        <f>+IF(A106&gt;Coverage,"",A106)</f>
        <v/>
      </c>
      <c r="C106" s="134" t="str">
        <f>+IF(B106=1,Insured_Age,IF(B106="","",C105+1))</f>
        <v/>
      </c>
      <c r="D106" s="134" t="str">
        <f>+IF(B106&gt;Coverage,"",IF(B106=1,input!$H$11,D105+1))</f>
        <v/>
      </c>
      <c r="E106" s="134" t="str">
        <f>IF(B106=1,premi_dasar,IF(B106&gt;Coverage,"",0))</f>
        <v/>
      </c>
      <c r="F106" s="134" t="str">
        <f>IF(B106&gt;Coverage,"",SUM(E106))</f>
        <v/>
      </c>
      <c r="G106" s="134" t="str">
        <f>IF(B106&gt;Coverage,"",SUMIFS(input!$E$38:$E$50,input!$C$38:$C$50,$C106))</f>
        <v/>
      </c>
      <c r="H106" s="134" t="str">
        <f>IF(B106&gt;Coverage,"",SUMIFS(input!$E$53:$E$87,input!$C$53:$C$87,$C106))</f>
        <v/>
      </c>
      <c r="I106" s="66" t="str">
        <f>+IF(B106="","",Sum_Assured*VLOOKUP(MIN(C106,10),Assumption!$M$19:$N$28,2,0))</f>
        <v/>
      </c>
      <c r="J106" s="66" t="str">
        <f>IF(B106="","",input!$D$33)</f>
        <v/>
      </c>
      <c r="K106" s="66" t="str">
        <f>IF(B106&gt;Coverage,"",VLOOKUP($C106,COI_Tab[],IF(sex="Male",2,3),0)*I106*(1+EM_Basic)/1000)</f>
        <v/>
      </c>
      <c r="L106" s="66" t="str">
        <f>IF(B106&gt;Coverage,"",VLOOKUP($C106,COI_Tab[],4,0)*J106*(1+EM_Basic)/1000)</f>
        <v/>
      </c>
      <c r="M106" s="207" t="str">
        <f>IF(B106&gt;Coverage,"",ROUND(K106+L106,0))</f>
        <v/>
      </c>
      <c r="N106" s="134" t="str">
        <f>IF(B106&gt;Coverage,"",VLOOKUP($B106,Assumption!$H$11:$I$15,2)*E106)</f>
        <v/>
      </c>
      <c r="O106" s="134" t="str">
        <f>IF(B106&gt;Coverage,"",Assumption!$J$11*$G106)</f>
        <v/>
      </c>
      <c r="P106" s="134" t="str">
        <f>IF(B106&gt;Coverage,"",H106*VLOOKUP(MIN(B106,6),Assumption!$M$11:$N$16,2,0))</f>
        <v/>
      </c>
      <c r="Q106" s="134" t="str">
        <f>IF(B106&gt;Coverage,"",SUM(N106:P106))</f>
        <v/>
      </c>
      <c r="R106" s="207" t="str">
        <f>+IF($B106&gt;Coverage,"",Assumption!$I$18*12)</f>
        <v/>
      </c>
      <c r="S106" s="208" t="str">
        <f>+IF($B106&gt;Coverage,"",Assumption!$I$20)</f>
        <v/>
      </c>
      <c r="T106" s="207">
        <f>+IF($B106&gt;Coverage,0,ROUND((U105+($F106+$G106-$H106-$Q106)*PML_LF)*(1+VLOOKUP(T$3,Assumption!$H$35:$K$43,2,0))^0.5-($M106+$R106)*PML_LF-($S106*PML_LF*U105),0))</f>
        <v>0</v>
      </c>
      <c r="U106" s="207">
        <f>+IF($B106&gt;Coverage,0,ROUND(T106*(1+VLOOKUP(T$3,Assumption!$H$35:$K$43,2,0))^0.5,0))</f>
        <v>0</v>
      </c>
      <c r="V106" s="207">
        <f>+IF($B106="",0,(1-VLOOKUP(MIN($B106,6),Assumption!$M$10:$N$16,2))*U106)</f>
        <v>0</v>
      </c>
      <c r="W106" s="207">
        <f>+IF($B106&gt;Coverage,0,ROUND((X105+($F106+$G106-$H106-$Q106)*PML_BF)*(1+VLOOKUP(W$3,Assumption!$H$35:$K$43,2,0))^0.5-($M106+$R106)*PML_BF-($S106*PML_BF*X105),0))</f>
        <v>0</v>
      </c>
      <c r="X106" s="207">
        <f>+IF($B106&gt;Coverage,0,ROUND(W106*(1+VLOOKUP(W$3,Assumption!$H$35:$K$43,2,0))^0.5,0))</f>
        <v>0</v>
      </c>
      <c r="Y106" s="207">
        <f>+IF($B106="",0,(1-VLOOKUP(MIN($B106,6),Assumption!$M$10:$N$16,2))*X106)</f>
        <v>0</v>
      </c>
      <c r="Z106" s="207">
        <f>+IF($B106&gt;Coverage,0,ROUND((AA105+($F106+$G106-$H106-$Q106)*PML_EF)*(1+VLOOKUP(Z$3,Assumption!$H$35:$K$43,2,0))^0.5-($M106+$R106)*PML_EF-($S106*PML_EF*AA105),0))</f>
        <v>0</v>
      </c>
      <c r="AA106" s="207">
        <f>+IF($B106&gt;Coverage,0,ROUND(Z106*(1+VLOOKUP(Z$3,Assumption!$H$35:$K$43,2,0))^0.5,0))</f>
        <v>0</v>
      </c>
      <c r="AB106" s="207">
        <f>+IF($B106="",0,(1-VLOOKUP(MIN($B106,6),Assumption!$M$10:$N$16,2))*AA106)</f>
        <v>0</v>
      </c>
      <c r="AC106" s="207">
        <f>+IF($B106&gt;Coverage,0,ROUND((AD105+($F106+$G106-$H106-$Q106)*PML_FI)*(1+VLOOKUP(AC$3,Assumption!$H$35:$K$43,2,0))^0.5-($M106+$R106)*PML_FI-($S106*PML_FI*AD105),0))</f>
        <v>0</v>
      </c>
      <c r="AD106" s="207">
        <f>+IF($B106&gt;Coverage,0,ROUND(AC106*(1+VLOOKUP(AC$3,Assumption!$H$35:$K$43,2,0))^0.5,0))</f>
        <v>0</v>
      </c>
      <c r="AE106" s="207">
        <f>+IF($B106="",0,(1-VLOOKUP(MIN($B106,6),Assumption!$M$10:$N$16,2))*AD106)</f>
        <v>0</v>
      </c>
      <c r="AF106" s="207">
        <f>+IF($B106&gt;Coverage,0,ROUND((AG105+($F106+$G106-$H106-$Q106)*PML_LF)*(1+VLOOKUP(AF$3,Assumption!$H$35:$K$43,3,0))^0.5-($M106+$R106)*PML_LF-($S106*PML_LF*AG105),0))</f>
        <v>0</v>
      </c>
      <c r="AG106" s="207">
        <f>+IF($B106&gt;Coverage,0,ROUND(AF106*(1+VLOOKUP(AF$3,Assumption!$H$35:$K$43,3,0))^0.5,0))</f>
        <v>0</v>
      </c>
      <c r="AH106" s="207">
        <f>+IF($B106="",0,(1-VLOOKUP(MIN($B106,6),Assumption!$M$10:$N$16,2))*AG106)</f>
        <v>0</v>
      </c>
      <c r="AI106" s="207">
        <f>+IF($B106&gt;Coverage,0,ROUND((AJ105+($F106+$G106-$H106-$Q106)*PML_BF)*(1+VLOOKUP(AI$3,Assumption!$H$35:$K$43,3,0))^0.5-($M106+$R106)*PML_BF-($S106*PML_BF*AJ105),0))</f>
        <v>0</v>
      </c>
      <c r="AJ106" s="207">
        <f>+IF($B106&gt;Coverage,0,ROUND(AI106*(1+VLOOKUP(AI$3,Assumption!$H$35:$K$43,3,0))^0.5,0))</f>
        <v>0</v>
      </c>
      <c r="AK106" s="207">
        <f>+IF($B106="",0,(1-VLOOKUP(MIN($B106,6),Assumption!$M$10:$N$16,2))*AJ106)</f>
        <v>0</v>
      </c>
      <c r="AL106" s="207">
        <f>+IF($B106&gt;Coverage,0,ROUND((AM105+($F106+$G106-$H106-$Q106)*PML_EF)*(1+VLOOKUP(AL$3,Assumption!$H$35:$K$43,3,0))^0.5-($M106+$R106)*PML_EF-($S106*PML_EF*AM105),0))</f>
        <v>0</v>
      </c>
      <c r="AM106" s="207">
        <f>+IF($B106&gt;Coverage,0,ROUND(AL106*(1+VLOOKUP(AL$3,Assumption!$H$35:$K$43,3,0))^0.5,0))</f>
        <v>0</v>
      </c>
      <c r="AN106" s="207">
        <f>+IF($B106="",0,(1-VLOOKUP(MIN($B106,6),Assumption!$M$10:$N$16,2))*AM106)</f>
        <v>0</v>
      </c>
      <c r="AO106" s="207">
        <f>+IF($B106&gt;Coverage,0,ROUND((AP105+($F106+$G106-$H106-$Q106)*PML_FI)*(1+VLOOKUP(AO$3,Assumption!$H$35:$K$43,3,0))^0.5-($M106+$R106)*PML_FI-($S106*PML_FI*AP105),0))</f>
        <v>0</v>
      </c>
      <c r="AP106" s="207">
        <f>+IF($B106&gt;Coverage,0,ROUND(AO106*(1+VLOOKUP(AO$3,Assumption!$H$35:$K$43,3,0))^0.5,0))</f>
        <v>0</v>
      </c>
      <c r="AQ106" s="207">
        <f>+IF($B106="",0,(1-VLOOKUP(MIN($B106,6),Assumption!$M$10:$N$16,2))*AP106)</f>
        <v>0</v>
      </c>
      <c r="AR106" s="207">
        <f>+IF($B106&gt;Coverage,0,ROUND((AS105+($F106+$G106-$H106-$Q106)*PML_LF)*(1+VLOOKUP(AR$3,Assumption!$H$35:$K$43,4,0))^0.5-($M106+$R106)*PML_LF-($S106*PML_LF*AS105),0))</f>
        <v>0</v>
      </c>
      <c r="AS106" s="207">
        <f>+IF($B106&gt;Coverage,0,ROUND(AR106*(1+VLOOKUP(AR$3,Assumption!$H$35:$K$43,4,0))^0.5,0))</f>
        <v>0</v>
      </c>
      <c r="AT106" s="207">
        <f>+IF($B106="",0,(1-VLOOKUP(MIN($B106,6),Assumption!$M$10:$N$16,2))*AS106)</f>
        <v>0</v>
      </c>
      <c r="AU106" s="207">
        <f>+IF($B106&gt;Coverage,0,ROUND((AV105+($F106+$G106-$H106-$Q106)*PML_BF)*(1+VLOOKUP(AU$3,Assumption!$H$35:$K$43,4,0))^0.5-($M106+$R106)*PML_BF-($S106*PML_BF*AV105),0))</f>
        <v>0</v>
      </c>
      <c r="AV106" s="207">
        <f>+IF($B106&gt;Coverage,0,ROUND(AU106*(1+VLOOKUP(AU$3,Assumption!$H$35:$K$43,4,0))^0.5,0))</f>
        <v>0</v>
      </c>
      <c r="AW106" s="207">
        <f>+IF($B106="",0,(1-VLOOKUP(MIN($B106,6),Assumption!$M$10:$N$16,2))*AV106)</f>
        <v>0</v>
      </c>
      <c r="AX106" s="207">
        <f>+IF($B106&gt;Coverage,0,ROUND((AY105+($F106+$G106-$H106-$Q106)*PML_EF)*(1+VLOOKUP(AX$3,Assumption!$H$35:$K$43,4,0))^0.5-($M106+$R106)*PML_EF-($S106*PML_EF*AY105),0))</f>
        <v>0</v>
      </c>
      <c r="AY106" s="207">
        <f>+IF($B106&gt;Coverage,0,ROUND(AX106*(1+VLOOKUP(AX$3,Assumption!$H$35:$K$43,4,0))^0.5,0))</f>
        <v>0</v>
      </c>
      <c r="AZ106" s="207">
        <f>+IF($B106="",0,(1-VLOOKUP(MIN($B106,6),Assumption!$M$10:$N$16,2))*AY106)</f>
        <v>0</v>
      </c>
      <c r="BA106" s="207">
        <f>+IF($B106&gt;Coverage,0,ROUND((BB105+($F106+$G106-$H106-$Q106)*PML_FI)*(1+VLOOKUP(BA$3,Assumption!$H$35:$K$43,4,0))^0.5-($M106+$R106)*PML_FI-($S106*PML_FI*BB105),0))</f>
        <v>0</v>
      </c>
      <c r="BB106" s="207">
        <f>+IF($B106&gt;Coverage,0,ROUND(BA106*(1+VLOOKUP(BA$3,Assumption!$H$35:$K$43,4,0))^0.5,0))</f>
        <v>0</v>
      </c>
      <c r="BC106" s="207">
        <f>+IF($B106="",0,(1-VLOOKUP(MIN($B106,6),Assumption!$M$10:$N$16,2))*BB106)</f>
        <v>0</v>
      </c>
    </row>
    <row r="107" ht="14.25" customHeight="1">
      <c r="A107" s="126">
        <v>100.0</v>
      </c>
      <c r="B107" s="129" t="str">
        <f>+IF(A107&gt;Coverage,"",A107)</f>
        <v/>
      </c>
      <c r="C107" s="134" t="str">
        <f>+IF(B107=1,Insured_Age,IF(B107="","",C106+1))</f>
        <v/>
      </c>
      <c r="D107" s="134" t="str">
        <f>+IF(B107&gt;Coverage,"",IF(B107=1,input!$H$11,D106+1))</f>
        <v/>
      </c>
      <c r="E107" s="134" t="str">
        <f>IF(B107=1,premi_dasar,IF(B107&gt;Coverage,"",0))</f>
        <v/>
      </c>
      <c r="F107" s="134" t="str">
        <f>IF(B107&gt;Coverage,"",SUM(E107))</f>
        <v/>
      </c>
      <c r="G107" s="134" t="str">
        <f>IF(B107&gt;Coverage,"",SUMIFS(input!$E$38:$E$50,input!$C$38:$C$50,$C107))</f>
        <v/>
      </c>
      <c r="H107" s="134" t="str">
        <f>IF(B107&gt;Coverage,"",SUMIFS(input!$E$53:$E$87,input!$C$53:$C$87,$C107))</f>
        <v/>
      </c>
      <c r="I107" s="66" t="str">
        <f>+IF(B107="","",Sum_Assured*VLOOKUP(MIN(C107,10),Assumption!$M$19:$N$28,2,0))</f>
        <v/>
      </c>
      <c r="J107" s="66" t="str">
        <f>IF(B107="","",input!$D$33)</f>
        <v/>
      </c>
      <c r="K107" s="66" t="str">
        <f>IF(B107&gt;Coverage,"",VLOOKUP($C107,COI_Tab[],IF(sex="Male",2,3),0)*I107*(1+EM_Basic)/1000)</f>
        <v/>
      </c>
      <c r="L107" s="66" t="str">
        <f>IF(B107&gt;Coverage,"",VLOOKUP($C107,COI_Tab[],4,0)*J107*(1+EM_Basic)/1000)</f>
        <v/>
      </c>
      <c r="M107" s="207" t="str">
        <f>IF(B107&gt;Coverage,"",ROUND(K107+L107,0))</f>
        <v/>
      </c>
      <c r="N107" s="134" t="str">
        <f>IF(B107&gt;Coverage,"",VLOOKUP($B107,Assumption!$H$11:$I$15,2)*E107)</f>
        <v/>
      </c>
      <c r="O107" s="134" t="str">
        <f>IF(B107&gt;Coverage,"",Assumption!$J$11*$G107)</f>
        <v/>
      </c>
      <c r="P107" s="134" t="str">
        <f>IF(B107&gt;Coverage,"",H107*VLOOKUP(MIN(B107,6),Assumption!$M$11:$N$16,2,0))</f>
        <v/>
      </c>
      <c r="Q107" s="134" t="str">
        <f>IF(B107&gt;Coverage,"",SUM(N107:P107))</f>
        <v/>
      </c>
      <c r="R107" s="207" t="str">
        <f>+IF($B107&gt;Coverage,"",Assumption!$I$18*12)</f>
        <v/>
      </c>
      <c r="S107" s="208" t="str">
        <f>+IF($B107&gt;Coverage,"",Assumption!$I$20)</f>
        <v/>
      </c>
      <c r="T107" s="207">
        <f>+IF($B107&gt;Coverage,0,ROUND((U106+($F107+$G107-$H107-$Q107)*PML_LF)*(1+VLOOKUP(T$3,Assumption!$H$35:$K$43,2,0))^0.5-($M107+$R107)*PML_LF-($S107*PML_LF*U106),0))</f>
        <v>0</v>
      </c>
      <c r="U107" s="207">
        <f>+IF($B107&gt;Coverage,0,ROUND(T107*(1+VLOOKUP(T$3,Assumption!$H$35:$K$43,2,0))^0.5,0))</f>
        <v>0</v>
      </c>
      <c r="V107" s="207">
        <f>+IF($B107="",0,(1-VLOOKUP(MIN($B107,6),Assumption!$M$10:$N$16,2))*U107)</f>
        <v>0</v>
      </c>
      <c r="W107" s="207">
        <f>+IF($B107&gt;Coverage,0,ROUND((X106+($F107+$G107-$H107-$Q107)*PML_BF)*(1+VLOOKUP(W$3,Assumption!$H$35:$K$43,2,0))^0.5-($M107+$R107)*PML_BF-($S107*PML_BF*X106),0))</f>
        <v>0</v>
      </c>
      <c r="X107" s="207">
        <f>+IF($B107&gt;Coverage,0,ROUND(W107*(1+VLOOKUP(W$3,Assumption!$H$35:$K$43,2,0))^0.5,0))</f>
        <v>0</v>
      </c>
      <c r="Y107" s="207">
        <f>+IF($B107="",0,(1-VLOOKUP(MIN($B107,6),Assumption!$M$10:$N$16,2))*X107)</f>
        <v>0</v>
      </c>
      <c r="Z107" s="207">
        <f>+IF($B107&gt;Coverage,0,ROUND((AA106+($F107+$G107-$H107-$Q107)*PML_EF)*(1+VLOOKUP(Z$3,Assumption!$H$35:$K$43,2,0))^0.5-($M107+$R107)*PML_EF-($S107*PML_EF*AA106),0))</f>
        <v>0</v>
      </c>
      <c r="AA107" s="207">
        <f>+IF($B107&gt;Coverage,0,ROUND(Z107*(1+VLOOKUP(Z$3,Assumption!$H$35:$K$43,2,0))^0.5,0))</f>
        <v>0</v>
      </c>
      <c r="AB107" s="207">
        <f>+IF($B107="",0,(1-VLOOKUP(MIN($B107,6),Assumption!$M$10:$N$16,2))*AA107)</f>
        <v>0</v>
      </c>
      <c r="AC107" s="207">
        <f>+IF($B107&gt;Coverage,0,ROUND((AD106+($F107+$G107-$H107-$Q107)*PML_FI)*(1+VLOOKUP(AC$3,Assumption!$H$35:$K$43,2,0))^0.5-($M107+$R107)*PML_FI-($S107*PML_FI*AD106),0))</f>
        <v>0</v>
      </c>
      <c r="AD107" s="207">
        <f>+IF($B107&gt;Coverage,0,ROUND(AC107*(1+VLOOKUP(AC$3,Assumption!$H$35:$K$43,2,0))^0.5,0))</f>
        <v>0</v>
      </c>
      <c r="AE107" s="207">
        <f>+IF($B107="",0,(1-VLOOKUP(MIN($B107,6),Assumption!$M$10:$N$16,2))*AD107)</f>
        <v>0</v>
      </c>
      <c r="AF107" s="207">
        <f>+IF($B107&gt;Coverage,0,ROUND((AG106+($F107+$G107-$H107-$Q107)*PML_LF)*(1+VLOOKUP(AF$3,Assumption!$H$35:$K$43,3,0))^0.5-($M107+$R107)*PML_LF-($S107*PML_LF*AG106),0))</f>
        <v>0</v>
      </c>
      <c r="AG107" s="207">
        <f>+IF($B107&gt;Coverage,0,ROUND(AF107*(1+VLOOKUP(AF$3,Assumption!$H$35:$K$43,3,0))^0.5,0))</f>
        <v>0</v>
      </c>
      <c r="AH107" s="207">
        <f>+IF($B107="",0,(1-VLOOKUP(MIN($B107,6),Assumption!$M$10:$N$16,2))*AG107)</f>
        <v>0</v>
      </c>
      <c r="AI107" s="207">
        <f>+IF($B107&gt;Coverage,0,ROUND((AJ106+($F107+$G107-$H107-$Q107)*PML_BF)*(1+VLOOKUP(AI$3,Assumption!$H$35:$K$43,3,0))^0.5-($M107+$R107)*PML_BF-($S107*PML_BF*AJ106),0))</f>
        <v>0</v>
      </c>
      <c r="AJ107" s="207">
        <f>+IF($B107&gt;Coverage,0,ROUND(AI107*(1+VLOOKUP(AI$3,Assumption!$H$35:$K$43,3,0))^0.5,0))</f>
        <v>0</v>
      </c>
      <c r="AK107" s="207">
        <f>+IF($B107="",0,(1-VLOOKUP(MIN($B107,6),Assumption!$M$10:$N$16,2))*AJ107)</f>
        <v>0</v>
      </c>
      <c r="AL107" s="207">
        <f>+IF($B107&gt;Coverage,0,ROUND((AM106+($F107+$G107-$H107-$Q107)*PML_EF)*(1+VLOOKUP(AL$3,Assumption!$H$35:$K$43,3,0))^0.5-($M107+$R107)*PML_EF-($S107*PML_EF*AM106),0))</f>
        <v>0</v>
      </c>
      <c r="AM107" s="207">
        <f>+IF($B107&gt;Coverage,0,ROUND(AL107*(1+VLOOKUP(AL$3,Assumption!$H$35:$K$43,3,0))^0.5,0))</f>
        <v>0</v>
      </c>
      <c r="AN107" s="207">
        <f>+IF($B107="",0,(1-VLOOKUP(MIN($B107,6),Assumption!$M$10:$N$16,2))*AM107)</f>
        <v>0</v>
      </c>
      <c r="AO107" s="207">
        <f>+IF($B107&gt;Coverage,0,ROUND((AP106+($F107+$G107-$H107-$Q107)*PML_FI)*(1+VLOOKUP(AO$3,Assumption!$H$35:$K$43,3,0))^0.5-($M107+$R107)*PML_FI-($S107*PML_FI*AP106),0))</f>
        <v>0</v>
      </c>
      <c r="AP107" s="207">
        <f>+IF($B107&gt;Coverage,0,ROUND(AO107*(1+VLOOKUP(AO$3,Assumption!$H$35:$K$43,3,0))^0.5,0))</f>
        <v>0</v>
      </c>
      <c r="AQ107" s="207">
        <f>+IF($B107="",0,(1-VLOOKUP(MIN($B107,6),Assumption!$M$10:$N$16,2))*AP107)</f>
        <v>0</v>
      </c>
      <c r="AR107" s="207">
        <f>+IF($B107&gt;Coverage,0,ROUND((AS106+($F107+$G107-$H107-$Q107)*PML_LF)*(1+VLOOKUP(AR$3,Assumption!$H$35:$K$43,4,0))^0.5-($M107+$R107)*PML_LF-($S107*PML_LF*AS106),0))</f>
        <v>0</v>
      </c>
      <c r="AS107" s="207">
        <f>+IF($B107&gt;Coverage,0,ROUND(AR107*(1+VLOOKUP(AR$3,Assumption!$H$35:$K$43,4,0))^0.5,0))</f>
        <v>0</v>
      </c>
      <c r="AT107" s="207">
        <f>+IF($B107="",0,(1-VLOOKUP(MIN($B107,6),Assumption!$M$10:$N$16,2))*AS107)</f>
        <v>0</v>
      </c>
      <c r="AU107" s="207">
        <f>+IF($B107&gt;Coverage,0,ROUND((AV106+($F107+$G107-$H107-$Q107)*PML_BF)*(1+VLOOKUP(AU$3,Assumption!$H$35:$K$43,4,0))^0.5-($M107+$R107)*PML_BF-($S107*PML_BF*AV106),0))</f>
        <v>0</v>
      </c>
      <c r="AV107" s="207">
        <f>+IF($B107&gt;Coverage,0,ROUND(AU107*(1+VLOOKUP(AU$3,Assumption!$H$35:$K$43,4,0))^0.5,0))</f>
        <v>0</v>
      </c>
      <c r="AW107" s="207">
        <f>+IF($B107="",0,(1-VLOOKUP(MIN($B107,6),Assumption!$M$10:$N$16,2))*AV107)</f>
        <v>0</v>
      </c>
      <c r="AX107" s="207">
        <f>+IF($B107&gt;Coverage,0,ROUND((AY106+($F107+$G107-$H107-$Q107)*PML_EF)*(1+VLOOKUP(AX$3,Assumption!$H$35:$K$43,4,0))^0.5-($M107+$R107)*PML_EF-($S107*PML_EF*AY106),0))</f>
        <v>0</v>
      </c>
      <c r="AY107" s="207">
        <f>+IF($B107&gt;Coverage,0,ROUND(AX107*(1+VLOOKUP(AX$3,Assumption!$H$35:$K$43,4,0))^0.5,0))</f>
        <v>0</v>
      </c>
      <c r="AZ107" s="207">
        <f>+IF($B107="",0,(1-VLOOKUP(MIN($B107,6),Assumption!$M$10:$N$16,2))*AY107)</f>
        <v>0</v>
      </c>
      <c r="BA107" s="207">
        <f>+IF($B107&gt;Coverage,0,ROUND((BB106+($F107+$G107-$H107-$Q107)*PML_FI)*(1+VLOOKUP(BA$3,Assumption!$H$35:$K$43,4,0))^0.5-($M107+$R107)*PML_FI-($S107*PML_FI*BB106),0))</f>
        <v>0</v>
      </c>
      <c r="BB107" s="207">
        <f>+IF($B107&gt;Coverage,0,ROUND(BA107*(1+VLOOKUP(BA$3,Assumption!$H$35:$K$43,4,0))^0.5,0))</f>
        <v>0</v>
      </c>
      <c r="BC107" s="207">
        <f>+IF($B107="",0,(1-VLOOKUP(MIN($B107,6),Assumption!$M$10:$N$16,2))*BB107)</f>
        <v>0</v>
      </c>
    </row>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28">
    <mergeCell ref="AO3:AQ3"/>
    <mergeCell ref="AR3:AT3"/>
    <mergeCell ref="AU3:AW3"/>
    <mergeCell ref="AX3:AZ3"/>
    <mergeCell ref="BA3:BC3"/>
    <mergeCell ref="T3:V3"/>
    <mergeCell ref="W3:Y3"/>
    <mergeCell ref="Z3:AB3"/>
    <mergeCell ref="AC3:AE3"/>
    <mergeCell ref="AF3:AH3"/>
    <mergeCell ref="AI3:AK3"/>
    <mergeCell ref="AL3:AN3"/>
    <mergeCell ref="AO4:AQ4"/>
    <mergeCell ref="AR4:AT4"/>
    <mergeCell ref="AU4:AW4"/>
    <mergeCell ref="AX4:AZ4"/>
    <mergeCell ref="BA4:BC4"/>
    <mergeCell ref="E5:G5"/>
    <mergeCell ref="N5:O5"/>
    <mergeCell ref="F6:F7"/>
    <mergeCell ref="R6:R7"/>
    <mergeCell ref="T4:V4"/>
    <mergeCell ref="W4:Y4"/>
    <mergeCell ref="Z4:AB4"/>
    <mergeCell ref="AC4:AE4"/>
    <mergeCell ref="AF4:AH4"/>
    <mergeCell ref="AI4:AK4"/>
    <mergeCell ref="AL4:AN4"/>
  </mergeCells>
  <printOptions/>
  <pageMargins bottom="0.75" footer="0.0" header="0.0" left="0.7" right="0.7" top="0.75"/>
  <pageSetup paperSize="9"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tabColor rgb="FFFF0000"/>
    <pageSetUpPr/>
  </sheetPr>
  <sheetViews>
    <sheetView workbookViewId="0"/>
  </sheetViews>
  <sheetFormatPr customHeight="1" defaultColWidth="14.43" defaultRowHeight="15.0"/>
  <cols>
    <col customWidth="1" min="1" max="1" width="3.57"/>
    <col customWidth="1" min="2" max="2" width="8.0"/>
    <col customWidth="1" min="3" max="3" width="12.29"/>
    <col customWidth="1" min="4" max="4" width="14.57"/>
    <col customWidth="1" min="5" max="5" width="11.71"/>
    <col customWidth="1" min="6" max="6" width="2.71"/>
    <col customWidth="1" min="7" max="7" width="12.43"/>
    <col customWidth="1" min="8" max="8" width="26.86"/>
    <col customWidth="1" min="9" max="9" width="21.43"/>
    <col customWidth="1" min="10" max="10" width="19.57"/>
    <col customWidth="1" min="11" max="11" width="13.71"/>
    <col customWidth="1" min="12" max="12" width="20.14"/>
    <col customWidth="1" min="13" max="13" width="19.57"/>
    <col customWidth="1" min="14" max="14" width="26.14"/>
    <col customWidth="1" min="15" max="16" width="15.0"/>
    <col customWidth="1" min="17" max="18" width="19.14"/>
    <col customWidth="1" min="19" max="19" width="15.0"/>
    <col customWidth="1" min="20" max="20" width="22.0"/>
    <col customWidth="1" min="21" max="21" width="16.57"/>
    <col customWidth="1" min="22" max="22" width="9.14"/>
    <col customWidth="1" min="23" max="23" width="11.57"/>
    <col customWidth="1" min="24" max="24" width="9.14"/>
    <col customWidth="1" min="25" max="25" width="11.57"/>
    <col customWidth="1" min="26" max="26" width="13.29"/>
  </cols>
  <sheetData>
    <row r="1" ht="13.5" customHeight="1">
      <c r="A1" s="7"/>
      <c r="B1" s="7"/>
      <c r="C1" s="7"/>
      <c r="D1" s="7"/>
      <c r="E1" s="7"/>
      <c r="F1" s="7"/>
      <c r="G1" s="7"/>
      <c r="H1" s="7"/>
      <c r="I1" s="7"/>
      <c r="J1" s="7"/>
      <c r="K1" s="7"/>
      <c r="L1" s="7"/>
      <c r="M1" s="7"/>
      <c r="N1" s="7"/>
      <c r="O1" s="7"/>
      <c r="P1" s="7"/>
      <c r="Q1" s="7"/>
      <c r="R1" s="7"/>
      <c r="S1" s="7"/>
      <c r="T1" s="7"/>
      <c r="U1" s="7"/>
      <c r="V1" s="7"/>
      <c r="W1" s="7"/>
      <c r="X1" s="7"/>
      <c r="Y1" s="7"/>
      <c r="Z1" s="7"/>
    </row>
    <row r="2" ht="13.5" customHeight="1">
      <c r="A2" s="7"/>
      <c r="B2" s="209" t="s">
        <v>54</v>
      </c>
      <c r="C2" s="209" t="s">
        <v>134</v>
      </c>
      <c r="D2" s="210" t="s">
        <v>135</v>
      </c>
      <c r="E2" s="210" t="s">
        <v>136</v>
      </c>
      <c r="F2" s="7"/>
      <c r="G2" s="6" t="s">
        <v>137</v>
      </c>
      <c r="H2" s="7"/>
      <c r="I2" s="7"/>
      <c r="J2" s="7"/>
      <c r="K2" s="7"/>
      <c r="L2" s="7"/>
      <c r="M2" s="7"/>
      <c r="N2" s="7"/>
      <c r="O2" s="7"/>
      <c r="P2" s="7"/>
      <c r="Q2" s="7"/>
      <c r="R2" s="7"/>
      <c r="S2" s="7"/>
      <c r="T2" s="7"/>
      <c r="U2" s="7"/>
      <c r="V2" s="7"/>
      <c r="W2" s="7"/>
      <c r="X2" s="7"/>
      <c r="Y2" s="7"/>
      <c r="Z2" s="7"/>
    </row>
    <row r="3" ht="13.5" customHeight="1">
      <c r="A3" s="134"/>
      <c r="B3" s="211">
        <v>1.0</v>
      </c>
      <c r="C3" s="212">
        <f t="shared" ref="C3:D3" si="1">D103</f>
        <v>2.592</v>
      </c>
      <c r="D3" s="213">
        <f t="shared" si="1"/>
        <v>2.004</v>
      </c>
      <c r="E3" s="214"/>
      <c r="F3" s="129"/>
      <c r="G3" s="7"/>
      <c r="H3" s="7"/>
      <c r="I3" s="7"/>
      <c r="J3" s="7"/>
      <c r="K3" s="7"/>
      <c r="L3" s="7"/>
      <c r="M3" s="7"/>
      <c r="N3" s="7"/>
      <c r="O3" s="7"/>
      <c r="P3" s="7"/>
      <c r="Q3" s="7"/>
      <c r="R3" s="7"/>
      <c r="S3" s="7"/>
      <c r="T3" s="7"/>
      <c r="U3" s="7"/>
      <c r="V3" s="7"/>
      <c r="W3" s="7"/>
      <c r="X3" s="7"/>
      <c r="Y3" s="7"/>
      <c r="Z3" s="7"/>
    </row>
    <row r="4" ht="13.5" customHeight="1">
      <c r="A4" s="134"/>
      <c r="B4" s="211">
        <v>2.0</v>
      </c>
      <c r="C4" s="212">
        <f t="shared" ref="C4:D4" si="2">D104</f>
        <v>2.052</v>
      </c>
      <c r="D4" s="213">
        <f t="shared" si="2"/>
        <v>1.512</v>
      </c>
      <c r="E4" s="214"/>
      <c r="F4" s="7"/>
      <c r="G4" s="215">
        <v>1.0</v>
      </c>
      <c r="H4" s="216" t="s">
        <v>138</v>
      </c>
      <c r="I4" s="7"/>
      <c r="J4" s="7"/>
      <c r="K4" s="7"/>
      <c r="L4" s="7"/>
      <c r="M4" s="7"/>
      <c r="N4" s="7"/>
      <c r="O4" s="7"/>
      <c r="P4" s="7"/>
      <c r="Q4" s="7"/>
      <c r="R4" s="7"/>
      <c r="S4" s="7"/>
      <c r="T4" s="7"/>
      <c r="U4" s="7"/>
      <c r="V4" s="7"/>
      <c r="W4" s="7"/>
      <c r="X4" s="7"/>
      <c r="Y4" s="7"/>
      <c r="Z4" s="7"/>
    </row>
    <row r="5" ht="13.5" customHeight="1">
      <c r="A5" s="134"/>
      <c r="B5" s="211">
        <v>3.0</v>
      </c>
      <c r="C5" s="212">
        <f t="shared" ref="C5:D5" si="3">D105</f>
        <v>1.668</v>
      </c>
      <c r="D5" s="213">
        <f t="shared" si="3"/>
        <v>1.176</v>
      </c>
      <c r="E5" s="214"/>
      <c r="F5" s="7"/>
      <c r="G5" s="7"/>
      <c r="H5" s="217" t="s">
        <v>139</v>
      </c>
      <c r="I5" s="218">
        <v>80.0</v>
      </c>
      <c r="J5" s="217"/>
      <c r="K5" s="7"/>
      <c r="L5" s="7"/>
      <c r="M5" s="7"/>
      <c r="N5" s="7"/>
      <c r="O5" s="7"/>
      <c r="P5" s="7"/>
      <c r="Q5" s="7"/>
      <c r="R5" s="7"/>
      <c r="S5" s="7"/>
      <c r="T5" s="7"/>
      <c r="U5" s="7"/>
      <c r="V5" s="7"/>
      <c r="W5" s="7"/>
      <c r="X5" s="7"/>
      <c r="Y5" s="7"/>
      <c r="Z5" s="7"/>
    </row>
    <row r="6" ht="13.5" customHeight="1">
      <c r="A6" s="134"/>
      <c r="B6" s="211">
        <v>4.0</v>
      </c>
      <c r="C6" s="212">
        <f t="shared" ref="C6:D6" si="4">D106</f>
        <v>1.416</v>
      </c>
      <c r="D6" s="213">
        <f t="shared" si="4"/>
        <v>1.032</v>
      </c>
      <c r="E6" s="214"/>
      <c r="F6" s="7"/>
      <c r="G6" s="7"/>
      <c r="H6" s="217" t="s">
        <v>84</v>
      </c>
      <c r="I6" s="218">
        <f>+I5-Insured_Age</f>
        <v>20</v>
      </c>
      <c r="J6" s="7"/>
      <c r="K6" s="7"/>
      <c r="L6" s="7"/>
      <c r="M6" s="7"/>
      <c r="N6" s="7"/>
      <c r="O6" s="7"/>
      <c r="P6" s="7"/>
      <c r="Q6" s="7"/>
      <c r="R6" s="7"/>
      <c r="S6" s="7"/>
      <c r="T6" s="7"/>
      <c r="U6" s="7"/>
      <c r="V6" s="7"/>
      <c r="W6" s="7"/>
      <c r="X6" s="7"/>
      <c r="Y6" s="7"/>
      <c r="Z6" s="7"/>
    </row>
    <row r="7" ht="13.5" customHeight="1">
      <c r="A7" s="134"/>
      <c r="B7" s="211">
        <v>5.0</v>
      </c>
      <c r="C7" s="212">
        <f t="shared" ref="C7:D7" si="5">D107</f>
        <v>1.272</v>
      </c>
      <c r="D7" s="213">
        <f t="shared" si="5"/>
        <v>0.984</v>
      </c>
      <c r="E7" s="214"/>
      <c r="F7" s="7"/>
      <c r="G7" s="7"/>
      <c r="H7" s="7"/>
      <c r="I7" s="7"/>
      <c r="J7" s="7"/>
      <c r="K7" s="7"/>
      <c r="L7" s="7"/>
      <c r="M7" s="7"/>
      <c r="N7" s="7"/>
      <c r="O7" s="7"/>
      <c r="P7" s="7"/>
      <c r="Q7" s="7"/>
      <c r="R7" s="7"/>
      <c r="S7" s="7"/>
      <c r="T7" s="7"/>
      <c r="U7" s="7"/>
      <c r="V7" s="7"/>
      <c r="W7" s="7"/>
      <c r="X7" s="7"/>
      <c r="Y7" s="7"/>
      <c r="Z7" s="7"/>
    </row>
    <row r="8" ht="13.5" customHeight="1">
      <c r="A8" s="134"/>
      <c r="B8" s="211">
        <v>6.0</v>
      </c>
      <c r="C8" s="212">
        <f t="shared" ref="C8:D8" si="6">D108</f>
        <v>1.128</v>
      </c>
      <c r="D8" s="213">
        <f t="shared" si="6"/>
        <v>1.08</v>
      </c>
      <c r="E8" s="214"/>
      <c r="F8" s="7"/>
      <c r="G8" s="215">
        <v>2.0</v>
      </c>
      <c r="H8" s="216" t="s">
        <v>140</v>
      </c>
      <c r="I8" s="7"/>
      <c r="J8" s="7"/>
      <c r="K8" s="7"/>
      <c r="L8" s="7"/>
      <c r="M8" s="7"/>
      <c r="N8" s="7"/>
      <c r="O8" s="7"/>
      <c r="P8" s="7"/>
      <c r="Q8" s="7"/>
      <c r="R8" s="7"/>
      <c r="S8" s="7"/>
      <c r="T8" s="7"/>
      <c r="U8" s="7"/>
      <c r="V8" s="7"/>
      <c r="W8" s="7"/>
      <c r="X8" s="7"/>
      <c r="Y8" s="7"/>
      <c r="Z8" s="7"/>
    </row>
    <row r="9" ht="13.5" customHeight="1">
      <c r="A9" s="134"/>
      <c r="B9" s="211">
        <v>7.0</v>
      </c>
      <c r="C9" s="212">
        <f t="shared" ref="C9:D9" si="7">D109</f>
        <v>1.032</v>
      </c>
      <c r="D9" s="213">
        <f t="shared" si="7"/>
        <v>1.128</v>
      </c>
      <c r="E9" s="214"/>
      <c r="F9" s="7"/>
      <c r="G9" s="215"/>
      <c r="H9" s="216"/>
      <c r="I9" s="7" t="s">
        <v>133</v>
      </c>
      <c r="J9" s="129" t="s">
        <v>13</v>
      </c>
      <c r="K9" s="7"/>
      <c r="L9" s="129"/>
      <c r="M9" s="7"/>
      <c r="N9" s="6"/>
      <c r="O9" s="7"/>
      <c r="P9" s="7"/>
      <c r="Q9" s="7"/>
      <c r="R9" s="7"/>
      <c r="S9" s="7"/>
      <c r="T9" s="7"/>
      <c r="U9" s="7"/>
      <c r="V9" s="7"/>
      <c r="W9" s="7"/>
      <c r="X9" s="7"/>
      <c r="Y9" s="7"/>
      <c r="Z9" s="7"/>
    </row>
    <row r="10" ht="13.5" customHeight="1">
      <c r="A10" s="134"/>
      <c r="B10" s="211">
        <v>8.0</v>
      </c>
      <c r="C10" s="212">
        <f t="shared" ref="C10:D10" si="8">D110</f>
        <v>0.984</v>
      </c>
      <c r="D10" s="213">
        <f t="shared" si="8"/>
        <v>1.08</v>
      </c>
      <c r="E10" s="214"/>
      <c r="F10" s="7"/>
      <c r="G10" s="7"/>
      <c r="H10" s="219" t="s">
        <v>141</v>
      </c>
      <c r="I10" s="7"/>
      <c r="J10" s="7"/>
      <c r="K10" s="7"/>
      <c r="L10" s="220" t="s">
        <v>142</v>
      </c>
      <c r="M10" s="221" t="s">
        <v>143</v>
      </c>
      <c r="N10" s="221" t="s">
        <v>144</v>
      </c>
      <c r="O10" s="6"/>
      <c r="P10" s="6"/>
      <c r="Q10" s="6"/>
      <c r="R10" s="6"/>
      <c r="S10" s="6"/>
      <c r="T10" s="6"/>
      <c r="U10" s="7"/>
      <c r="V10" s="7"/>
      <c r="W10" s="7"/>
      <c r="X10" s="7"/>
      <c r="Y10" s="7"/>
      <c r="Z10" s="7"/>
    </row>
    <row r="11" ht="13.5" customHeight="1">
      <c r="A11" s="134"/>
      <c r="B11" s="211">
        <v>9.0</v>
      </c>
      <c r="C11" s="212">
        <f t="shared" ref="C11:D11" si="9">D111</f>
        <v>0.984</v>
      </c>
      <c r="D11" s="213">
        <f t="shared" si="9"/>
        <v>1.032</v>
      </c>
      <c r="E11" s="214"/>
      <c r="F11" s="7"/>
      <c r="G11" s="7"/>
      <c r="H11" s="217">
        <v>1.0</v>
      </c>
      <c r="I11" s="222">
        <v>0.05</v>
      </c>
      <c r="J11" s="222">
        <v>0.03</v>
      </c>
      <c r="K11" s="7"/>
      <c r="L11" s="223" t="s">
        <v>145</v>
      </c>
      <c r="M11" s="221">
        <v>1.0</v>
      </c>
      <c r="N11" s="224">
        <v>0.05</v>
      </c>
      <c r="O11" s="6"/>
      <c r="P11" s="6"/>
      <c r="Q11" s="6"/>
      <c r="R11" s="6"/>
      <c r="S11" s="6"/>
      <c r="T11" s="6"/>
      <c r="U11" s="7"/>
      <c r="V11" s="7"/>
      <c r="W11" s="7"/>
      <c r="X11" s="7"/>
      <c r="Y11" s="7"/>
      <c r="Z11" s="7"/>
    </row>
    <row r="12" ht="13.5" customHeight="1">
      <c r="A12" s="134"/>
      <c r="B12" s="211">
        <v>10.0</v>
      </c>
      <c r="C12" s="212">
        <f t="shared" ref="C12:D12" si="10">D112</f>
        <v>0.936</v>
      </c>
      <c r="D12" s="213">
        <f t="shared" si="10"/>
        <v>0.936</v>
      </c>
      <c r="E12" s="214"/>
      <c r="F12" s="7"/>
      <c r="G12" s="7"/>
      <c r="H12" s="217">
        <v>2.0</v>
      </c>
      <c r="I12" s="222">
        <v>0.0</v>
      </c>
      <c r="J12" s="222">
        <v>0.0</v>
      </c>
      <c r="K12" s="7"/>
      <c r="L12" s="225"/>
      <c r="M12" s="221">
        <v>2.0</v>
      </c>
      <c r="N12" s="224">
        <v>0.04</v>
      </c>
      <c r="O12" s="6"/>
      <c r="P12" s="6"/>
      <c r="Q12" s="6"/>
      <c r="R12" s="6"/>
      <c r="S12" s="6"/>
      <c r="T12" s="6"/>
      <c r="U12" s="7"/>
      <c r="V12" s="7"/>
      <c r="W12" s="7"/>
      <c r="X12" s="7"/>
      <c r="Y12" s="7"/>
      <c r="Z12" s="7"/>
    </row>
    <row r="13" ht="13.5" customHeight="1">
      <c r="A13" s="134"/>
      <c r="B13" s="211">
        <v>11.0</v>
      </c>
      <c r="C13" s="212">
        <f t="shared" ref="C13:D13" si="11">D113</f>
        <v>0.936</v>
      </c>
      <c r="D13" s="213">
        <f t="shared" si="11"/>
        <v>0.876</v>
      </c>
      <c r="E13" s="214"/>
      <c r="F13" s="7"/>
      <c r="G13" s="7"/>
      <c r="H13" s="217">
        <v>3.0</v>
      </c>
      <c r="I13" s="222">
        <v>0.0</v>
      </c>
      <c r="J13" s="222">
        <v>0.0</v>
      </c>
      <c r="K13" s="7"/>
      <c r="L13" s="225"/>
      <c r="M13" s="221">
        <v>3.0</v>
      </c>
      <c r="N13" s="224">
        <v>0.03</v>
      </c>
      <c r="O13" s="6"/>
      <c r="P13" s="6"/>
      <c r="Q13" s="6"/>
      <c r="R13" s="6"/>
      <c r="S13" s="6"/>
      <c r="T13" s="6"/>
      <c r="U13" s="7"/>
      <c r="V13" s="7"/>
      <c r="W13" s="7"/>
      <c r="X13" s="7"/>
      <c r="Y13" s="7"/>
      <c r="Z13" s="7"/>
    </row>
    <row r="14" ht="13.5" customHeight="1">
      <c r="A14" s="134"/>
      <c r="B14" s="211">
        <v>12.0</v>
      </c>
      <c r="C14" s="212">
        <f t="shared" ref="C14:D14" si="12">D114</f>
        <v>0.936</v>
      </c>
      <c r="D14" s="213">
        <f t="shared" si="12"/>
        <v>0.984</v>
      </c>
      <c r="E14" s="214"/>
      <c r="F14" s="7"/>
      <c r="G14" s="7"/>
      <c r="H14" s="217">
        <v>4.0</v>
      </c>
      <c r="I14" s="222">
        <v>0.0</v>
      </c>
      <c r="J14" s="222">
        <v>0.0</v>
      </c>
      <c r="K14" s="7"/>
      <c r="L14" s="225"/>
      <c r="M14" s="221">
        <v>4.0</v>
      </c>
      <c r="N14" s="224">
        <v>0.02</v>
      </c>
      <c r="O14" s="6"/>
      <c r="P14" s="6"/>
      <c r="Q14" s="6"/>
      <c r="R14" s="6"/>
      <c r="S14" s="6"/>
      <c r="T14" s="6"/>
      <c r="U14" s="7"/>
      <c r="V14" s="7"/>
      <c r="W14" s="7"/>
      <c r="X14" s="7"/>
      <c r="Y14" s="7"/>
      <c r="Z14" s="64"/>
    </row>
    <row r="15" ht="13.5" customHeight="1">
      <c r="A15" s="134"/>
      <c r="B15" s="211">
        <v>13.0</v>
      </c>
      <c r="C15" s="212">
        <f t="shared" ref="C15:D15" si="13">D115</f>
        <v>0.984</v>
      </c>
      <c r="D15" s="213">
        <f t="shared" si="13"/>
        <v>1.08</v>
      </c>
      <c r="E15" s="214"/>
      <c r="F15" s="7"/>
      <c r="G15" s="7"/>
      <c r="H15" s="217">
        <v>5.0</v>
      </c>
      <c r="I15" s="222">
        <v>0.0</v>
      </c>
      <c r="J15" s="222">
        <v>0.0</v>
      </c>
      <c r="K15" s="7"/>
      <c r="L15" s="225"/>
      <c r="M15" s="221">
        <v>5.0</v>
      </c>
      <c r="N15" s="224">
        <v>0.01</v>
      </c>
      <c r="O15" s="6"/>
      <c r="P15" s="6"/>
      <c r="Q15" s="6"/>
      <c r="R15" s="6"/>
      <c r="S15" s="6"/>
      <c r="T15" s="6"/>
      <c r="U15" s="7"/>
      <c r="V15" s="7"/>
      <c r="W15" s="7"/>
      <c r="X15" s="7"/>
      <c r="Y15" s="7"/>
      <c r="Z15" s="64"/>
    </row>
    <row r="16" ht="13.5" customHeight="1">
      <c r="A16" s="134"/>
      <c r="B16" s="211">
        <v>14.0</v>
      </c>
      <c r="C16" s="212">
        <f t="shared" ref="C16:D16" si="14">D116</f>
        <v>1.128</v>
      </c>
      <c r="D16" s="213">
        <f t="shared" si="14"/>
        <v>1.128</v>
      </c>
      <c r="E16" s="214"/>
      <c r="F16" s="7"/>
      <c r="G16" s="7"/>
      <c r="H16" s="217"/>
      <c r="I16" s="217"/>
      <c r="J16" s="217"/>
      <c r="K16" s="217"/>
      <c r="L16" s="7"/>
      <c r="M16" s="221">
        <v>6.0</v>
      </c>
      <c r="N16" s="224">
        <v>0.0</v>
      </c>
      <c r="O16" s="6"/>
      <c r="P16" s="6"/>
      <c r="Q16" s="6"/>
      <c r="R16" s="6"/>
      <c r="S16" s="6"/>
      <c r="T16" s="6"/>
      <c r="U16" s="7"/>
      <c r="V16" s="7"/>
      <c r="W16" s="7"/>
      <c r="X16" s="7"/>
      <c r="Y16" s="64"/>
      <c r="Z16" s="64"/>
    </row>
    <row r="17" ht="13.5" customHeight="1">
      <c r="A17" s="134"/>
      <c r="B17" s="211">
        <v>15.0</v>
      </c>
      <c r="C17" s="212">
        <f t="shared" ref="C17:D17" si="15">D117</f>
        <v>1.32</v>
      </c>
      <c r="D17" s="213">
        <f t="shared" si="15"/>
        <v>1.128</v>
      </c>
      <c r="E17" s="214"/>
      <c r="F17" s="7"/>
      <c r="G17" s="7"/>
      <c r="H17" s="219" t="s">
        <v>146</v>
      </c>
      <c r="I17" s="7"/>
      <c r="J17" s="225"/>
      <c r="K17" s="217"/>
      <c r="L17" s="7"/>
      <c r="M17" s="7"/>
      <c r="N17" s="6"/>
      <c r="O17" s="6"/>
      <c r="P17" s="6"/>
      <c r="Q17" s="6"/>
      <c r="R17" s="6"/>
      <c r="S17" s="6"/>
      <c r="T17" s="6"/>
      <c r="U17" s="7"/>
      <c r="V17" s="7"/>
      <c r="W17" s="7"/>
      <c r="X17" s="7"/>
      <c r="Y17" s="66"/>
      <c r="Z17" s="64"/>
    </row>
    <row r="18" ht="13.5" customHeight="1">
      <c r="A18" s="134"/>
      <c r="B18" s="211">
        <v>16.0</v>
      </c>
      <c r="C18" s="212">
        <f t="shared" ref="C18:D18" si="16">D118</f>
        <v>1.512</v>
      </c>
      <c r="D18" s="213">
        <f t="shared" si="16"/>
        <v>1.176</v>
      </c>
      <c r="E18" s="214"/>
      <c r="F18" s="7"/>
      <c r="G18" s="7"/>
      <c r="H18" s="217">
        <v>1.0</v>
      </c>
      <c r="I18" s="226">
        <v>25000.0</v>
      </c>
      <c r="J18" s="225" t="s">
        <v>147</v>
      </c>
      <c r="K18" s="217"/>
      <c r="L18" s="220" t="s">
        <v>148</v>
      </c>
      <c r="M18" s="221" t="s">
        <v>149</v>
      </c>
      <c r="N18" s="221" t="s">
        <v>150</v>
      </c>
      <c r="O18" s="6"/>
      <c r="P18" s="6"/>
      <c r="Q18" s="6"/>
      <c r="R18" s="6"/>
      <c r="S18" s="6"/>
      <c r="T18" s="6"/>
      <c r="U18" s="7"/>
      <c r="V18" s="7"/>
      <c r="W18" s="7"/>
      <c r="X18" s="7"/>
      <c r="Y18" s="66"/>
      <c r="Z18" s="64"/>
    </row>
    <row r="19" ht="13.5" customHeight="1">
      <c r="A19" s="134"/>
      <c r="B19" s="211">
        <v>17.0</v>
      </c>
      <c r="C19" s="212">
        <f t="shared" ref="C19:D19" si="17">D119</f>
        <v>1.812</v>
      </c>
      <c r="D19" s="213">
        <f t="shared" si="17"/>
        <v>1.176</v>
      </c>
      <c r="E19" s="214"/>
      <c r="F19" s="7"/>
      <c r="G19" s="7"/>
      <c r="H19" s="217"/>
      <c r="I19" s="217"/>
      <c r="J19" s="217"/>
      <c r="K19" s="217"/>
      <c r="L19" s="7"/>
      <c r="M19" s="227">
        <v>1.0</v>
      </c>
      <c r="N19" s="224">
        <v>0.2</v>
      </c>
      <c r="O19" s="6"/>
      <c r="P19" s="6"/>
      <c r="Q19" s="6"/>
      <c r="R19" s="6"/>
      <c r="S19" s="6"/>
      <c r="T19" s="6"/>
      <c r="U19" s="7"/>
      <c r="V19" s="7"/>
      <c r="W19" s="7"/>
      <c r="X19" s="7"/>
      <c r="Y19" s="66"/>
      <c r="Z19" s="64"/>
    </row>
    <row r="20" ht="13.5" customHeight="1">
      <c r="A20" s="134"/>
      <c r="B20" s="211">
        <v>18.0</v>
      </c>
      <c r="C20" s="212">
        <f t="shared" ref="C20:D20" si="18">D120</f>
        <v>2.1</v>
      </c>
      <c r="D20" s="213">
        <f t="shared" si="18"/>
        <v>1.224</v>
      </c>
      <c r="E20" s="214">
        <v>0.96</v>
      </c>
      <c r="F20" s="7"/>
      <c r="G20" s="228"/>
      <c r="H20" s="219" t="s">
        <v>151</v>
      </c>
      <c r="I20" s="229">
        <v>0.0</v>
      </c>
      <c r="J20" s="7" t="s">
        <v>152</v>
      </c>
      <c r="K20" s="217"/>
      <c r="L20" s="7"/>
      <c r="M20" s="227">
        <v>2.0</v>
      </c>
      <c r="N20" s="224">
        <v>0.4</v>
      </c>
      <c r="O20" s="6"/>
      <c r="P20" s="6"/>
      <c r="Q20" s="6"/>
      <c r="R20" s="6"/>
      <c r="S20" s="6"/>
      <c r="T20" s="6"/>
      <c r="U20" s="7"/>
      <c r="V20" s="7"/>
      <c r="W20" s="64"/>
      <c r="X20" s="7"/>
      <c r="Y20" s="64"/>
      <c r="Z20" s="64"/>
    </row>
    <row r="21" ht="13.5" customHeight="1">
      <c r="A21" s="134"/>
      <c r="B21" s="211">
        <v>19.0</v>
      </c>
      <c r="C21" s="212">
        <f t="shared" ref="C21:D21" si="19">D121</f>
        <v>2.304</v>
      </c>
      <c r="D21" s="213">
        <f t="shared" si="19"/>
        <v>1.272</v>
      </c>
      <c r="E21" s="214">
        <v>0.96</v>
      </c>
      <c r="F21" s="7"/>
      <c r="G21" s="7"/>
      <c r="H21" s="230"/>
      <c r="I21" s="7"/>
      <c r="J21" s="7"/>
      <c r="K21" s="225"/>
      <c r="L21" s="7"/>
      <c r="M21" s="227">
        <v>3.0</v>
      </c>
      <c r="N21" s="224">
        <v>0.6</v>
      </c>
      <c r="O21" s="6"/>
      <c r="P21" s="6"/>
      <c r="Q21" s="6"/>
      <c r="R21" s="6"/>
      <c r="S21" s="6"/>
      <c r="T21" s="6"/>
      <c r="U21" s="7"/>
      <c r="V21" s="7"/>
      <c r="W21" s="64"/>
      <c r="X21" s="7"/>
      <c r="Y21" s="7"/>
      <c r="Z21" s="64"/>
    </row>
    <row r="22" ht="13.5" customHeight="1">
      <c r="A22" s="134"/>
      <c r="B22" s="211">
        <v>20.0</v>
      </c>
      <c r="C22" s="212">
        <f t="shared" ref="C22:D22" si="20">D122</f>
        <v>2.4</v>
      </c>
      <c r="D22" s="213">
        <f t="shared" si="20"/>
        <v>1.32</v>
      </c>
      <c r="E22" s="214">
        <v>0.96</v>
      </c>
      <c r="F22" s="7"/>
      <c r="G22" s="7"/>
      <c r="H22" s="7"/>
      <c r="I22" s="7"/>
      <c r="J22" s="7"/>
      <c r="K22" s="225"/>
      <c r="L22" s="7"/>
      <c r="M22" s="227">
        <v>4.0</v>
      </c>
      <c r="N22" s="224">
        <v>0.8</v>
      </c>
      <c r="O22" s="7"/>
      <c r="P22" s="7"/>
      <c r="Q22" s="7"/>
      <c r="R22" s="7"/>
      <c r="S22" s="7"/>
      <c r="T22" s="7"/>
      <c r="U22" s="7"/>
      <c r="V22" s="7"/>
      <c r="W22" s="7"/>
      <c r="X22" s="7"/>
      <c r="Y22" s="7"/>
      <c r="Z22" s="64"/>
    </row>
    <row r="23" ht="13.5" customHeight="1">
      <c r="A23" s="134"/>
      <c r="B23" s="211">
        <v>21.0</v>
      </c>
      <c r="C23" s="212">
        <f t="shared" ref="C23:D23" si="21">D123</f>
        <v>2.4</v>
      </c>
      <c r="D23" s="213">
        <f t="shared" si="21"/>
        <v>1.368</v>
      </c>
      <c r="E23" s="214">
        <v>0.96</v>
      </c>
      <c r="F23" s="7"/>
      <c r="G23" s="7"/>
      <c r="H23" s="7"/>
      <c r="I23" s="7"/>
      <c r="J23" s="7"/>
      <c r="K23" s="225"/>
      <c r="L23" s="7"/>
      <c r="M23" s="227">
        <v>5.0</v>
      </c>
      <c r="N23" s="224">
        <v>1.0</v>
      </c>
      <c r="O23" s="7"/>
      <c r="P23" s="7"/>
      <c r="Q23" s="7"/>
      <c r="R23" s="7"/>
      <c r="S23" s="7"/>
      <c r="T23" s="7"/>
      <c r="U23" s="7"/>
      <c r="V23" s="7"/>
      <c r="W23" s="7"/>
      <c r="X23" s="7"/>
      <c r="Y23" s="7"/>
      <c r="Z23" s="64"/>
    </row>
    <row r="24" ht="13.5" customHeight="1">
      <c r="A24" s="134"/>
      <c r="B24" s="211">
        <v>22.0</v>
      </c>
      <c r="C24" s="212">
        <f t="shared" ref="C24:D24" si="22">D124</f>
        <v>2.4</v>
      </c>
      <c r="D24" s="213">
        <f t="shared" si="22"/>
        <v>1.464</v>
      </c>
      <c r="E24" s="214">
        <v>0.96</v>
      </c>
      <c r="F24" s="7"/>
      <c r="G24" s="7"/>
      <c r="H24" s="217"/>
      <c r="I24" s="7"/>
      <c r="J24" s="7"/>
      <c r="K24" s="225"/>
      <c r="L24" s="7"/>
      <c r="M24" s="227">
        <v>6.0</v>
      </c>
      <c r="N24" s="224">
        <v>1.0</v>
      </c>
      <c r="O24" s="64"/>
      <c r="P24" s="7"/>
      <c r="Q24" s="7"/>
      <c r="R24" s="7"/>
      <c r="S24" s="7"/>
      <c r="T24" s="7"/>
      <c r="U24" s="7"/>
      <c r="V24" s="7"/>
      <c r="W24" s="7"/>
      <c r="X24" s="7"/>
      <c r="Y24" s="7"/>
      <c r="Z24" s="64"/>
    </row>
    <row r="25" ht="13.5" customHeight="1">
      <c r="A25" s="134"/>
      <c r="B25" s="211">
        <v>23.0</v>
      </c>
      <c r="C25" s="212">
        <f t="shared" ref="C25:D25" si="23">D125</f>
        <v>2.4</v>
      </c>
      <c r="D25" s="213">
        <f t="shared" si="23"/>
        <v>1.572</v>
      </c>
      <c r="E25" s="214">
        <v>0.96</v>
      </c>
      <c r="F25" s="7"/>
      <c r="G25" s="7"/>
      <c r="H25" s="7"/>
      <c r="I25" s="7"/>
      <c r="J25" s="7"/>
      <c r="K25" s="7"/>
      <c r="L25" s="7"/>
      <c r="M25" s="227">
        <v>7.0</v>
      </c>
      <c r="N25" s="224">
        <v>1.0</v>
      </c>
      <c r="O25" s="64"/>
      <c r="P25" s="7"/>
      <c r="Q25" s="7"/>
      <c r="R25" s="7"/>
      <c r="S25" s="7"/>
      <c r="T25" s="7"/>
      <c r="U25" s="7"/>
      <c r="V25" s="7"/>
      <c r="W25" s="7"/>
      <c r="X25" s="7"/>
      <c r="Y25" s="7"/>
      <c r="Z25" s="64"/>
    </row>
    <row r="26" ht="13.5" customHeight="1">
      <c r="A26" s="134"/>
      <c r="B26" s="211">
        <v>24.0</v>
      </c>
      <c r="C26" s="212">
        <f t="shared" ref="C26:D26" si="24">D126</f>
        <v>2.448</v>
      </c>
      <c r="D26" s="213">
        <f t="shared" si="24"/>
        <v>1.668</v>
      </c>
      <c r="E26" s="214">
        <v>0.96</v>
      </c>
      <c r="F26" s="7"/>
      <c r="G26" s="7"/>
      <c r="H26" s="225"/>
      <c r="I26" s="225"/>
      <c r="J26" s="225"/>
      <c r="K26" s="225"/>
      <c r="L26" s="7"/>
      <c r="M26" s="227">
        <v>8.0</v>
      </c>
      <c r="N26" s="224">
        <v>1.0</v>
      </c>
      <c r="O26" s="7"/>
      <c r="P26" s="7"/>
      <c r="Q26" s="7"/>
      <c r="R26" s="7"/>
      <c r="S26" s="7"/>
      <c r="T26" s="7"/>
      <c r="U26" s="7"/>
      <c r="V26" s="7"/>
      <c r="W26" s="7"/>
      <c r="X26" s="7"/>
      <c r="Y26" s="7"/>
      <c r="Z26" s="64"/>
    </row>
    <row r="27" ht="13.5" customHeight="1">
      <c r="A27" s="134"/>
      <c r="B27" s="211">
        <v>25.0</v>
      </c>
      <c r="C27" s="212">
        <f t="shared" ref="C27:D27" si="25">D127</f>
        <v>2.544</v>
      </c>
      <c r="D27" s="213">
        <f t="shared" si="25"/>
        <v>1.86</v>
      </c>
      <c r="E27" s="214">
        <v>0.96</v>
      </c>
      <c r="F27" s="7"/>
      <c r="G27" s="7"/>
      <c r="H27" s="225"/>
      <c r="I27" s="225"/>
      <c r="J27" s="225"/>
      <c r="K27" s="225"/>
      <c r="L27" s="7"/>
      <c r="M27" s="227">
        <v>9.0</v>
      </c>
      <c r="N27" s="224">
        <v>1.0</v>
      </c>
      <c r="O27" s="231"/>
      <c r="P27" s="231"/>
      <c r="Q27" s="231"/>
      <c r="R27" s="7"/>
      <c r="S27" s="7"/>
      <c r="T27" s="7"/>
      <c r="U27" s="7"/>
      <c r="V27" s="7"/>
      <c r="W27" s="7"/>
      <c r="X27" s="7"/>
      <c r="Y27" s="7"/>
      <c r="Z27" s="64"/>
    </row>
    <row r="28" ht="13.5" customHeight="1">
      <c r="A28" s="134"/>
      <c r="B28" s="211">
        <v>26.0</v>
      </c>
      <c r="C28" s="212">
        <f t="shared" ref="C28:D28" si="26">D128</f>
        <v>2.7</v>
      </c>
      <c r="D28" s="213">
        <f t="shared" si="26"/>
        <v>2.064</v>
      </c>
      <c r="E28" s="214">
        <v>0.96</v>
      </c>
      <c r="F28" s="7"/>
      <c r="G28" s="7"/>
      <c r="H28" s="225"/>
      <c r="I28" s="225"/>
      <c r="J28" s="225"/>
      <c r="K28" s="225"/>
      <c r="L28" s="7"/>
      <c r="M28" s="227">
        <v>10.0</v>
      </c>
      <c r="N28" s="224">
        <v>1.0</v>
      </c>
      <c r="O28" s="231"/>
      <c r="P28" s="231"/>
      <c r="Q28" s="231"/>
      <c r="R28" s="7"/>
      <c r="S28" s="7"/>
      <c r="T28" s="7"/>
      <c r="U28" s="7"/>
      <c r="V28" s="7"/>
      <c r="W28" s="7"/>
      <c r="X28" s="7"/>
      <c r="Y28" s="7"/>
      <c r="Z28" s="64"/>
    </row>
    <row r="29" ht="13.5" customHeight="1">
      <c r="A29" s="134"/>
      <c r="B29" s="211">
        <v>27.0</v>
      </c>
      <c r="C29" s="212">
        <f t="shared" ref="C29:D29" si="27">D129</f>
        <v>2.808</v>
      </c>
      <c r="D29" s="213">
        <f t="shared" si="27"/>
        <v>2.16</v>
      </c>
      <c r="E29" s="214">
        <v>0.96</v>
      </c>
      <c r="F29" s="7"/>
      <c r="G29" s="7"/>
      <c r="H29" s="217"/>
      <c r="I29" s="232"/>
      <c r="J29" s="7"/>
      <c r="K29" s="7"/>
      <c r="L29" s="7"/>
      <c r="M29" s="7"/>
      <c r="N29" s="7"/>
      <c r="O29" s="231"/>
      <c r="P29" s="231"/>
      <c r="Q29" s="231"/>
      <c r="R29" s="7"/>
      <c r="S29" s="7"/>
      <c r="T29" s="7"/>
      <c r="U29" s="7"/>
      <c r="V29" s="7"/>
      <c r="W29" s="7"/>
      <c r="X29" s="7"/>
      <c r="Y29" s="7"/>
      <c r="Z29" s="64"/>
    </row>
    <row r="30" ht="13.5" customHeight="1">
      <c r="A30" s="134"/>
      <c r="B30" s="211">
        <v>28.0</v>
      </c>
      <c r="C30" s="212">
        <f t="shared" ref="C30:D30" si="28">D130</f>
        <v>2.88</v>
      </c>
      <c r="D30" s="213">
        <f t="shared" si="28"/>
        <v>2.172</v>
      </c>
      <c r="E30" s="214">
        <v>0.96</v>
      </c>
      <c r="F30" s="7"/>
      <c r="G30" s="7"/>
      <c r="H30" s="7"/>
      <c r="I30" s="7"/>
      <c r="J30" s="7"/>
      <c r="K30" s="225"/>
      <c r="L30" s="7"/>
      <c r="M30" s="7"/>
      <c r="N30" s="7"/>
      <c r="O30" s="231"/>
      <c r="P30" s="231"/>
      <c r="Q30" s="231"/>
      <c r="R30" s="7"/>
      <c r="S30" s="7"/>
      <c r="T30" s="7"/>
      <c r="U30" s="7"/>
      <c r="V30" s="7"/>
      <c r="W30" s="7"/>
      <c r="X30" s="7"/>
      <c r="Y30" s="7"/>
      <c r="Z30" s="64"/>
    </row>
    <row r="31" ht="13.5" customHeight="1">
      <c r="A31" s="134"/>
      <c r="B31" s="211">
        <v>29.0</v>
      </c>
      <c r="C31" s="212">
        <f t="shared" ref="C31:D31" si="29">D131</f>
        <v>2.904</v>
      </c>
      <c r="D31" s="213">
        <f t="shared" si="29"/>
        <v>2.172</v>
      </c>
      <c r="E31" s="214">
        <v>0.96</v>
      </c>
      <c r="F31" s="7"/>
      <c r="G31" s="215"/>
      <c r="H31" s="7"/>
      <c r="I31" s="7"/>
      <c r="J31" s="7"/>
      <c r="K31" s="217"/>
      <c r="L31" s="217"/>
      <c r="M31" s="217"/>
      <c r="N31" s="7"/>
      <c r="O31" s="50"/>
      <c r="P31" s="7"/>
      <c r="Q31" s="217"/>
      <c r="R31" s="217"/>
      <c r="S31" s="217"/>
      <c r="T31" s="217"/>
      <c r="U31" s="7"/>
      <c r="V31" s="7"/>
      <c r="W31" s="7"/>
      <c r="X31" s="7"/>
      <c r="Y31" s="7"/>
      <c r="Z31" s="64"/>
    </row>
    <row r="32" ht="13.5" customHeight="1">
      <c r="A32" s="134"/>
      <c r="B32" s="211">
        <v>30.0</v>
      </c>
      <c r="C32" s="212">
        <f t="shared" ref="C32:D32" si="30">D132</f>
        <v>2.904</v>
      </c>
      <c r="D32" s="213">
        <f t="shared" si="30"/>
        <v>2.172</v>
      </c>
      <c r="E32" s="214">
        <v>0.96</v>
      </c>
      <c r="F32" s="7"/>
      <c r="G32" s="215"/>
      <c r="H32" s="230"/>
      <c r="I32" s="217"/>
      <c r="J32" s="231"/>
      <c r="K32" s="231"/>
      <c r="L32" s="231"/>
      <c r="M32" s="231"/>
      <c r="N32" s="7"/>
      <c r="O32" s="7"/>
      <c r="P32" s="7"/>
      <c r="Q32" s="7"/>
      <c r="R32" s="7"/>
      <c r="S32" s="7"/>
      <c r="T32" s="7"/>
      <c r="U32" s="7"/>
      <c r="V32" s="7"/>
      <c r="W32" s="7"/>
      <c r="X32" s="7"/>
      <c r="Y32" s="7"/>
      <c r="Z32" s="64"/>
    </row>
    <row r="33" ht="13.5" customHeight="1">
      <c r="A33" s="134"/>
      <c r="B33" s="211">
        <v>31.0</v>
      </c>
      <c r="C33" s="212">
        <f t="shared" ref="C33:D33" si="31">D133</f>
        <v>2.916</v>
      </c>
      <c r="D33" s="213">
        <f t="shared" si="31"/>
        <v>2.172</v>
      </c>
      <c r="E33" s="214">
        <v>0.96</v>
      </c>
      <c r="F33" s="7"/>
      <c r="G33" s="7"/>
      <c r="H33" s="7"/>
      <c r="I33" s="233" t="s">
        <v>153</v>
      </c>
      <c r="J33" s="129"/>
      <c r="K33" s="129"/>
      <c r="L33" s="129" t="s">
        <v>154</v>
      </c>
      <c r="M33" s="129"/>
      <c r="N33" s="129"/>
      <c r="O33" s="7"/>
      <c r="P33" s="7"/>
      <c r="Q33" s="7"/>
      <c r="R33" s="7"/>
      <c r="S33" s="7"/>
      <c r="T33" s="7"/>
      <c r="U33" s="7"/>
      <c r="V33" s="7"/>
      <c r="W33" s="7"/>
      <c r="X33" s="7"/>
      <c r="Y33" s="7"/>
      <c r="Z33" s="64"/>
    </row>
    <row r="34" ht="13.5" customHeight="1">
      <c r="A34" s="134"/>
      <c r="B34" s="211">
        <v>32.0</v>
      </c>
      <c r="C34" s="212">
        <f t="shared" ref="C34:D34" si="32">D134</f>
        <v>2.916</v>
      </c>
      <c r="D34" s="213">
        <f t="shared" si="32"/>
        <v>2.172</v>
      </c>
      <c r="E34" s="214">
        <v>0.96</v>
      </c>
      <c r="F34" s="7"/>
      <c r="G34" s="215">
        <v>3.0</v>
      </c>
      <c r="H34" s="230" t="s">
        <v>155</v>
      </c>
      <c r="I34" s="129" t="s">
        <v>32</v>
      </c>
      <c r="J34" s="129" t="s">
        <v>33</v>
      </c>
      <c r="K34" s="129" t="s">
        <v>36</v>
      </c>
      <c r="L34" s="129" t="s">
        <v>32</v>
      </c>
      <c r="M34" s="129" t="s">
        <v>33</v>
      </c>
      <c r="N34" s="129" t="s">
        <v>36</v>
      </c>
      <c r="O34" s="7"/>
      <c r="P34" s="7"/>
      <c r="Q34" s="7"/>
      <c r="R34" s="7"/>
      <c r="S34" s="7"/>
      <c r="T34" s="7"/>
      <c r="U34" s="7"/>
      <c r="V34" s="7"/>
      <c r="W34" s="7"/>
      <c r="X34" s="7"/>
      <c r="Y34" s="7"/>
      <c r="Z34" s="64"/>
    </row>
    <row r="35" ht="13.5" customHeight="1">
      <c r="A35" s="134"/>
      <c r="B35" s="211">
        <v>33.0</v>
      </c>
      <c r="C35" s="212">
        <f t="shared" ref="C35:D35" si="33">D135</f>
        <v>2.964</v>
      </c>
      <c r="D35" s="213">
        <f t="shared" si="33"/>
        <v>2.196</v>
      </c>
      <c r="E35" s="214">
        <v>0.96</v>
      </c>
      <c r="F35" s="7"/>
      <c r="G35" s="234"/>
      <c r="H35" s="235" t="s">
        <v>94</v>
      </c>
      <c r="I35" s="236">
        <v>-0.01</v>
      </c>
      <c r="J35" s="236">
        <v>0.0</v>
      </c>
      <c r="K35" s="236">
        <v>0.04</v>
      </c>
      <c r="L35" s="237">
        <f t="shared" ref="L35:N35" si="34">(1+I35)^(1/12)-1</f>
        <v>-0.0008371773591</v>
      </c>
      <c r="M35" s="237">
        <f t="shared" si="34"/>
        <v>0</v>
      </c>
      <c r="N35" s="237">
        <f t="shared" si="34"/>
        <v>0.003273739782</v>
      </c>
      <c r="O35" s="7"/>
      <c r="P35" s="7"/>
      <c r="Q35" s="7"/>
      <c r="R35" s="7"/>
      <c r="S35" s="7"/>
      <c r="T35" s="7"/>
      <c r="U35" s="7"/>
      <c r="V35" s="7"/>
      <c r="W35" s="7"/>
      <c r="X35" s="7"/>
      <c r="Y35" s="7"/>
      <c r="Z35" s="64"/>
    </row>
    <row r="36" ht="13.5" customHeight="1">
      <c r="A36" s="134"/>
      <c r="B36" s="211">
        <v>34.0</v>
      </c>
      <c r="C36" s="212">
        <f t="shared" ref="C36:D36" si="35">D136</f>
        <v>3.156</v>
      </c>
      <c r="D36" s="213">
        <f t="shared" si="35"/>
        <v>2.352</v>
      </c>
      <c r="E36" s="214">
        <v>0.96</v>
      </c>
      <c r="F36" s="7"/>
      <c r="G36" s="234"/>
      <c r="H36" s="235" t="s">
        <v>98</v>
      </c>
      <c r="I36" s="236">
        <v>-0.01</v>
      </c>
      <c r="J36" s="236">
        <v>0.0</v>
      </c>
      <c r="K36" s="236">
        <v>0.07</v>
      </c>
      <c r="L36" s="237">
        <f t="shared" ref="L36:N36" si="36">(1+I36)^(1/12)-1</f>
        <v>-0.0008371773591</v>
      </c>
      <c r="M36" s="237">
        <f t="shared" si="36"/>
        <v>0</v>
      </c>
      <c r="N36" s="237">
        <f t="shared" si="36"/>
        <v>0.005654145387</v>
      </c>
      <c r="O36" s="7"/>
      <c r="P36" s="7"/>
      <c r="Q36" s="7"/>
      <c r="R36" s="7"/>
      <c r="S36" s="7"/>
      <c r="T36" s="7"/>
      <c r="U36" s="7"/>
      <c r="V36" s="7"/>
      <c r="W36" s="7"/>
      <c r="X36" s="7"/>
      <c r="Y36" s="7"/>
      <c r="Z36" s="64"/>
    </row>
    <row r="37" ht="13.5" customHeight="1">
      <c r="A37" s="134"/>
      <c r="B37" s="211">
        <v>35.0</v>
      </c>
      <c r="C37" s="212">
        <f t="shared" ref="C37:D37" si="37">D137</f>
        <v>3.408</v>
      </c>
      <c r="D37" s="213">
        <f t="shared" si="37"/>
        <v>2.544</v>
      </c>
      <c r="E37" s="214">
        <v>0.96</v>
      </c>
      <c r="F37" s="7"/>
      <c r="G37" s="234"/>
      <c r="H37" s="235" t="s">
        <v>100</v>
      </c>
      <c r="I37" s="236">
        <v>-0.01</v>
      </c>
      <c r="J37" s="236">
        <v>0.0</v>
      </c>
      <c r="K37" s="236">
        <v>0.08</v>
      </c>
      <c r="L37" s="237">
        <f t="shared" ref="L37:N37" si="38">(1+I37)^(1/12)-1</f>
        <v>-0.0008371773591</v>
      </c>
      <c r="M37" s="237">
        <f t="shared" si="38"/>
        <v>0</v>
      </c>
      <c r="N37" s="237">
        <f t="shared" si="38"/>
        <v>0.00643403011</v>
      </c>
      <c r="O37" s="7"/>
      <c r="P37" s="7"/>
      <c r="Q37" s="7"/>
      <c r="R37" s="7"/>
      <c r="S37" s="7"/>
      <c r="T37" s="7"/>
      <c r="U37" s="7"/>
      <c r="V37" s="7"/>
      <c r="W37" s="7"/>
      <c r="X37" s="7"/>
      <c r="Y37" s="7"/>
      <c r="Z37" s="64"/>
    </row>
    <row r="38" ht="13.5" customHeight="1">
      <c r="A38" s="134"/>
      <c r="B38" s="211">
        <v>36.0</v>
      </c>
      <c r="C38" s="212">
        <f t="shared" ref="C38:D38" si="39">D138</f>
        <v>3.696</v>
      </c>
      <c r="D38" s="213">
        <f t="shared" si="39"/>
        <v>2.736</v>
      </c>
      <c r="E38" s="214">
        <v>0.96</v>
      </c>
      <c r="F38" s="7"/>
      <c r="G38" s="234"/>
      <c r="H38" s="235" t="s">
        <v>97</v>
      </c>
      <c r="I38" s="236">
        <v>-0.01</v>
      </c>
      <c r="J38" s="236">
        <v>0.0</v>
      </c>
      <c r="K38" s="236">
        <v>0.05</v>
      </c>
      <c r="L38" s="237">
        <f t="shared" ref="L38:N38" si="40">(1+I38)^(1/12)-1</f>
        <v>-0.0008371773591</v>
      </c>
      <c r="M38" s="237">
        <f t="shared" si="40"/>
        <v>0</v>
      </c>
      <c r="N38" s="237">
        <f t="shared" si="40"/>
        <v>0.004074123784</v>
      </c>
      <c r="O38" s="7"/>
      <c r="P38" s="7"/>
      <c r="Q38" s="7"/>
      <c r="R38" s="7"/>
      <c r="S38" s="7"/>
      <c r="T38" s="7"/>
      <c r="U38" s="7"/>
      <c r="V38" s="7"/>
      <c r="W38" s="7"/>
      <c r="X38" s="7"/>
      <c r="Y38" s="7"/>
      <c r="Z38" s="64"/>
    </row>
    <row r="39" ht="13.5" customHeight="1">
      <c r="A39" s="134"/>
      <c r="B39" s="211">
        <v>37.0</v>
      </c>
      <c r="C39" s="212">
        <f t="shared" ref="C39:D39" si="41">D139</f>
        <v>4.044</v>
      </c>
      <c r="D39" s="213">
        <f t="shared" si="41"/>
        <v>2.964</v>
      </c>
      <c r="E39" s="214">
        <v>0.96</v>
      </c>
      <c r="F39" s="7"/>
      <c r="G39" s="234"/>
      <c r="H39" s="235"/>
      <c r="I39" s="235"/>
      <c r="J39" s="235"/>
      <c r="K39" s="235"/>
      <c r="L39" s="235"/>
      <c r="M39" s="235"/>
      <c r="N39" s="235"/>
      <c r="O39" s="7"/>
      <c r="P39" s="7"/>
      <c r="Q39" s="7"/>
      <c r="R39" s="7"/>
      <c r="S39" s="7"/>
      <c r="T39" s="7"/>
      <c r="U39" s="7"/>
      <c r="V39" s="7"/>
      <c r="W39" s="7"/>
      <c r="X39" s="7"/>
      <c r="Y39" s="7"/>
      <c r="Z39" s="64"/>
    </row>
    <row r="40" ht="13.5" customHeight="1">
      <c r="A40" s="134"/>
      <c r="B40" s="211">
        <v>38.0</v>
      </c>
      <c r="C40" s="212">
        <f t="shared" ref="C40:D40" si="42">D140</f>
        <v>4.344</v>
      </c>
      <c r="D40" s="213">
        <f t="shared" si="42"/>
        <v>3.132</v>
      </c>
      <c r="E40" s="214">
        <v>0.96</v>
      </c>
      <c r="F40" s="7"/>
      <c r="G40" s="234"/>
      <c r="H40" s="235"/>
      <c r="I40" s="7"/>
      <c r="J40" s="7"/>
      <c r="K40" s="7"/>
      <c r="L40" s="7"/>
      <c r="M40" s="7"/>
      <c r="N40" s="7"/>
      <c r="O40" s="7"/>
      <c r="P40" s="7"/>
      <c r="Q40" s="7"/>
      <c r="R40" s="7"/>
      <c r="S40" s="7"/>
      <c r="T40" s="7"/>
      <c r="U40" s="7"/>
      <c r="V40" s="7"/>
      <c r="W40" s="7"/>
      <c r="X40" s="7"/>
      <c r="Y40" s="7"/>
      <c r="Z40" s="64"/>
    </row>
    <row r="41" ht="13.5" customHeight="1">
      <c r="A41" s="134"/>
      <c r="B41" s="211">
        <v>39.0</v>
      </c>
      <c r="C41" s="212">
        <f t="shared" ref="C41:D41" si="43">D141</f>
        <v>4.752</v>
      </c>
      <c r="D41" s="213">
        <f t="shared" si="43"/>
        <v>3.312</v>
      </c>
      <c r="E41" s="214">
        <v>0.96</v>
      </c>
      <c r="F41" s="7"/>
      <c r="G41" s="7"/>
      <c r="H41" s="235"/>
      <c r="I41" s="7"/>
      <c r="J41" s="7"/>
      <c r="K41" s="7"/>
      <c r="L41" s="7"/>
      <c r="M41" s="7"/>
      <c r="N41" s="7"/>
      <c r="O41" s="7"/>
      <c r="P41" s="129"/>
      <c r="Q41" s="7"/>
      <c r="R41" s="7"/>
      <c r="S41" s="7"/>
      <c r="T41" s="7"/>
      <c r="U41" s="7"/>
      <c r="V41" s="7"/>
      <c r="W41" s="7"/>
      <c r="X41" s="7"/>
      <c r="Y41" s="7"/>
      <c r="Z41" s="64"/>
    </row>
    <row r="42" ht="13.5" customHeight="1">
      <c r="A42" s="134"/>
      <c r="B42" s="211">
        <v>40.0</v>
      </c>
      <c r="C42" s="212">
        <f t="shared" ref="C42:D42" si="44">D142</f>
        <v>5.196</v>
      </c>
      <c r="D42" s="213">
        <f t="shared" si="44"/>
        <v>3.552</v>
      </c>
      <c r="E42" s="214">
        <v>0.96</v>
      </c>
      <c r="F42" s="7"/>
      <c r="G42" s="232"/>
      <c r="H42" s="7"/>
      <c r="I42" s="7"/>
      <c r="J42" s="7"/>
      <c r="K42" s="7"/>
      <c r="L42" s="7"/>
      <c r="M42" s="7"/>
      <c r="N42" s="7"/>
      <c r="O42" s="7"/>
      <c r="P42" s="7"/>
      <c r="Q42" s="7"/>
      <c r="R42" s="7"/>
      <c r="S42" s="7"/>
      <c r="T42" s="7"/>
      <c r="U42" s="7"/>
      <c r="V42" s="7"/>
      <c r="W42" s="7"/>
      <c r="X42" s="7"/>
      <c r="Y42" s="7"/>
      <c r="Z42" s="64"/>
    </row>
    <row r="43" ht="13.5" customHeight="1">
      <c r="A43" s="134"/>
      <c r="B43" s="211">
        <v>41.0</v>
      </c>
      <c r="C43" s="212">
        <f t="shared" ref="C43:D43" si="45">D143</f>
        <v>5.652</v>
      </c>
      <c r="D43" s="213">
        <f t="shared" si="45"/>
        <v>3.744</v>
      </c>
      <c r="E43" s="214">
        <v>0.96</v>
      </c>
      <c r="F43" s="7"/>
      <c r="G43" s="232"/>
      <c r="H43" s="7"/>
      <c r="I43" s="7"/>
      <c r="J43" s="7"/>
      <c r="K43" s="7"/>
      <c r="L43" s="7"/>
      <c r="M43" s="7"/>
      <c r="N43" s="7"/>
      <c r="O43" s="7"/>
      <c r="P43" s="7"/>
      <c r="Q43" s="7"/>
      <c r="R43" s="7"/>
      <c r="S43" s="7"/>
      <c r="T43" s="7"/>
      <c r="U43" s="7"/>
      <c r="V43" s="7"/>
      <c r="W43" s="7"/>
      <c r="X43" s="7"/>
      <c r="Y43" s="7"/>
      <c r="Z43" s="64"/>
    </row>
    <row r="44" ht="13.5" customHeight="1">
      <c r="A44" s="134"/>
      <c r="B44" s="211">
        <v>42.0</v>
      </c>
      <c r="C44" s="212">
        <f t="shared" ref="C44:D44" si="46">D144</f>
        <v>6.192</v>
      </c>
      <c r="D44" s="213">
        <f t="shared" si="46"/>
        <v>4.044</v>
      </c>
      <c r="E44" s="214">
        <v>0.96</v>
      </c>
      <c r="F44" s="7"/>
      <c r="G44" s="232"/>
      <c r="H44" s="7"/>
      <c r="I44" s="7"/>
      <c r="J44" s="7"/>
      <c r="K44" s="7"/>
      <c r="L44" s="7"/>
      <c r="M44" s="7"/>
      <c r="N44" s="7"/>
      <c r="O44" s="7"/>
      <c r="P44" s="7"/>
      <c r="Q44" s="7"/>
      <c r="R44" s="7"/>
      <c r="S44" s="7"/>
      <c r="T44" s="7"/>
      <c r="U44" s="7"/>
      <c r="V44" s="7"/>
      <c r="W44" s="7"/>
      <c r="X44" s="7"/>
      <c r="Y44" s="7"/>
      <c r="Z44" s="64"/>
    </row>
    <row r="45" ht="13.5" customHeight="1">
      <c r="A45" s="134"/>
      <c r="B45" s="211">
        <v>43.0</v>
      </c>
      <c r="C45" s="212">
        <f t="shared" ref="C45:D45" si="47">D145</f>
        <v>6.768</v>
      </c>
      <c r="D45" s="213">
        <f t="shared" si="47"/>
        <v>4.32</v>
      </c>
      <c r="E45" s="214">
        <v>0.96</v>
      </c>
      <c r="F45" s="7"/>
      <c r="G45" s="232"/>
      <c r="H45" s="7"/>
      <c r="I45" s="7"/>
      <c r="J45" s="7"/>
      <c r="K45" s="7"/>
      <c r="L45" s="7"/>
      <c r="M45" s="7"/>
      <c r="N45" s="7"/>
      <c r="O45" s="7"/>
      <c r="P45" s="7"/>
      <c r="Q45" s="7"/>
      <c r="R45" s="7"/>
      <c r="S45" s="7"/>
      <c r="T45" s="7"/>
      <c r="U45" s="7"/>
      <c r="V45" s="7"/>
      <c r="W45" s="7"/>
      <c r="X45" s="7"/>
      <c r="Y45" s="7"/>
      <c r="Z45" s="64"/>
    </row>
    <row r="46" ht="13.5" customHeight="1">
      <c r="A46" s="134"/>
      <c r="B46" s="211">
        <v>44.0</v>
      </c>
      <c r="C46" s="212">
        <f t="shared" ref="C46:D46" si="48">D146</f>
        <v>7.416</v>
      </c>
      <c r="D46" s="213">
        <f t="shared" si="48"/>
        <v>4.644</v>
      </c>
      <c r="E46" s="214">
        <v>0.96</v>
      </c>
      <c r="F46" s="7"/>
      <c r="G46" s="232"/>
      <c r="H46" s="7"/>
      <c r="I46" s="7"/>
      <c r="J46" s="7"/>
      <c r="K46" s="7"/>
      <c r="L46" s="7"/>
      <c r="M46" s="7"/>
      <c r="N46" s="7"/>
      <c r="O46" s="7"/>
      <c r="P46" s="7"/>
      <c r="Q46" s="7"/>
      <c r="R46" s="7"/>
      <c r="S46" s="7"/>
      <c r="T46" s="7"/>
      <c r="U46" s="7"/>
      <c r="V46" s="7"/>
      <c r="W46" s="7"/>
      <c r="X46" s="7"/>
      <c r="Y46" s="7"/>
      <c r="Z46" s="64"/>
    </row>
    <row r="47" ht="13.5" customHeight="1">
      <c r="A47" s="134"/>
      <c r="B47" s="211">
        <v>45.0</v>
      </c>
      <c r="C47" s="212">
        <f t="shared" ref="C47:D47" si="49">D147</f>
        <v>8.112</v>
      </c>
      <c r="D47" s="213">
        <f t="shared" si="49"/>
        <v>5.028</v>
      </c>
      <c r="E47" s="214">
        <v>0.96</v>
      </c>
      <c r="F47" s="7"/>
      <c r="G47" s="232"/>
      <c r="H47" s="7"/>
      <c r="I47" s="7"/>
      <c r="J47" s="7"/>
      <c r="K47" s="7"/>
      <c r="L47" s="7"/>
      <c r="M47" s="7"/>
      <c r="N47" s="7"/>
      <c r="O47" s="217"/>
      <c r="P47" s="217"/>
      <c r="Q47" s="217"/>
      <c r="R47" s="217"/>
      <c r="S47" s="217"/>
      <c r="T47" s="217"/>
      <c r="U47" s="7"/>
      <c r="V47" s="7"/>
      <c r="W47" s="7"/>
      <c r="X47" s="7"/>
      <c r="Y47" s="7"/>
      <c r="Z47" s="64"/>
    </row>
    <row r="48" ht="13.5" customHeight="1">
      <c r="A48" s="134"/>
      <c r="B48" s="211">
        <v>46.0</v>
      </c>
      <c r="C48" s="212">
        <f t="shared" ref="C48:D48" si="50">D148</f>
        <v>8.88</v>
      </c>
      <c r="D48" s="213">
        <f t="shared" si="50"/>
        <v>5.484</v>
      </c>
      <c r="E48" s="214">
        <v>0.96</v>
      </c>
      <c r="F48" s="7"/>
      <c r="G48" s="238"/>
      <c r="H48" s="235"/>
      <c r="I48" s="7"/>
      <c r="J48" s="7"/>
      <c r="K48" s="7"/>
      <c r="L48" s="7"/>
      <c r="M48" s="7"/>
      <c r="N48" s="235"/>
      <c r="O48" s="231"/>
      <c r="P48" s="231"/>
      <c r="Q48" s="231"/>
      <c r="R48" s="231"/>
      <c r="S48" s="231"/>
      <c r="T48" s="231"/>
      <c r="U48" s="7"/>
      <c r="V48" s="7"/>
      <c r="W48" s="7"/>
      <c r="X48" s="7"/>
      <c r="Y48" s="7"/>
      <c r="Z48" s="64"/>
    </row>
    <row r="49" ht="13.5" customHeight="1">
      <c r="A49" s="134"/>
      <c r="B49" s="211">
        <v>47.0</v>
      </c>
      <c r="C49" s="212">
        <f t="shared" ref="C49:D49" si="51">D149</f>
        <v>9.672</v>
      </c>
      <c r="D49" s="213">
        <f t="shared" si="51"/>
        <v>5.904</v>
      </c>
      <c r="E49" s="214">
        <v>0.96</v>
      </c>
      <c r="F49" s="7"/>
      <c r="G49" s="238"/>
      <c r="H49" s="7"/>
      <c r="I49" s="7"/>
      <c r="J49" s="7"/>
      <c r="K49" s="7"/>
      <c r="L49" s="7"/>
      <c r="M49" s="7"/>
      <c r="N49" s="235"/>
      <c r="O49" s="231"/>
      <c r="P49" s="231"/>
      <c r="Q49" s="231"/>
      <c r="R49" s="231"/>
      <c r="S49" s="231"/>
      <c r="T49" s="231"/>
      <c r="U49" s="7"/>
      <c r="V49" s="7"/>
      <c r="W49" s="7"/>
      <c r="X49" s="7"/>
      <c r="Y49" s="7"/>
      <c r="Z49" s="64"/>
    </row>
    <row r="50" ht="13.5" customHeight="1">
      <c r="A50" s="134"/>
      <c r="B50" s="211">
        <v>48.0</v>
      </c>
      <c r="C50" s="212">
        <f t="shared" ref="C50:D50" si="52">D150</f>
        <v>10.476</v>
      </c>
      <c r="D50" s="213">
        <f t="shared" si="52"/>
        <v>6.336</v>
      </c>
      <c r="E50" s="214">
        <v>0.96</v>
      </c>
      <c r="F50" s="7"/>
      <c r="G50" s="238"/>
      <c r="H50" s="7"/>
      <c r="I50" s="225"/>
      <c r="J50" s="7"/>
      <c r="K50" s="7"/>
      <c r="L50" s="7"/>
      <c r="M50" s="7"/>
      <c r="N50" s="235"/>
      <c r="O50" s="231"/>
      <c r="P50" s="231"/>
      <c r="Q50" s="231"/>
      <c r="R50" s="231"/>
      <c r="S50" s="231"/>
      <c r="T50" s="231"/>
      <c r="U50" s="7"/>
      <c r="V50" s="7"/>
      <c r="W50" s="7"/>
      <c r="X50" s="7"/>
      <c r="Y50" s="7"/>
      <c r="Z50" s="64"/>
    </row>
    <row r="51" ht="13.5" customHeight="1">
      <c r="A51" s="134"/>
      <c r="B51" s="211">
        <v>49.0</v>
      </c>
      <c r="C51" s="212">
        <f t="shared" ref="C51:D51" si="53">D151</f>
        <v>11.28</v>
      </c>
      <c r="D51" s="213">
        <f t="shared" si="53"/>
        <v>6.78</v>
      </c>
      <c r="E51" s="214">
        <v>0.96</v>
      </c>
      <c r="F51" s="7"/>
      <c r="G51" s="238"/>
      <c r="H51" s="7"/>
      <c r="I51" s="225"/>
      <c r="J51" s="7"/>
      <c r="K51" s="7"/>
      <c r="L51" s="7"/>
      <c r="M51" s="7"/>
      <c r="N51" s="235"/>
      <c r="O51" s="231"/>
      <c r="P51" s="231"/>
      <c r="Q51" s="231"/>
      <c r="R51" s="231"/>
      <c r="S51" s="231"/>
      <c r="T51" s="231"/>
      <c r="U51" s="7"/>
      <c r="V51" s="7"/>
      <c r="W51" s="7"/>
      <c r="X51" s="7"/>
      <c r="Y51" s="7"/>
      <c r="Z51" s="64"/>
    </row>
    <row r="52" ht="13.5" customHeight="1">
      <c r="A52" s="134"/>
      <c r="B52" s="211">
        <v>50.0</v>
      </c>
      <c r="C52" s="212">
        <f t="shared" ref="C52:D52" si="54">D152</f>
        <v>12.12</v>
      </c>
      <c r="D52" s="213">
        <f t="shared" si="54"/>
        <v>7.272</v>
      </c>
      <c r="E52" s="214">
        <v>0.96</v>
      </c>
      <c r="F52" s="7"/>
      <c r="G52" s="7"/>
      <c r="H52" s="7"/>
      <c r="I52" s="7"/>
      <c r="J52" s="7"/>
      <c r="K52" s="7"/>
      <c r="L52" s="7"/>
      <c r="M52" s="7"/>
      <c r="N52" s="7"/>
      <c r="O52" s="7"/>
      <c r="P52" s="7"/>
      <c r="Q52" s="7"/>
      <c r="R52" s="7"/>
      <c r="S52" s="7"/>
      <c r="T52" s="7"/>
      <c r="U52" s="7"/>
      <c r="V52" s="7"/>
      <c r="W52" s="7"/>
      <c r="X52" s="7"/>
      <c r="Y52" s="7"/>
      <c r="Z52" s="64"/>
    </row>
    <row r="53" ht="13.5" customHeight="1">
      <c r="A53" s="134"/>
      <c r="B53" s="211">
        <v>51.0</v>
      </c>
      <c r="C53" s="212">
        <f t="shared" ref="C53:D53" si="55">D153</f>
        <v>13.152</v>
      </c>
      <c r="D53" s="213">
        <f t="shared" si="55"/>
        <v>7.932</v>
      </c>
      <c r="E53" s="214">
        <v>0.96</v>
      </c>
      <c r="F53" s="7"/>
      <c r="G53" s="7"/>
      <c r="H53" s="7"/>
      <c r="I53" s="7"/>
      <c r="J53" s="7"/>
      <c r="K53" s="7"/>
      <c r="L53" s="7"/>
      <c r="M53" s="7"/>
      <c r="N53" s="7"/>
      <c r="O53" s="7"/>
      <c r="P53" s="7"/>
      <c r="Q53" s="7"/>
      <c r="R53" s="7"/>
      <c r="S53" s="7"/>
      <c r="T53" s="7"/>
      <c r="U53" s="7"/>
      <c r="V53" s="7"/>
      <c r="W53" s="7"/>
      <c r="X53" s="7"/>
      <c r="Y53" s="7"/>
      <c r="Z53" s="7"/>
    </row>
    <row r="54" ht="13.5" hidden="1" customHeight="1">
      <c r="A54" s="134"/>
      <c r="B54" s="211">
        <v>52.0</v>
      </c>
      <c r="C54" s="212">
        <f t="shared" ref="C54:D54" si="56">D154</f>
        <v>14.292</v>
      </c>
      <c r="D54" s="213">
        <f t="shared" si="56"/>
        <v>8.628</v>
      </c>
      <c r="E54" s="214">
        <v>0.96</v>
      </c>
      <c r="F54" s="7"/>
      <c r="G54" s="7"/>
      <c r="H54" s="7"/>
      <c r="I54" s="7"/>
      <c r="J54" s="7"/>
      <c r="K54" s="7"/>
      <c r="L54" s="7"/>
      <c r="M54" s="7"/>
      <c r="N54" s="7"/>
      <c r="O54" s="7"/>
      <c r="P54" s="7"/>
      <c r="Q54" s="7"/>
      <c r="R54" s="7"/>
      <c r="S54" s="7"/>
      <c r="T54" s="7"/>
      <c r="U54" s="7"/>
      <c r="V54" s="7"/>
      <c r="W54" s="7"/>
      <c r="X54" s="7"/>
      <c r="Y54" s="7"/>
      <c r="Z54" s="7"/>
    </row>
    <row r="55" ht="13.5" customHeight="1">
      <c r="A55" s="134"/>
      <c r="B55" s="211">
        <v>53.0</v>
      </c>
      <c r="C55" s="212">
        <f t="shared" ref="C55:D55" si="57">D155</f>
        <v>15.516</v>
      </c>
      <c r="D55" s="213">
        <f t="shared" si="57"/>
        <v>9.372</v>
      </c>
      <c r="E55" s="214">
        <v>0.96</v>
      </c>
      <c r="F55" s="7"/>
      <c r="G55" s="7"/>
      <c r="H55" s="7"/>
      <c r="I55" s="7"/>
      <c r="J55" s="7"/>
      <c r="K55" s="7"/>
      <c r="L55" s="7"/>
      <c r="M55" s="7"/>
      <c r="N55" s="7"/>
      <c r="O55" s="7"/>
      <c r="P55" s="7"/>
      <c r="Q55" s="7"/>
      <c r="R55" s="7"/>
      <c r="S55" s="7"/>
      <c r="T55" s="7"/>
      <c r="U55" s="7"/>
      <c r="V55" s="7"/>
      <c r="W55" s="7"/>
      <c r="X55" s="7"/>
      <c r="Y55" s="7"/>
      <c r="Z55" s="7"/>
    </row>
    <row r="56" ht="13.5" customHeight="1">
      <c r="A56" s="134"/>
      <c r="B56" s="211">
        <v>54.0</v>
      </c>
      <c r="C56" s="212">
        <f t="shared" ref="C56:D56" si="58">D156</f>
        <v>16.764</v>
      </c>
      <c r="D56" s="213">
        <f t="shared" si="58"/>
        <v>10.188</v>
      </c>
      <c r="E56" s="214">
        <v>0.96</v>
      </c>
      <c r="F56" s="7"/>
      <c r="G56" s="7"/>
      <c r="H56" s="7"/>
      <c r="I56" s="7"/>
      <c r="J56" s="7"/>
      <c r="K56" s="7"/>
      <c r="L56" s="7"/>
      <c r="M56" s="7"/>
      <c r="N56" s="7"/>
      <c r="O56" s="7"/>
      <c r="P56" s="7"/>
      <c r="Q56" s="7"/>
      <c r="R56" s="7"/>
      <c r="S56" s="7"/>
      <c r="T56" s="7"/>
      <c r="U56" s="7"/>
      <c r="V56" s="7"/>
      <c r="W56" s="7"/>
      <c r="X56" s="7"/>
      <c r="Y56" s="7"/>
      <c r="Z56" s="7"/>
    </row>
    <row r="57" ht="13.5" customHeight="1">
      <c r="A57" s="134"/>
      <c r="B57" s="211">
        <v>55.0</v>
      </c>
      <c r="C57" s="212">
        <f t="shared" ref="C57:D57" si="59">D157</f>
        <v>16.896</v>
      </c>
      <c r="D57" s="213">
        <f t="shared" si="59"/>
        <v>11.04</v>
      </c>
      <c r="E57" s="214">
        <v>0.96</v>
      </c>
      <c r="F57" s="7"/>
      <c r="G57" s="7"/>
      <c r="H57" s="7"/>
      <c r="I57" s="7"/>
      <c r="J57" s="7"/>
      <c r="K57" s="7"/>
      <c r="L57" s="7"/>
      <c r="M57" s="7"/>
      <c r="N57" s="7"/>
      <c r="O57" s="7"/>
      <c r="P57" s="7"/>
      <c r="Q57" s="7"/>
      <c r="R57" s="7"/>
      <c r="S57" s="7"/>
      <c r="T57" s="7"/>
      <c r="U57" s="7"/>
      <c r="V57" s="7"/>
      <c r="W57" s="7"/>
      <c r="X57" s="7"/>
      <c r="Y57" s="7"/>
      <c r="Z57" s="7"/>
    </row>
    <row r="58" ht="13.5" customHeight="1">
      <c r="A58" s="134"/>
      <c r="B58" s="211">
        <v>56.0</v>
      </c>
      <c r="C58" s="212">
        <f t="shared" ref="C58:D58" si="60">D158</f>
        <v>17.04</v>
      </c>
      <c r="D58" s="213">
        <f t="shared" si="60"/>
        <v>11.052</v>
      </c>
      <c r="E58" s="214">
        <v>0.96</v>
      </c>
      <c r="F58" s="7"/>
      <c r="G58" s="7"/>
      <c r="H58" s="7"/>
      <c r="I58" s="7"/>
      <c r="J58" s="7"/>
      <c r="K58" s="7"/>
      <c r="L58" s="7"/>
      <c r="M58" s="7"/>
      <c r="N58" s="7"/>
      <c r="O58" s="7"/>
      <c r="P58" s="7"/>
      <c r="Q58" s="7"/>
      <c r="R58" s="7"/>
      <c r="S58" s="7"/>
      <c r="T58" s="7"/>
      <c r="U58" s="7"/>
      <c r="V58" s="7"/>
      <c r="W58" s="7"/>
      <c r="X58" s="7"/>
      <c r="Y58" s="7"/>
      <c r="Z58" s="7"/>
    </row>
    <row r="59" ht="13.5" customHeight="1">
      <c r="A59" s="134"/>
      <c r="B59" s="211">
        <v>57.0</v>
      </c>
      <c r="C59" s="212">
        <f t="shared" ref="C59:D59" si="61">D159</f>
        <v>17.172</v>
      </c>
      <c r="D59" s="213">
        <f t="shared" si="61"/>
        <v>11.064</v>
      </c>
      <c r="E59" s="214">
        <v>0.96</v>
      </c>
      <c r="F59" s="7"/>
      <c r="G59" s="7"/>
      <c r="H59" s="7"/>
      <c r="I59" s="7"/>
      <c r="J59" s="7"/>
      <c r="K59" s="7"/>
      <c r="L59" s="7"/>
      <c r="M59" s="7"/>
      <c r="N59" s="7"/>
      <c r="O59" s="7"/>
      <c r="P59" s="7"/>
      <c r="Q59" s="7"/>
      <c r="R59" s="7"/>
      <c r="S59" s="7"/>
      <c r="T59" s="7"/>
      <c r="U59" s="7"/>
      <c r="V59" s="7"/>
      <c r="W59" s="7"/>
      <c r="X59" s="7"/>
      <c r="Y59" s="7"/>
      <c r="Z59" s="7"/>
    </row>
    <row r="60" ht="13.5" customHeight="1">
      <c r="A60" s="134"/>
      <c r="B60" s="211">
        <v>58.0</v>
      </c>
      <c r="C60" s="212">
        <f t="shared" ref="C60:D60" si="62">D160</f>
        <v>17.304</v>
      </c>
      <c r="D60" s="213">
        <f t="shared" si="62"/>
        <v>11.076</v>
      </c>
      <c r="E60" s="214">
        <v>0.96</v>
      </c>
      <c r="F60" s="7"/>
      <c r="G60" s="7"/>
      <c r="H60" s="7"/>
      <c r="I60" s="7"/>
      <c r="J60" s="7"/>
      <c r="K60" s="7"/>
      <c r="L60" s="7"/>
      <c r="M60" s="7"/>
      <c r="N60" s="7"/>
      <c r="O60" s="7"/>
      <c r="P60" s="7"/>
      <c r="Q60" s="7"/>
      <c r="R60" s="7"/>
      <c r="S60" s="7"/>
      <c r="T60" s="7"/>
      <c r="U60" s="7"/>
      <c r="V60" s="7"/>
      <c r="W60" s="7"/>
      <c r="X60" s="7"/>
      <c r="Y60" s="7"/>
      <c r="Z60" s="7"/>
    </row>
    <row r="61" ht="13.5" customHeight="1">
      <c r="A61" s="134"/>
      <c r="B61" s="211">
        <v>59.0</v>
      </c>
      <c r="C61" s="212">
        <f t="shared" ref="C61:D61" si="63">D161</f>
        <v>17.34</v>
      </c>
      <c r="D61" s="213">
        <f t="shared" si="63"/>
        <v>11.352</v>
      </c>
      <c r="E61" s="214">
        <v>0.96</v>
      </c>
      <c r="F61" s="7"/>
      <c r="G61" s="7"/>
      <c r="H61" s="7"/>
      <c r="I61" s="7"/>
      <c r="J61" s="7"/>
      <c r="K61" s="7"/>
      <c r="L61" s="7"/>
      <c r="M61" s="7"/>
      <c r="N61" s="7"/>
      <c r="O61" s="7"/>
      <c r="P61" s="7"/>
      <c r="Q61" s="7"/>
      <c r="R61" s="7"/>
      <c r="S61" s="7"/>
      <c r="T61" s="7"/>
      <c r="U61" s="7"/>
      <c r="V61" s="7"/>
      <c r="W61" s="7"/>
      <c r="X61" s="7"/>
      <c r="Y61" s="7"/>
      <c r="Z61" s="7"/>
    </row>
    <row r="62" ht="13.5" customHeight="1">
      <c r="A62" s="134"/>
      <c r="B62" s="211">
        <v>60.0</v>
      </c>
      <c r="C62" s="212">
        <f t="shared" ref="C62:D62" si="64">D162</f>
        <v>17.4</v>
      </c>
      <c r="D62" s="213">
        <f t="shared" si="64"/>
        <v>11.688</v>
      </c>
      <c r="E62" s="214">
        <v>0.96</v>
      </c>
      <c r="F62" s="7"/>
      <c r="G62" s="7"/>
      <c r="H62" s="7"/>
      <c r="I62" s="7"/>
      <c r="J62" s="7"/>
      <c r="K62" s="7"/>
      <c r="L62" s="7"/>
      <c r="M62" s="7"/>
      <c r="N62" s="7"/>
      <c r="O62" s="7"/>
      <c r="P62" s="7"/>
      <c r="Q62" s="7"/>
      <c r="R62" s="7"/>
      <c r="S62" s="7"/>
      <c r="T62" s="7"/>
      <c r="U62" s="7"/>
      <c r="V62" s="7"/>
      <c r="W62" s="7"/>
      <c r="X62" s="7"/>
      <c r="Y62" s="7"/>
      <c r="Z62" s="7"/>
    </row>
    <row r="63" ht="13.5" customHeight="1">
      <c r="A63" s="134"/>
      <c r="B63" s="211">
        <v>61.0</v>
      </c>
      <c r="C63" s="212">
        <f t="shared" ref="C63:D63" si="65">D163</f>
        <v>17.46</v>
      </c>
      <c r="D63" s="213">
        <f t="shared" si="65"/>
        <v>12.048</v>
      </c>
      <c r="E63" s="214">
        <v>0.96</v>
      </c>
      <c r="F63" s="7"/>
      <c r="G63" s="7"/>
      <c r="H63" s="7"/>
      <c r="I63" s="7"/>
      <c r="J63" s="7"/>
      <c r="K63" s="7"/>
      <c r="L63" s="7"/>
      <c r="M63" s="7"/>
      <c r="N63" s="7"/>
      <c r="O63" s="7"/>
      <c r="P63" s="7"/>
      <c r="Q63" s="7"/>
      <c r="R63" s="7"/>
      <c r="S63" s="7"/>
      <c r="T63" s="7"/>
      <c r="U63" s="7"/>
      <c r="V63" s="7"/>
      <c r="W63" s="7"/>
      <c r="X63" s="7"/>
      <c r="Y63" s="7"/>
      <c r="Z63" s="7"/>
    </row>
    <row r="64" ht="13.5" customHeight="1">
      <c r="A64" s="134"/>
      <c r="B64" s="211">
        <v>62.0</v>
      </c>
      <c r="C64" s="212">
        <f t="shared" ref="C64:D64" si="66">D164</f>
        <v>17.52</v>
      </c>
      <c r="D64" s="213">
        <f t="shared" si="66"/>
        <v>12.492</v>
      </c>
      <c r="E64" s="214">
        <v>0.96</v>
      </c>
      <c r="F64" s="7"/>
      <c r="G64" s="7"/>
      <c r="H64" s="7"/>
      <c r="I64" s="7"/>
      <c r="J64" s="7"/>
      <c r="K64" s="7"/>
      <c r="L64" s="7"/>
      <c r="M64" s="7"/>
      <c r="N64" s="7"/>
      <c r="O64" s="7"/>
      <c r="P64" s="7"/>
      <c r="Q64" s="7"/>
      <c r="R64" s="7"/>
      <c r="S64" s="7"/>
      <c r="T64" s="7"/>
      <c r="U64" s="7"/>
      <c r="V64" s="7"/>
      <c r="W64" s="7"/>
      <c r="X64" s="7"/>
      <c r="Y64" s="7"/>
      <c r="Z64" s="7"/>
    </row>
    <row r="65" ht="13.5" customHeight="1">
      <c r="A65" s="134"/>
      <c r="B65" s="211">
        <v>63.0</v>
      </c>
      <c r="C65" s="212">
        <f t="shared" ref="C65:D65" si="67">D165</f>
        <v>17.58</v>
      </c>
      <c r="D65" s="213">
        <f t="shared" si="67"/>
        <v>12.936</v>
      </c>
      <c r="E65" s="214">
        <v>0.96</v>
      </c>
      <c r="F65" s="7"/>
      <c r="G65" s="228"/>
      <c r="H65" s="7"/>
      <c r="I65" s="7"/>
      <c r="J65" s="7"/>
      <c r="K65" s="7"/>
      <c r="L65" s="7"/>
      <c r="M65" s="7"/>
      <c r="N65" s="7"/>
      <c r="O65" s="7"/>
      <c r="P65" s="7"/>
      <c r="Q65" s="7"/>
      <c r="R65" s="7"/>
      <c r="S65" s="7"/>
      <c r="T65" s="7"/>
      <c r="U65" s="7"/>
      <c r="V65" s="7"/>
      <c r="W65" s="7"/>
      <c r="X65" s="7"/>
      <c r="Y65" s="7"/>
      <c r="Z65" s="7"/>
    </row>
    <row r="66" ht="13.5" customHeight="1">
      <c r="A66" s="134"/>
      <c r="B66" s="211">
        <v>64.0</v>
      </c>
      <c r="C66" s="212">
        <f t="shared" ref="C66:D66" si="68">D166</f>
        <v>17.64</v>
      </c>
      <c r="D66" s="213">
        <f t="shared" si="68"/>
        <v>13.308</v>
      </c>
      <c r="E66" s="214">
        <v>0.96</v>
      </c>
      <c r="F66" s="7"/>
      <c r="G66" s="7"/>
      <c r="H66" s="7"/>
      <c r="I66" s="7"/>
      <c r="J66" s="7"/>
      <c r="K66" s="7"/>
      <c r="L66" s="7"/>
      <c r="M66" s="7"/>
      <c r="N66" s="7"/>
      <c r="O66" s="7"/>
      <c r="P66" s="7"/>
      <c r="Q66" s="7"/>
      <c r="R66" s="7"/>
      <c r="S66" s="7"/>
      <c r="T66" s="7"/>
      <c r="U66" s="7"/>
      <c r="V66" s="7"/>
      <c r="W66" s="7"/>
      <c r="X66" s="7"/>
      <c r="Y66" s="7"/>
      <c r="Z66" s="7"/>
    </row>
    <row r="67" ht="13.5" customHeight="1">
      <c r="A67" s="134"/>
      <c r="B67" s="211">
        <v>65.0</v>
      </c>
      <c r="C67" s="212">
        <f t="shared" ref="C67:D67" si="69">D167</f>
        <v>17.82</v>
      </c>
      <c r="D67" s="213">
        <f t="shared" si="69"/>
        <v>13.728</v>
      </c>
      <c r="E67" s="214"/>
      <c r="F67" s="7"/>
      <c r="G67" s="7"/>
      <c r="H67" s="7"/>
      <c r="I67" s="7"/>
      <c r="J67" s="7"/>
      <c r="K67" s="7"/>
      <c r="L67" s="7"/>
      <c r="M67" s="7"/>
      <c r="N67" s="7"/>
      <c r="O67" s="7"/>
      <c r="P67" s="7"/>
      <c r="Q67" s="7"/>
      <c r="R67" s="7"/>
      <c r="S67" s="7"/>
      <c r="T67" s="7"/>
      <c r="U67" s="7"/>
      <c r="V67" s="7"/>
      <c r="W67" s="7"/>
      <c r="X67" s="7"/>
      <c r="Y67" s="7"/>
      <c r="Z67" s="7"/>
    </row>
    <row r="68" ht="13.5" customHeight="1">
      <c r="A68" s="134"/>
      <c r="B68" s="211">
        <v>66.0</v>
      </c>
      <c r="C68" s="212">
        <f t="shared" ref="C68:D68" si="70">D168</f>
        <v>18.648</v>
      </c>
      <c r="D68" s="213">
        <f t="shared" si="70"/>
        <v>14.616</v>
      </c>
      <c r="E68" s="214"/>
      <c r="F68" s="7"/>
      <c r="G68" s="7"/>
      <c r="H68" s="7"/>
      <c r="I68" s="7"/>
      <c r="J68" s="7"/>
      <c r="K68" s="7"/>
      <c r="L68" s="7"/>
      <c r="M68" s="7"/>
      <c r="N68" s="7"/>
      <c r="O68" s="7"/>
      <c r="P68" s="7"/>
      <c r="Q68" s="7"/>
      <c r="R68" s="7"/>
      <c r="S68" s="7"/>
      <c r="T68" s="7"/>
      <c r="U68" s="7"/>
      <c r="V68" s="7"/>
      <c r="W68" s="7"/>
      <c r="X68" s="7"/>
      <c r="Y68" s="7"/>
      <c r="Z68" s="7"/>
    </row>
    <row r="69" ht="13.5" customHeight="1">
      <c r="A69" s="134"/>
      <c r="B69" s="211">
        <v>67.0</v>
      </c>
      <c r="C69" s="212">
        <f t="shared" ref="C69:D69" si="71">D169</f>
        <v>19.596</v>
      </c>
      <c r="D69" s="213">
        <f t="shared" si="71"/>
        <v>15.624</v>
      </c>
      <c r="E69" s="214"/>
      <c r="F69" s="7"/>
      <c r="G69" s="7"/>
      <c r="H69" s="7"/>
      <c r="I69" s="7"/>
      <c r="J69" s="7"/>
      <c r="K69" s="7"/>
      <c r="L69" s="7"/>
      <c r="M69" s="7"/>
      <c r="N69" s="7"/>
      <c r="O69" s="7"/>
      <c r="P69" s="7"/>
      <c r="Q69" s="7"/>
      <c r="R69" s="7"/>
      <c r="S69" s="7"/>
      <c r="T69" s="7"/>
      <c r="U69" s="7"/>
      <c r="V69" s="7"/>
      <c r="W69" s="7"/>
      <c r="X69" s="7"/>
      <c r="Y69" s="7"/>
      <c r="Z69" s="7"/>
    </row>
    <row r="70" ht="13.5" customHeight="1">
      <c r="A70" s="134"/>
      <c r="B70" s="211">
        <v>68.0</v>
      </c>
      <c r="C70" s="212">
        <f t="shared" ref="C70:D70" si="72">D170</f>
        <v>20.664</v>
      </c>
      <c r="D70" s="213">
        <f t="shared" si="72"/>
        <v>16.728</v>
      </c>
      <c r="E70" s="214"/>
      <c r="F70" s="7"/>
      <c r="G70" s="238"/>
      <c r="H70" s="7"/>
      <c r="I70" s="225"/>
      <c r="J70" s="7"/>
      <c r="K70" s="7"/>
      <c r="L70" s="7"/>
      <c r="M70" s="7"/>
      <c r="N70" s="235"/>
      <c r="O70" s="231"/>
      <c r="P70" s="231"/>
      <c r="Q70" s="231"/>
      <c r="R70" s="231"/>
      <c r="S70" s="231"/>
      <c r="T70" s="231"/>
      <c r="U70" s="7"/>
      <c r="V70" s="7"/>
      <c r="W70" s="7"/>
      <c r="X70" s="7"/>
      <c r="Y70" s="7"/>
      <c r="Z70" s="7"/>
    </row>
    <row r="71" ht="13.5" customHeight="1">
      <c r="A71" s="134"/>
      <c r="B71" s="211">
        <v>69.0</v>
      </c>
      <c r="C71" s="212">
        <f t="shared" ref="C71:D71" si="73">D171</f>
        <v>21.852</v>
      </c>
      <c r="D71" s="213">
        <f t="shared" si="73"/>
        <v>17.88</v>
      </c>
      <c r="E71" s="214"/>
      <c r="F71" s="7"/>
      <c r="G71" s="238"/>
      <c r="H71" s="7"/>
      <c r="I71" s="225"/>
      <c r="J71" s="7"/>
      <c r="K71" s="7"/>
      <c r="L71" s="7"/>
      <c r="M71" s="7"/>
      <c r="N71" s="235"/>
      <c r="O71" s="231"/>
      <c r="P71" s="231"/>
      <c r="Q71" s="231"/>
      <c r="R71" s="231"/>
      <c r="S71" s="231"/>
      <c r="T71" s="231"/>
      <c r="U71" s="7"/>
      <c r="V71" s="7"/>
      <c r="W71" s="7"/>
      <c r="X71" s="7"/>
      <c r="Y71" s="7"/>
      <c r="Z71" s="7"/>
    </row>
    <row r="72" ht="13.5" customHeight="1">
      <c r="A72" s="134"/>
      <c r="B72" s="211">
        <v>70.0</v>
      </c>
      <c r="C72" s="212">
        <f t="shared" ref="C72:D72" si="74">D172</f>
        <v>23.1</v>
      </c>
      <c r="D72" s="213">
        <f t="shared" si="74"/>
        <v>19.116</v>
      </c>
      <c r="E72" s="214"/>
      <c r="F72" s="7"/>
      <c r="G72" s="238"/>
      <c r="H72" s="7"/>
      <c r="I72" s="225"/>
      <c r="J72" s="7"/>
      <c r="K72" s="7"/>
      <c r="L72" s="7"/>
      <c r="M72" s="7"/>
      <c r="N72" s="7"/>
      <c r="O72" s="7"/>
      <c r="P72" s="7"/>
      <c r="Q72" s="7"/>
      <c r="R72" s="7"/>
      <c r="S72" s="7"/>
      <c r="T72" s="7"/>
      <c r="U72" s="7"/>
      <c r="V72" s="7"/>
      <c r="W72" s="7"/>
      <c r="X72" s="7"/>
      <c r="Y72" s="7"/>
      <c r="Z72" s="7"/>
    </row>
    <row r="73" ht="13.5" customHeight="1">
      <c r="A73" s="134"/>
      <c r="B73" s="211">
        <v>71.0</v>
      </c>
      <c r="C73" s="212">
        <f t="shared" ref="C73:D73" si="75">D173</f>
        <v>24.48</v>
      </c>
      <c r="D73" s="213">
        <f t="shared" si="75"/>
        <v>20.436</v>
      </c>
      <c r="E73" s="214"/>
      <c r="F73" s="7"/>
      <c r="G73" s="238"/>
      <c r="H73" s="7"/>
      <c r="I73" s="225"/>
      <c r="J73" s="7"/>
      <c r="K73" s="7"/>
      <c r="L73" s="7"/>
      <c r="M73" s="7"/>
      <c r="N73" s="235"/>
      <c r="O73" s="7"/>
      <c r="P73" s="7"/>
      <c r="Q73" s="7"/>
      <c r="R73" s="7"/>
      <c r="S73" s="7"/>
      <c r="T73" s="7"/>
      <c r="U73" s="7"/>
      <c r="V73" s="7"/>
      <c r="W73" s="7"/>
      <c r="X73" s="7"/>
      <c r="Y73" s="7"/>
      <c r="Z73" s="7"/>
    </row>
    <row r="74" ht="13.5" customHeight="1">
      <c r="A74" s="134"/>
      <c r="B74" s="211">
        <v>72.0</v>
      </c>
      <c r="C74" s="212">
        <f t="shared" ref="C74:D74" si="76">D174</f>
        <v>25.968</v>
      </c>
      <c r="D74" s="213">
        <f t="shared" si="76"/>
        <v>21.864</v>
      </c>
      <c r="E74" s="214"/>
      <c r="F74" s="7"/>
      <c r="G74" s="238"/>
      <c r="H74" s="7"/>
      <c r="I74" s="225"/>
      <c r="J74" s="7"/>
      <c r="K74" s="7"/>
      <c r="L74" s="7"/>
      <c r="M74" s="7"/>
      <c r="N74" s="7"/>
      <c r="O74" s="7"/>
      <c r="P74" s="7"/>
      <c r="Q74" s="7"/>
      <c r="R74" s="7"/>
      <c r="S74" s="7"/>
      <c r="T74" s="7"/>
      <c r="U74" s="7"/>
      <c r="V74" s="7"/>
      <c r="W74" s="7"/>
      <c r="X74" s="7"/>
      <c r="Y74" s="7"/>
      <c r="Z74" s="7"/>
    </row>
    <row r="75" ht="13.5" customHeight="1">
      <c r="A75" s="134"/>
      <c r="B75" s="211">
        <v>73.0</v>
      </c>
      <c r="C75" s="212">
        <f t="shared" ref="C75:D75" si="77">D175</f>
        <v>27.636</v>
      </c>
      <c r="D75" s="213">
        <f t="shared" si="77"/>
        <v>23.448</v>
      </c>
      <c r="E75" s="214"/>
      <c r="F75" s="7"/>
      <c r="G75" s="238"/>
      <c r="H75" s="7"/>
      <c r="I75" s="225"/>
      <c r="J75" s="7"/>
      <c r="K75" s="7"/>
      <c r="L75" s="7"/>
      <c r="M75" s="7"/>
      <c r="N75" s="7"/>
      <c r="O75" s="7"/>
      <c r="P75" s="7"/>
      <c r="Q75" s="7"/>
      <c r="R75" s="7"/>
      <c r="S75" s="7"/>
      <c r="T75" s="7"/>
      <c r="U75" s="7"/>
      <c r="V75" s="7"/>
      <c r="W75" s="7"/>
      <c r="X75" s="7"/>
      <c r="Y75" s="7"/>
      <c r="Z75" s="7"/>
    </row>
    <row r="76" ht="13.5" customHeight="1">
      <c r="A76" s="134"/>
      <c r="B76" s="211">
        <v>74.0</v>
      </c>
      <c r="C76" s="212">
        <f t="shared" ref="C76:D76" si="78">D176</f>
        <v>29.472</v>
      </c>
      <c r="D76" s="213">
        <f t="shared" si="78"/>
        <v>25.2</v>
      </c>
      <c r="E76" s="214"/>
      <c r="F76" s="7"/>
      <c r="G76" s="7"/>
      <c r="H76" s="129"/>
      <c r="I76" s="66"/>
      <c r="J76" s="7"/>
      <c r="K76" s="7"/>
      <c r="L76" s="7"/>
      <c r="M76" s="7"/>
      <c r="N76" s="7"/>
      <c r="O76" s="217"/>
      <c r="P76" s="217"/>
      <c r="Q76" s="217"/>
      <c r="R76" s="217"/>
      <c r="S76" s="217"/>
      <c r="T76" s="217"/>
      <c r="U76" s="7"/>
      <c r="V76" s="7"/>
      <c r="W76" s="7"/>
      <c r="X76" s="7"/>
      <c r="Y76" s="7"/>
      <c r="Z76" s="7"/>
    </row>
    <row r="77" ht="13.5" customHeight="1">
      <c r="A77" s="134"/>
      <c r="B77" s="211">
        <v>75.0</v>
      </c>
      <c r="C77" s="212">
        <f t="shared" ref="C77:D77" si="79">D177</f>
        <v>31.512</v>
      </c>
      <c r="D77" s="213">
        <f t="shared" si="79"/>
        <v>27.108</v>
      </c>
      <c r="E77" s="214"/>
      <c r="F77" s="7"/>
      <c r="G77" s="7"/>
      <c r="H77" s="7"/>
      <c r="I77" s="7"/>
      <c r="J77" s="7"/>
      <c r="K77" s="7"/>
      <c r="L77" s="7"/>
      <c r="M77" s="7"/>
      <c r="N77" s="235"/>
      <c r="O77" s="231"/>
      <c r="P77" s="231"/>
      <c r="Q77" s="231"/>
      <c r="R77" s="231"/>
      <c r="S77" s="231"/>
      <c r="T77" s="231"/>
      <c r="U77" s="7"/>
      <c r="V77" s="7"/>
      <c r="W77" s="7"/>
      <c r="X77" s="7"/>
      <c r="Y77" s="7"/>
      <c r="Z77" s="7"/>
    </row>
    <row r="78" ht="13.5" customHeight="1">
      <c r="A78" s="134"/>
      <c r="B78" s="211">
        <v>76.0</v>
      </c>
      <c r="C78" s="212">
        <f t="shared" ref="C78:D78" si="80">D178</f>
        <v>36.84</v>
      </c>
      <c r="D78" s="213">
        <f t="shared" si="80"/>
        <v>29.22</v>
      </c>
      <c r="E78" s="214"/>
      <c r="F78" s="7"/>
      <c r="G78" s="7"/>
      <c r="H78" s="7"/>
      <c r="I78" s="7"/>
      <c r="J78" s="7"/>
      <c r="K78" s="7"/>
      <c r="L78" s="7"/>
      <c r="M78" s="7"/>
      <c r="N78" s="235"/>
      <c r="O78" s="231"/>
      <c r="P78" s="231"/>
      <c r="Q78" s="231"/>
      <c r="R78" s="231"/>
      <c r="S78" s="231"/>
      <c r="T78" s="231"/>
      <c r="U78" s="7"/>
      <c r="V78" s="7"/>
      <c r="W78" s="7"/>
      <c r="X78" s="7"/>
      <c r="Y78" s="7"/>
      <c r="Z78" s="7"/>
    </row>
    <row r="79" ht="13.5" customHeight="1">
      <c r="A79" s="134"/>
      <c r="B79" s="211">
        <v>77.0</v>
      </c>
      <c r="C79" s="212">
        <f t="shared" ref="C79:D79" si="81">D179</f>
        <v>42.576</v>
      </c>
      <c r="D79" s="213">
        <f t="shared" si="81"/>
        <v>31.572</v>
      </c>
      <c r="E79" s="214"/>
      <c r="F79" s="7"/>
      <c r="G79" s="7"/>
      <c r="H79" s="7"/>
      <c r="I79" s="7"/>
      <c r="J79" s="7"/>
      <c r="K79" s="7"/>
      <c r="L79" s="7"/>
      <c r="M79" s="7"/>
      <c r="N79" s="235"/>
      <c r="O79" s="231"/>
      <c r="P79" s="231"/>
      <c r="Q79" s="231"/>
      <c r="R79" s="231"/>
      <c r="S79" s="231"/>
      <c r="T79" s="231"/>
      <c r="U79" s="7"/>
      <c r="V79" s="7"/>
      <c r="W79" s="7"/>
      <c r="X79" s="7"/>
      <c r="Y79" s="7"/>
      <c r="Z79" s="7"/>
    </row>
    <row r="80" ht="13.5" customHeight="1">
      <c r="A80" s="134"/>
      <c r="B80" s="211">
        <v>78.0</v>
      </c>
      <c r="C80" s="212">
        <f t="shared" ref="C80:D80" si="82">D180</f>
        <v>48.672</v>
      </c>
      <c r="D80" s="213">
        <f t="shared" si="82"/>
        <v>36.168</v>
      </c>
      <c r="E80" s="214"/>
      <c r="F80" s="7"/>
      <c r="G80" s="7"/>
      <c r="H80" s="7"/>
      <c r="I80" s="7"/>
      <c r="J80" s="7"/>
      <c r="K80" s="7"/>
      <c r="L80" s="7"/>
      <c r="M80" s="7"/>
      <c r="N80" s="235"/>
      <c r="O80" s="231"/>
      <c r="P80" s="231"/>
      <c r="Q80" s="231"/>
      <c r="R80" s="231"/>
      <c r="S80" s="231"/>
      <c r="T80" s="231"/>
      <c r="U80" s="7"/>
      <c r="V80" s="7"/>
      <c r="W80" s="7"/>
      <c r="X80" s="7"/>
      <c r="Y80" s="7"/>
      <c r="Z80" s="7"/>
    </row>
    <row r="81" ht="13.5" customHeight="1">
      <c r="A81" s="134"/>
      <c r="B81" s="211">
        <v>79.0</v>
      </c>
      <c r="C81" s="212">
        <f t="shared" ref="C81:D81" si="83">D181</f>
        <v>57.432</v>
      </c>
      <c r="D81" s="213">
        <f t="shared" si="83"/>
        <v>44.784</v>
      </c>
      <c r="E81" s="214"/>
      <c r="F81" s="7"/>
      <c r="G81" s="7"/>
      <c r="H81" s="7"/>
      <c r="I81" s="7"/>
      <c r="J81" s="7"/>
      <c r="K81" s="7"/>
      <c r="L81" s="7"/>
      <c r="M81" s="7"/>
      <c r="N81" s="235"/>
      <c r="O81" s="231"/>
      <c r="P81" s="231"/>
      <c r="Q81" s="231"/>
      <c r="R81" s="231"/>
      <c r="S81" s="231"/>
      <c r="T81" s="231"/>
      <c r="U81" s="7"/>
      <c r="V81" s="7"/>
      <c r="W81" s="7"/>
      <c r="X81" s="7"/>
      <c r="Y81" s="7"/>
      <c r="Z81" s="7"/>
    </row>
    <row r="82" ht="13.5" customHeight="1">
      <c r="A82" s="134"/>
      <c r="B82" s="211">
        <v>80.0</v>
      </c>
      <c r="C82" s="212">
        <f t="shared" ref="C82:D82" si="84">D182</f>
        <v>70.26</v>
      </c>
      <c r="D82" s="213">
        <f t="shared" si="84"/>
        <v>55.5</v>
      </c>
      <c r="E82" s="214"/>
      <c r="F82" s="7"/>
      <c r="G82" s="7"/>
      <c r="H82" s="7"/>
      <c r="I82" s="7"/>
      <c r="J82" s="7"/>
      <c r="K82" s="7"/>
      <c r="L82" s="7"/>
      <c r="M82" s="7"/>
      <c r="N82" s="235"/>
      <c r="O82" s="231"/>
      <c r="P82" s="231"/>
      <c r="Q82" s="231"/>
      <c r="R82" s="231"/>
      <c r="S82" s="231"/>
      <c r="T82" s="231"/>
      <c r="U82" s="7"/>
      <c r="V82" s="7"/>
      <c r="W82" s="7"/>
      <c r="X82" s="7"/>
      <c r="Y82" s="7"/>
      <c r="Z82" s="7"/>
    </row>
    <row r="83" ht="13.5" customHeight="1">
      <c r="A83" s="134"/>
      <c r="B83" s="211">
        <v>81.0</v>
      </c>
      <c r="C83" s="212">
        <f t="shared" ref="C83:D83" si="85">D183</f>
        <v>86.352</v>
      </c>
      <c r="D83" s="213">
        <f t="shared" si="85"/>
        <v>65.748</v>
      </c>
      <c r="E83" s="214"/>
      <c r="F83" s="7"/>
      <c r="G83" s="7"/>
      <c r="H83" s="7"/>
      <c r="I83" s="7"/>
      <c r="J83" s="7"/>
      <c r="K83" s="7"/>
      <c r="L83" s="7"/>
      <c r="M83" s="7"/>
      <c r="N83" s="7"/>
      <c r="O83" s="7"/>
      <c r="P83" s="7"/>
      <c r="Q83" s="7"/>
      <c r="R83" s="7"/>
      <c r="S83" s="7"/>
      <c r="T83" s="7"/>
      <c r="U83" s="7"/>
      <c r="V83" s="7"/>
      <c r="W83" s="7"/>
      <c r="X83" s="7"/>
      <c r="Y83" s="7"/>
      <c r="Z83" s="7"/>
    </row>
    <row r="84" ht="13.5" customHeight="1">
      <c r="A84" s="134"/>
      <c r="B84" s="211">
        <v>82.0</v>
      </c>
      <c r="C84" s="212">
        <f t="shared" ref="C84:D84" si="86">D184</f>
        <v>104.328</v>
      </c>
      <c r="D84" s="213">
        <f t="shared" si="86"/>
        <v>76.044</v>
      </c>
      <c r="E84" s="214"/>
      <c r="F84" s="7"/>
      <c r="G84" s="7"/>
      <c r="H84" s="7"/>
      <c r="I84" s="7"/>
      <c r="J84" s="7"/>
      <c r="K84" s="7"/>
      <c r="L84" s="7"/>
      <c r="M84" s="7"/>
      <c r="N84" s="7"/>
      <c r="O84" s="7"/>
      <c r="P84" s="7"/>
      <c r="Q84" s="7"/>
      <c r="R84" s="7"/>
      <c r="S84" s="7"/>
      <c r="T84" s="7"/>
      <c r="U84" s="7"/>
      <c r="V84" s="7"/>
      <c r="W84" s="7"/>
      <c r="X84" s="7"/>
      <c r="Y84" s="7"/>
      <c r="Z84" s="7"/>
    </row>
    <row r="85" ht="13.5" customHeight="1">
      <c r="A85" s="134"/>
      <c r="B85" s="211">
        <v>83.0</v>
      </c>
      <c r="C85" s="212">
        <f t="shared" ref="C85:D85" si="87">D185</f>
        <v>126.48</v>
      </c>
      <c r="D85" s="213">
        <f t="shared" si="87"/>
        <v>84.852</v>
      </c>
      <c r="E85" s="214"/>
      <c r="F85" s="7"/>
      <c r="G85" s="7"/>
      <c r="H85" s="7"/>
      <c r="I85" s="7"/>
      <c r="J85" s="7"/>
      <c r="K85" s="7"/>
      <c r="L85" s="7"/>
      <c r="M85" s="7"/>
      <c r="N85" s="7"/>
      <c r="O85" s="7"/>
      <c r="P85" s="7"/>
      <c r="Q85" s="7"/>
      <c r="R85" s="7"/>
      <c r="S85" s="7"/>
      <c r="T85" s="7"/>
      <c r="U85" s="7"/>
      <c r="V85" s="7"/>
      <c r="W85" s="7"/>
      <c r="X85" s="7"/>
      <c r="Y85" s="7"/>
      <c r="Z85" s="7"/>
    </row>
    <row r="86" ht="13.5" customHeight="1">
      <c r="A86" s="134"/>
      <c r="B86" s="211">
        <v>84.0</v>
      </c>
      <c r="C86" s="212">
        <f t="shared" ref="C86:D86" si="88">D186</f>
        <v>144.504</v>
      </c>
      <c r="D86" s="213">
        <f t="shared" si="88"/>
        <v>92.784</v>
      </c>
      <c r="E86" s="214"/>
      <c r="F86" s="7"/>
      <c r="G86" s="7"/>
      <c r="H86" s="7"/>
      <c r="I86" s="7"/>
      <c r="J86" s="7"/>
      <c r="K86" s="7"/>
      <c r="L86" s="7"/>
      <c r="M86" s="7"/>
      <c r="N86" s="7"/>
      <c r="O86" s="7"/>
      <c r="P86" s="7"/>
      <c r="Q86" s="7"/>
      <c r="R86" s="7"/>
      <c r="S86" s="7"/>
      <c r="T86" s="7"/>
      <c r="U86" s="7"/>
      <c r="V86" s="7"/>
      <c r="W86" s="7"/>
      <c r="X86" s="7"/>
      <c r="Y86" s="7"/>
      <c r="Z86" s="7"/>
    </row>
    <row r="87" ht="13.5" customHeight="1">
      <c r="A87" s="134"/>
      <c r="B87" s="211">
        <v>85.0</v>
      </c>
      <c r="C87" s="212">
        <f t="shared" ref="C87:D87" si="89">D187</f>
        <v>158.232</v>
      </c>
      <c r="D87" s="213">
        <f t="shared" si="89"/>
        <v>101.532</v>
      </c>
      <c r="E87" s="214"/>
      <c r="F87" s="7"/>
      <c r="G87" s="7"/>
      <c r="H87" s="7"/>
      <c r="I87" s="7"/>
      <c r="J87" s="7"/>
      <c r="K87" s="7"/>
      <c r="L87" s="7"/>
      <c r="M87" s="7"/>
      <c r="N87" s="7"/>
      <c r="O87" s="7"/>
      <c r="P87" s="7"/>
      <c r="Q87" s="7"/>
      <c r="R87" s="7"/>
      <c r="S87" s="7"/>
      <c r="T87" s="7"/>
      <c r="U87" s="7"/>
      <c r="V87" s="7"/>
      <c r="W87" s="7"/>
      <c r="X87" s="7"/>
      <c r="Y87" s="7"/>
      <c r="Z87" s="7"/>
    </row>
    <row r="88" ht="13.5" customHeight="1">
      <c r="A88" s="134"/>
      <c r="B88" s="211">
        <v>86.0</v>
      </c>
      <c r="C88" s="212">
        <f t="shared" ref="C88:D88" si="90">D188</f>
        <v>172.932</v>
      </c>
      <c r="D88" s="213">
        <f t="shared" si="90"/>
        <v>109.728</v>
      </c>
      <c r="E88" s="214"/>
      <c r="F88" s="7"/>
      <c r="G88" s="7"/>
      <c r="H88" s="7"/>
      <c r="I88" s="7"/>
      <c r="J88" s="7"/>
      <c r="K88" s="7"/>
      <c r="L88" s="7"/>
      <c r="M88" s="7"/>
      <c r="N88" s="7"/>
      <c r="O88" s="7"/>
      <c r="P88" s="7"/>
      <c r="Q88" s="7"/>
      <c r="R88" s="7"/>
      <c r="S88" s="7"/>
      <c r="T88" s="7"/>
      <c r="U88" s="7"/>
      <c r="V88" s="7"/>
      <c r="W88" s="7"/>
      <c r="X88" s="7"/>
      <c r="Y88" s="7"/>
      <c r="Z88" s="7"/>
    </row>
    <row r="89" ht="13.5" customHeight="1">
      <c r="A89" s="134"/>
      <c r="B89" s="211">
        <v>87.0</v>
      </c>
      <c r="C89" s="212">
        <f t="shared" ref="C89:D89" si="91">D189</f>
        <v>188.796</v>
      </c>
      <c r="D89" s="213">
        <f t="shared" si="91"/>
        <v>121.248</v>
      </c>
      <c r="E89" s="214"/>
      <c r="F89" s="7"/>
      <c r="G89" s="7"/>
      <c r="H89" s="7"/>
      <c r="I89" s="7"/>
      <c r="J89" s="7"/>
      <c r="K89" s="7"/>
      <c r="L89" s="7"/>
      <c r="M89" s="7"/>
      <c r="N89" s="7"/>
      <c r="O89" s="239"/>
      <c r="P89" s="7"/>
      <c r="Q89" s="7"/>
      <c r="R89" s="7"/>
      <c r="S89" s="7"/>
      <c r="T89" s="7"/>
      <c r="U89" s="7"/>
      <c r="V89" s="7"/>
      <c r="W89" s="7"/>
      <c r="X89" s="7"/>
      <c r="Y89" s="7"/>
      <c r="Z89" s="7"/>
    </row>
    <row r="90" ht="13.5" customHeight="1">
      <c r="A90" s="134"/>
      <c r="B90" s="211">
        <v>88.0</v>
      </c>
      <c r="C90" s="212">
        <f t="shared" ref="C90:D90" si="92">D190</f>
        <v>205.608</v>
      </c>
      <c r="D90" s="213">
        <f t="shared" si="92"/>
        <v>133.344</v>
      </c>
      <c r="E90" s="214"/>
      <c r="F90" s="7"/>
      <c r="G90" s="7"/>
      <c r="H90" s="7"/>
      <c r="I90" s="7"/>
      <c r="J90" s="7"/>
      <c r="K90" s="7"/>
      <c r="L90" s="7"/>
      <c r="M90" s="7"/>
      <c r="N90" s="7"/>
      <c r="O90" s="239"/>
      <c r="P90" s="7"/>
      <c r="Q90" s="7"/>
      <c r="R90" s="7"/>
      <c r="S90" s="7"/>
      <c r="T90" s="7"/>
      <c r="U90" s="7"/>
      <c r="V90" s="7"/>
      <c r="W90" s="7"/>
      <c r="X90" s="7"/>
      <c r="Y90" s="7"/>
      <c r="Z90" s="7"/>
    </row>
    <row r="91" ht="13.5" customHeight="1">
      <c r="A91" s="134"/>
      <c r="B91" s="211">
        <v>89.0</v>
      </c>
      <c r="C91" s="212">
        <f t="shared" ref="C91:D91" si="93">D191</f>
        <v>223.2</v>
      </c>
      <c r="D91" s="213">
        <f t="shared" si="93"/>
        <v>146.172</v>
      </c>
      <c r="E91" s="214"/>
      <c r="F91" s="7"/>
      <c r="G91" s="7"/>
      <c r="H91" s="7"/>
      <c r="I91" s="7"/>
      <c r="J91" s="7"/>
      <c r="K91" s="7"/>
      <c r="L91" s="7"/>
      <c r="M91" s="7"/>
      <c r="N91" s="7"/>
      <c r="O91" s="240"/>
      <c r="P91" s="7"/>
      <c r="Q91" s="7"/>
      <c r="R91" s="7"/>
      <c r="S91" s="7"/>
      <c r="T91" s="7"/>
      <c r="U91" s="7"/>
      <c r="V91" s="7"/>
      <c r="W91" s="7"/>
      <c r="X91" s="7"/>
      <c r="Y91" s="7"/>
      <c r="Z91" s="7"/>
    </row>
    <row r="92" ht="13.5" customHeight="1">
      <c r="A92" s="134"/>
      <c r="B92" s="211">
        <v>90.0</v>
      </c>
      <c r="C92" s="212">
        <f t="shared" ref="C92:D92" si="94">D192</f>
        <v>241.392</v>
      </c>
      <c r="D92" s="213">
        <f t="shared" si="94"/>
        <v>158.124</v>
      </c>
      <c r="E92" s="214"/>
      <c r="F92" s="7"/>
      <c r="G92" s="7"/>
      <c r="H92" s="7"/>
      <c r="I92" s="7"/>
      <c r="J92" s="7"/>
      <c r="K92" s="7"/>
      <c r="L92" s="7"/>
      <c r="M92" s="7"/>
      <c r="N92" s="7"/>
      <c r="O92" s="240"/>
      <c r="P92" s="7"/>
      <c r="Q92" s="7"/>
      <c r="R92" s="7"/>
      <c r="S92" s="7"/>
      <c r="T92" s="7"/>
      <c r="U92" s="7"/>
      <c r="V92" s="7"/>
      <c r="W92" s="7"/>
      <c r="X92" s="7"/>
      <c r="Y92" s="7"/>
      <c r="Z92" s="7"/>
    </row>
    <row r="93" ht="13.5" customHeight="1">
      <c r="A93" s="134"/>
      <c r="B93" s="211">
        <v>91.0</v>
      </c>
      <c r="C93" s="212">
        <f t="shared" ref="C93:D93" si="95">D193</f>
        <v>258.42</v>
      </c>
      <c r="D93" s="213">
        <f t="shared" si="95"/>
        <v>165.492</v>
      </c>
      <c r="E93" s="214"/>
      <c r="F93" s="7"/>
      <c r="G93" s="7"/>
      <c r="H93" s="7"/>
      <c r="I93" s="7"/>
      <c r="J93" s="7"/>
      <c r="K93" s="7"/>
      <c r="L93" s="7"/>
      <c r="M93" s="7"/>
      <c r="N93" s="7"/>
      <c r="O93" s="240"/>
      <c r="P93" s="7"/>
      <c r="Q93" s="7"/>
      <c r="R93" s="7"/>
      <c r="S93" s="7"/>
      <c r="T93" s="7"/>
      <c r="U93" s="7"/>
      <c r="V93" s="7"/>
      <c r="W93" s="7"/>
      <c r="X93" s="7"/>
      <c r="Y93" s="7"/>
      <c r="Z93" s="7"/>
    </row>
    <row r="94" ht="13.5" customHeight="1">
      <c r="A94" s="134"/>
      <c r="B94" s="211">
        <v>92.0</v>
      </c>
      <c r="C94" s="212">
        <f t="shared" ref="C94:D94" si="96">D194</f>
        <v>276.072</v>
      </c>
      <c r="D94" s="213">
        <f t="shared" si="96"/>
        <v>177.96</v>
      </c>
      <c r="E94" s="214"/>
      <c r="F94" s="7"/>
      <c r="G94" s="7"/>
      <c r="H94" s="7"/>
      <c r="I94" s="7"/>
      <c r="J94" s="7"/>
      <c r="K94" s="7"/>
      <c r="L94" s="7"/>
      <c r="M94" s="7"/>
      <c r="N94" s="7"/>
      <c r="O94" s="240"/>
      <c r="P94" s="7"/>
      <c r="Q94" s="7"/>
      <c r="R94" s="7"/>
      <c r="S94" s="7"/>
      <c r="T94" s="7"/>
      <c r="U94" s="7"/>
      <c r="V94" s="7"/>
      <c r="W94" s="7"/>
      <c r="X94" s="7"/>
      <c r="Y94" s="7"/>
      <c r="Z94" s="7"/>
    </row>
    <row r="95" ht="13.5" customHeight="1">
      <c r="A95" s="134"/>
      <c r="B95" s="211">
        <v>93.0</v>
      </c>
      <c r="C95" s="212">
        <f t="shared" ref="C95:D95" si="97">D195</f>
        <v>294.576</v>
      </c>
      <c r="D95" s="213">
        <f t="shared" si="97"/>
        <v>195.108</v>
      </c>
      <c r="E95" s="214"/>
      <c r="F95" s="7"/>
      <c r="G95" s="7"/>
      <c r="H95" s="7"/>
      <c r="I95" s="7"/>
      <c r="J95" s="7"/>
      <c r="K95" s="7"/>
      <c r="L95" s="7"/>
      <c r="M95" s="7"/>
      <c r="N95" s="7"/>
      <c r="O95" s="241"/>
      <c r="P95" s="7"/>
      <c r="Q95" s="7"/>
      <c r="R95" s="7"/>
      <c r="S95" s="7"/>
      <c r="T95" s="7"/>
      <c r="U95" s="7"/>
      <c r="V95" s="7"/>
      <c r="W95" s="7"/>
      <c r="X95" s="7"/>
      <c r="Y95" s="7"/>
      <c r="Z95" s="7"/>
    </row>
    <row r="96" ht="13.5" customHeight="1">
      <c r="A96" s="134"/>
      <c r="B96" s="211">
        <v>94.0</v>
      </c>
      <c r="C96" s="212">
        <f t="shared" ref="C96:D96" si="98">D196</f>
        <v>314.004</v>
      </c>
      <c r="D96" s="213">
        <f t="shared" si="98"/>
        <v>216.096</v>
      </c>
      <c r="E96" s="214"/>
      <c r="F96" s="7"/>
      <c r="G96" s="7"/>
      <c r="H96" s="7"/>
      <c r="I96" s="7"/>
      <c r="J96" s="7"/>
      <c r="K96" s="7"/>
      <c r="L96" s="7"/>
      <c r="M96" s="7"/>
      <c r="N96" s="7"/>
      <c r="O96" s="64"/>
      <c r="P96" s="7"/>
      <c r="Q96" s="7"/>
      <c r="R96" s="7"/>
      <c r="S96" s="7"/>
      <c r="T96" s="7"/>
      <c r="U96" s="7"/>
      <c r="V96" s="7"/>
      <c r="W96" s="7"/>
      <c r="X96" s="7"/>
      <c r="Y96" s="7"/>
      <c r="Z96" s="7"/>
    </row>
    <row r="97" ht="13.5" customHeight="1">
      <c r="A97" s="134"/>
      <c r="B97" s="211">
        <v>95.0</v>
      </c>
      <c r="C97" s="212">
        <f t="shared" ref="C97:D97" si="99">D197</f>
        <v>334.392</v>
      </c>
      <c r="D97" s="213">
        <f t="shared" si="99"/>
        <v>241.56</v>
      </c>
      <c r="E97" s="214"/>
      <c r="F97" s="7"/>
      <c r="G97" s="7"/>
      <c r="H97" s="7"/>
      <c r="I97" s="7"/>
      <c r="J97" s="7"/>
      <c r="K97" s="7"/>
      <c r="L97" s="7"/>
      <c r="M97" s="7"/>
      <c r="N97" s="7"/>
      <c r="O97" s="7"/>
      <c r="P97" s="7"/>
      <c r="Q97" s="7"/>
      <c r="R97" s="7"/>
      <c r="S97" s="7"/>
      <c r="T97" s="7"/>
      <c r="U97" s="7"/>
      <c r="V97" s="7"/>
      <c r="W97" s="7"/>
      <c r="X97" s="7"/>
      <c r="Y97" s="7"/>
      <c r="Z97" s="7"/>
    </row>
    <row r="98" ht="13.5" customHeight="1">
      <c r="A98" s="134"/>
      <c r="B98" s="211">
        <v>96.0</v>
      </c>
      <c r="C98" s="212">
        <f t="shared" ref="C98:D98" si="100">D198</f>
        <v>353.172</v>
      </c>
      <c r="D98" s="213">
        <f t="shared" si="100"/>
        <v>263.076</v>
      </c>
      <c r="E98" s="214"/>
      <c r="F98" s="7"/>
      <c r="G98" s="7"/>
      <c r="H98" s="7"/>
      <c r="I98" s="7"/>
      <c r="J98" s="7"/>
      <c r="K98" s="7"/>
      <c r="L98" s="7"/>
      <c r="M98" s="7"/>
      <c r="N98" s="7"/>
      <c r="O98" s="129"/>
      <c r="P98" s="129"/>
      <c r="Q98" s="129"/>
      <c r="R98" s="129"/>
      <c r="S98" s="7"/>
      <c r="T98" s="7"/>
      <c r="U98" s="7"/>
      <c r="V98" s="7"/>
      <c r="W98" s="7"/>
      <c r="X98" s="7"/>
      <c r="Y98" s="7"/>
      <c r="Z98" s="7"/>
    </row>
    <row r="99" ht="13.5" customHeight="1">
      <c r="A99" s="134"/>
      <c r="B99" s="211">
        <v>97.0</v>
      </c>
      <c r="C99" s="212">
        <f t="shared" ref="C99:D99" si="101">D199</f>
        <v>373.116</v>
      </c>
      <c r="D99" s="213">
        <f t="shared" si="101"/>
        <v>280.272</v>
      </c>
      <c r="E99" s="214"/>
      <c r="F99" s="7"/>
      <c r="G99" s="7"/>
      <c r="H99" s="7"/>
      <c r="I99" s="7"/>
      <c r="J99" s="7"/>
      <c r="K99" s="7"/>
      <c r="L99" s="7"/>
      <c r="M99" s="7"/>
      <c r="N99" s="7"/>
      <c r="O99" s="134"/>
      <c r="P99" s="66"/>
      <c r="Q99" s="66"/>
      <c r="R99" s="66"/>
      <c r="S99" s="7"/>
      <c r="T99" s="7"/>
      <c r="U99" s="7"/>
      <c r="V99" s="7"/>
      <c r="W99" s="7"/>
      <c r="X99" s="7"/>
      <c r="Y99" s="7"/>
      <c r="Z99" s="7"/>
    </row>
    <row r="100" ht="13.5" customHeight="1">
      <c r="A100" s="134"/>
      <c r="B100" s="211">
        <v>98.0</v>
      </c>
      <c r="C100" s="212">
        <f t="shared" ref="C100:D100" si="102">D200</f>
        <v>394.332</v>
      </c>
      <c r="D100" s="213">
        <f t="shared" si="102"/>
        <v>299.664</v>
      </c>
      <c r="E100" s="214"/>
      <c r="F100" s="7"/>
      <c r="G100" s="7"/>
      <c r="H100" s="7"/>
      <c r="I100" s="7"/>
      <c r="J100" s="7"/>
      <c r="K100" s="7"/>
      <c r="L100" s="7"/>
      <c r="M100" s="7"/>
      <c r="N100" s="7"/>
      <c r="O100" s="134"/>
      <c r="P100" s="66"/>
      <c r="Q100" s="66"/>
      <c r="R100" s="66"/>
      <c r="S100" s="7"/>
      <c r="T100" s="7"/>
      <c r="U100" s="7"/>
      <c r="V100" s="7"/>
      <c r="W100" s="7"/>
      <c r="X100" s="7"/>
      <c r="Y100" s="7"/>
      <c r="Z100" s="7"/>
    </row>
    <row r="101" ht="13.5" customHeight="1">
      <c r="A101" s="134"/>
      <c r="B101" s="211">
        <v>99.0</v>
      </c>
      <c r="C101" s="212">
        <f t="shared" ref="C101:D101" si="103">D201</f>
        <v>416.904</v>
      </c>
      <c r="D101" s="213">
        <f t="shared" si="103"/>
        <v>317.016</v>
      </c>
      <c r="E101" s="214"/>
      <c r="F101" s="7"/>
      <c r="G101" s="7"/>
      <c r="H101" s="7"/>
      <c r="I101" s="7"/>
      <c r="J101" s="7"/>
      <c r="K101" s="7"/>
      <c r="L101" s="7"/>
      <c r="M101" s="7"/>
      <c r="N101" s="7"/>
      <c r="O101" s="134"/>
      <c r="P101" s="66"/>
      <c r="Q101" s="66"/>
      <c r="R101" s="66"/>
      <c r="S101" s="7"/>
      <c r="T101" s="7"/>
      <c r="U101" s="7"/>
      <c r="V101" s="7"/>
      <c r="W101" s="7"/>
      <c r="X101" s="7"/>
      <c r="Y101" s="7"/>
      <c r="Z101" s="7"/>
    </row>
    <row r="102" ht="13.5" customHeight="1">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row>
    <row r="103" ht="13.5" customHeight="1">
      <c r="A103" s="7">
        <v>1.0</v>
      </c>
      <c r="B103" s="242">
        <v>2.16</v>
      </c>
      <c r="C103" s="242">
        <v>1.67</v>
      </c>
      <c r="D103" s="7">
        <f t="shared" ref="D103:E103" si="104">B103*1.2</f>
        <v>2.592</v>
      </c>
      <c r="E103" s="7">
        <f t="shared" si="104"/>
        <v>2.004</v>
      </c>
      <c r="F103" s="7"/>
      <c r="G103" s="7"/>
      <c r="H103" s="7"/>
      <c r="I103" s="7"/>
      <c r="J103" s="7"/>
      <c r="K103" s="7"/>
      <c r="L103" s="7"/>
      <c r="M103" s="7"/>
      <c r="N103" s="7"/>
      <c r="O103" s="7"/>
      <c r="P103" s="7"/>
      <c r="Q103" s="7"/>
      <c r="R103" s="7"/>
      <c r="S103" s="7"/>
      <c r="T103" s="7"/>
      <c r="U103" s="7"/>
      <c r="V103" s="7"/>
      <c r="W103" s="7"/>
      <c r="X103" s="7"/>
      <c r="Y103" s="7"/>
      <c r="Z103" s="7"/>
    </row>
    <row r="104" ht="13.5" customHeight="1">
      <c r="A104" s="7">
        <v>2.0</v>
      </c>
      <c r="B104" s="242">
        <v>1.71</v>
      </c>
      <c r="C104" s="242">
        <v>1.26</v>
      </c>
      <c r="D104" s="7">
        <f t="shared" ref="D104:E104" si="105">B104*1.2</f>
        <v>2.052</v>
      </c>
      <c r="E104" s="7">
        <f t="shared" si="105"/>
        <v>1.512</v>
      </c>
      <c r="F104" s="7"/>
      <c r="G104" s="7"/>
      <c r="H104" s="7"/>
      <c r="I104" s="7"/>
      <c r="J104" s="7"/>
      <c r="K104" s="7"/>
      <c r="L104" s="7"/>
      <c r="M104" s="7"/>
      <c r="N104" s="7"/>
      <c r="O104" s="7"/>
      <c r="P104" s="7"/>
      <c r="Q104" s="7"/>
      <c r="R104" s="7"/>
      <c r="S104" s="7"/>
      <c r="T104" s="7"/>
      <c r="U104" s="7"/>
      <c r="V104" s="7"/>
      <c r="W104" s="7"/>
      <c r="X104" s="7"/>
      <c r="Y104" s="7"/>
      <c r="Z104" s="7"/>
    </row>
    <row r="105" ht="13.5" customHeight="1">
      <c r="A105" s="7">
        <v>3.0</v>
      </c>
      <c r="B105" s="242">
        <v>1.39</v>
      </c>
      <c r="C105" s="242">
        <v>0.98</v>
      </c>
      <c r="D105" s="7">
        <f t="shared" ref="D105:E105" si="106">B105*1.2</f>
        <v>1.668</v>
      </c>
      <c r="E105" s="7">
        <f t="shared" si="106"/>
        <v>1.176</v>
      </c>
      <c r="F105" s="7"/>
      <c r="G105" s="7"/>
      <c r="H105" s="7"/>
      <c r="I105" s="7"/>
      <c r="J105" s="7"/>
      <c r="K105" s="7"/>
      <c r="L105" s="7"/>
      <c r="M105" s="7"/>
      <c r="N105" s="7"/>
      <c r="O105" s="7"/>
      <c r="P105" s="7"/>
      <c r="Q105" s="7"/>
      <c r="R105" s="7"/>
      <c r="S105" s="7"/>
      <c r="T105" s="7"/>
      <c r="U105" s="7"/>
      <c r="V105" s="7"/>
      <c r="W105" s="7"/>
      <c r="X105" s="7"/>
      <c r="Y105" s="7"/>
      <c r="Z105" s="7"/>
    </row>
    <row r="106" ht="13.5" customHeight="1">
      <c r="A106" s="7">
        <v>4.0</v>
      </c>
      <c r="B106" s="242">
        <v>1.18</v>
      </c>
      <c r="C106" s="242">
        <v>0.86</v>
      </c>
      <c r="D106" s="7">
        <f t="shared" ref="D106:E106" si="107">B106*1.2</f>
        <v>1.416</v>
      </c>
      <c r="E106" s="7">
        <f t="shared" si="107"/>
        <v>1.032</v>
      </c>
      <c r="F106" s="7"/>
      <c r="G106" s="7"/>
      <c r="H106" s="7"/>
      <c r="I106" s="7"/>
      <c r="J106" s="7"/>
      <c r="K106" s="7"/>
      <c r="L106" s="7"/>
      <c r="M106" s="7"/>
      <c r="N106" s="7"/>
      <c r="O106" s="7"/>
      <c r="P106" s="7"/>
      <c r="Q106" s="7"/>
      <c r="R106" s="7"/>
      <c r="S106" s="7"/>
      <c r="T106" s="7"/>
      <c r="U106" s="7"/>
      <c r="V106" s="7"/>
      <c r="W106" s="7"/>
      <c r="X106" s="7"/>
      <c r="Y106" s="7"/>
      <c r="Z106" s="7"/>
    </row>
    <row r="107" ht="13.5" customHeight="1">
      <c r="A107" s="7">
        <v>5.0</v>
      </c>
      <c r="B107" s="242">
        <v>1.06</v>
      </c>
      <c r="C107" s="242">
        <v>0.82</v>
      </c>
      <c r="D107" s="7">
        <f t="shared" ref="D107:E107" si="108">B107*1.2</f>
        <v>1.272</v>
      </c>
      <c r="E107" s="7">
        <f t="shared" si="108"/>
        <v>0.984</v>
      </c>
      <c r="F107" s="7"/>
      <c r="G107" s="7"/>
      <c r="H107" s="7"/>
      <c r="I107" s="7"/>
      <c r="J107" s="7"/>
      <c r="K107" s="7"/>
      <c r="L107" s="7"/>
      <c r="M107" s="7"/>
      <c r="N107" s="7"/>
      <c r="O107" s="7"/>
      <c r="P107" s="7"/>
      <c r="Q107" s="7"/>
      <c r="R107" s="7"/>
      <c r="S107" s="7"/>
      <c r="T107" s="7"/>
      <c r="U107" s="7"/>
      <c r="V107" s="7"/>
      <c r="W107" s="7"/>
      <c r="X107" s="7"/>
      <c r="Y107" s="7"/>
      <c r="Z107" s="7"/>
    </row>
    <row r="108" ht="13.5" customHeight="1">
      <c r="A108" s="7">
        <v>6.0</v>
      </c>
      <c r="B108" s="242">
        <v>0.94</v>
      </c>
      <c r="C108" s="242">
        <v>0.9</v>
      </c>
      <c r="D108" s="7">
        <f t="shared" ref="D108:E108" si="109">B108*1.2</f>
        <v>1.128</v>
      </c>
      <c r="E108" s="7">
        <f t="shared" si="109"/>
        <v>1.08</v>
      </c>
      <c r="F108" s="7"/>
      <c r="G108" s="7"/>
      <c r="H108" s="7"/>
      <c r="I108" s="7"/>
      <c r="J108" s="7"/>
      <c r="K108" s="7"/>
      <c r="L108" s="7"/>
      <c r="M108" s="7"/>
      <c r="N108" s="7"/>
      <c r="O108" s="7"/>
      <c r="P108" s="7"/>
      <c r="Q108" s="7"/>
      <c r="R108" s="7"/>
      <c r="S108" s="7"/>
      <c r="T108" s="7"/>
      <c r="U108" s="7"/>
      <c r="V108" s="7"/>
      <c r="W108" s="7"/>
      <c r="X108" s="7"/>
      <c r="Y108" s="7"/>
      <c r="Z108" s="7"/>
    </row>
    <row r="109" ht="13.5" customHeight="1">
      <c r="A109" s="7">
        <v>7.0</v>
      </c>
      <c r="B109" s="242">
        <v>0.86</v>
      </c>
      <c r="C109" s="242">
        <v>0.94</v>
      </c>
      <c r="D109" s="7">
        <f t="shared" ref="D109:E109" si="110">B109*1.2</f>
        <v>1.032</v>
      </c>
      <c r="E109" s="7">
        <f t="shared" si="110"/>
        <v>1.128</v>
      </c>
      <c r="F109" s="7"/>
      <c r="G109" s="7"/>
      <c r="H109" s="7"/>
      <c r="I109" s="7"/>
      <c r="J109" s="7"/>
      <c r="K109" s="7"/>
      <c r="L109" s="7"/>
      <c r="M109" s="7"/>
      <c r="N109" s="7"/>
      <c r="O109" s="7"/>
      <c r="P109" s="7"/>
      <c r="Q109" s="7"/>
      <c r="R109" s="7"/>
      <c r="S109" s="7"/>
      <c r="T109" s="7"/>
      <c r="U109" s="7"/>
      <c r="V109" s="7"/>
      <c r="W109" s="7"/>
      <c r="X109" s="7"/>
      <c r="Y109" s="7"/>
      <c r="Z109" s="7"/>
    </row>
    <row r="110" ht="13.5" customHeight="1">
      <c r="A110" s="7">
        <v>8.0</v>
      </c>
      <c r="B110" s="242">
        <v>0.82</v>
      </c>
      <c r="C110" s="242">
        <v>0.9</v>
      </c>
      <c r="D110" s="7">
        <f t="shared" ref="D110:E110" si="111">B110*1.2</f>
        <v>0.984</v>
      </c>
      <c r="E110" s="7">
        <f t="shared" si="111"/>
        <v>1.08</v>
      </c>
      <c r="F110" s="7"/>
      <c r="G110" s="7"/>
      <c r="H110" s="7"/>
      <c r="I110" s="7"/>
      <c r="J110" s="7"/>
      <c r="K110" s="7"/>
      <c r="L110" s="7"/>
      <c r="M110" s="7"/>
      <c r="N110" s="7"/>
      <c r="O110" s="7"/>
      <c r="P110" s="7"/>
      <c r="Q110" s="7"/>
      <c r="R110" s="7"/>
      <c r="S110" s="7"/>
      <c r="T110" s="7"/>
      <c r="U110" s="7"/>
      <c r="V110" s="7"/>
      <c r="W110" s="7"/>
      <c r="X110" s="7"/>
      <c r="Y110" s="7"/>
      <c r="Z110" s="7"/>
    </row>
    <row r="111" ht="13.5" customHeight="1">
      <c r="A111" s="7">
        <v>9.0</v>
      </c>
      <c r="B111" s="242">
        <v>0.82</v>
      </c>
      <c r="C111" s="242">
        <v>0.86</v>
      </c>
      <c r="D111" s="7">
        <f t="shared" ref="D111:E111" si="112">B111*1.2</f>
        <v>0.984</v>
      </c>
      <c r="E111" s="7">
        <f t="shared" si="112"/>
        <v>1.032</v>
      </c>
      <c r="F111" s="7"/>
      <c r="G111" s="7"/>
      <c r="H111" s="7"/>
      <c r="I111" s="7"/>
      <c r="J111" s="7"/>
      <c r="K111" s="7"/>
      <c r="L111" s="7"/>
      <c r="M111" s="7"/>
      <c r="N111" s="7"/>
      <c r="O111" s="7"/>
      <c r="P111" s="7"/>
      <c r="Q111" s="7"/>
      <c r="R111" s="7"/>
      <c r="S111" s="7"/>
      <c r="T111" s="7"/>
      <c r="U111" s="7"/>
      <c r="V111" s="7"/>
      <c r="W111" s="7"/>
      <c r="X111" s="7"/>
      <c r="Y111" s="7"/>
      <c r="Z111" s="7"/>
    </row>
    <row r="112" ht="13.5" customHeight="1">
      <c r="A112" s="7">
        <v>10.0</v>
      </c>
      <c r="B112" s="242">
        <v>0.78</v>
      </c>
      <c r="C112" s="242">
        <v>0.78</v>
      </c>
      <c r="D112" s="7">
        <f t="shared" ref="D112:E112" si="113">B112*1.2</f>
        <v>0.936</v>
      </c>
      <c r="E112" s="7">
        <f t="shared" si="113"/>
        <v>0.936</v>
      </c>
      <c r="F112" s="7"/>
      <c r="G112" s="7"/>
      <c r="H112" s="7"/>
      <c r="I112" s="7"/>
      <c r="J112" s="7"/>
      <c r="K112" s="7"/>
      <c r="L112" s="7"/>
      <c r="M112" s="7"/>
      <c r="N112" s="7"/>
      <c r="O112" s="7"/>
      <c r="P112" s="7"/>
      <c r="Q112" s="7"/>
      <c r="R112" s="7"/>
      <c r="S112" s="7"/>
      <c r="T112" s="7"/>
      <c r="U112" s="7"/>
      <c r="V112" s="7"/>
      <c r="W112" s="7"/>
      <c r="X112" s="7"/>
      <c r="Y112" s="7"/>
      <c r="Z112" s="7"/>
    </row>
    <row r="113" ht="13.5" customHeight="1">
      <c r="A113" s="7">
        <v>11.0</v>
      </c>
      <c r="B113" s="242">
        <v>0.78</v>
      </c>
      <c r="C113" s="242">
        <v>0.73</v>
      </c>
      <c r="D113" s="7">
        <f t="shared" ref="D113:E113" si="114">B113*1.2</f>
        <v>0.936</v>
      </c>
      <c r="E113" s="7">
        <f t="shared" si="114"/>
        <v>0.876</v>
      </c>
      <c r="F113" s="7"/>
      <c r="G113" s="7"/>
      <c r="H113" s="7"/>
      <c r="I113" s="7"/>
      <c r="J113" s="7"/>
      <c r="K113" s="7"/>
      <c r="L113" s="7"/>
      <c r="M113" s="7"/>
      <c r="N113" s="7"/>
      <c r="O113" s="7"/>
      <c r="P113" s="7"/>
      <c r="Q113" s="7"/>
      <c r="R113" s="7"/>
      <c r="S113" s="7"/>
      <c r="T113" s="7"/>
      <c r="U113" s="7"/>
      <c r="V113" s="7"/>
      <c r="W113" s="7"/>
      <c r="X113" s="7"/>
      <c r="Y113" s="7"/>
      <c r="Z113" s="7"/>
    </row>
    <row r="114" ht="13.5" customHeight="1">
      <c r="A114" s="7">
        <v>12.0</v>
      </c>
      <c r="B114" s="242">
        <v>0.78</v>
      </c>
      <c r="C114" s="242">
        <v>0.82</v>
      </c>
      <c r="D114" s="7">
        <f t="shared" ref="D114:E114" si="115">B114*1.2</f>
        <v>0.936</v>
      </c>
      <c r="E114" s="7">
        <f t="shared" si="115"/>
        <v>0.984</v>
      </c>
      <c r="F114" s="7"/>
      <c r="G114" s="7"/>
      <c r="H114" s="7"/>
      <c r="I114" s="7"/>
      <c r="J114" s="7"/>
      <c r="K114" s="7"/>
      <c r="L114" s="7"/>
      <c r="M114" s="7"/>
      <c r="N114" s="7"/>
      <c r="O114" s="7"/>
      <c r="P114" s="7"/>
      <c r="Q114" s="7"/>
      <c r="R114" s="7"/>
      <c r="S114" s="7"/>
      <c r="T114" s="7"/>
      <c r="U114" s="7"/>
      <c r="V114" s="7"/>
      <c r="W114" s="7"/>
      <c r="X114" s="7"/>
      <c r="Y114" s="7"/>
      <c r="Z114" s="7"/>
    </row>
    <row r="115" ht="13.5" customHeight="1">
      <c r="A115" s="7">
        <v>13.0</v>
      </c>
      <c r="B115" s="242">
        <v>0.82</v>
      </c>
      <c r="C115" s="242">
        <v>0.9</v>
      </c>
      <c r="D115" s="7">
        <f t="shared" ref="D115:E115" si="116">B115*1.2</f>
        <v>0.984</v>
      </c>
      <c r="E115" s="7">
        <f t="shared" si="116"/>
        <v>1.08</v>
      </c>
      <c r="F115" s="7"/>
      <c r="G115" s="7"/>
      <c r="H115" s="7"/>
      <c r="I115" s="7"/>
      <c r="J115" s="7"/>
      <c r="K115" s="7"/>
      <c r="L115" s="7"/>
      <c r="M115" s="7"/>
      <c r="N115" s="7"/>
      <c r="O115" s="7"/>
      <c r="P115" s="7"/>
      <c r="Q115" s="7"/>
      <c r="R115" s="7"/>
      <c r="S115" s="7"/>
      <c r="T115" s="7"/>
      <c r="U115" s="7"/>
      <c r="V115" s="7"/>
      <c r="W115" s="7"/>
      <c r="X115" s="7"/>
      <c r="Y115" s="7"/>
      <c r="Z115" s="7"/>
    </row>
    <row r="116" ht="13.5" customHeight="1">
      <c r="A116" s="7">
        <v>14.0</v>
      </c>
      <c r="B116" s="242">
        <v>0.94</v>
      </c>
      <c r="C116" s="242">
        <v>0.94</v>
      </c>
      <c r="D116" s="7">
        <f t="shared" ref="D116:E116" si="117">B116*1.2</f>
        <v>1.128</v>
      </c>
      <c r="E116" s="7">
        <f t="shared" si="117"/>
        <v>1.128</v>
      </c>
      <c r="F116" s="7"/>
      <c r="G116" s="7"/>
      <c r="H116" s="7"/>
      <c r="I116" s="7"/>
      <c r="J116" s="7"/>
      <c r="K116" s="7"/>
      <c r="L116" s="7"/>
      <c r="M116" s="7"/>
      <c r="N116" s="7"/>
      <c r="O116" s="7"/>
      <c r="P116" s="7"/>
      <c r="Q116" s="7"/>
      <c r="R116" s="7"/>
      <c r="S116" s="7"/>
      <c r="T116" s="7"/>
      <c r="U116" s="7"/>
      <c r="V116" s="7"/>
      <c r="W116" s="7"/>
      <c r="X116" s="7"/>
      <c r="Y116" s="7"/>
      <c r="Z116" s="7"/>
    </row>
    <row r="117" ht="13.5" customHeight="1">
      <c r="A117" s="7">
        <v>15.0</v>
      </c>
      <c r="B117" s="242">
        <v>1.1</v>
      </c>
      <c r="C117" s="242">
        <v>0.94</v>
      </c>
      <c r="D117" s="7">
        <f t="shared" ref="D117:E117" si="118">B117*1.2</f>
        <v>1.32</v>
      </c>
      <c r="E117" s="7">
        <f t="shared" si="118"/>
        <v>1.128</v>
      </c>
      <c r="F117" s="7"/>
      <c r="G117" s="7"/>
      <c r="H117" s="7"/>
      <c r="I117" s="7"/>
      <c r="J117" s="7"/>
      <c r="K117" s="7"/>
      <c r="L117" s="7"/>
      <c r="M117" s="7"/>
      <c r="N117" s="7"/>
      <c r="O117" s="7"/>
      <c r="P117" s="7"/>
      <c r="Q117" s="7"/>
      <c r="R117" s="7"/>
      <c r="S117" s="7"/>
      <c r="T117" s="7"/>
      <c r="U117" s="7"/>
      <c r="V117" s="7"/>
      <c r="W117" s="7"/>
      <c r="X117" s="7"/>
      <c r="Y117" s="7"/>
      <c r="Z117" s="7"/>
    </row>
    <row r="118" ht="13.5" customHeight="1">
      <c r="A118" s="7">
        <v>16.0</v>
      </c>
      <c r="B118" s="242">
        <v>1.26</v>
      </c>
      <c r="C118" s="242">
        <v>0.98</v>
      </c>
      <c r="D118" s="7">
        <f t="shared" ref="D118:E118" si="119">B118*1.2</f>
        <v>1.512</v>
      </c>
      <c r="E118" s="7">
        <f t="shared" si="119"/>
        <v>1.176</v>
      </c>
      <c r="F118" s="7"/>
      <c r="G118" s="7"/>
      <c r="H118" s="7"/>
      <c r="I118" s="7"/>
      <c r="J118" s="7"/>
      <c r="K118" s="7"/>
      <c r="L118" s="7"/>
      <c r="M118" s="7"/>
      <c r="N118" s="7"/>
      <c r="O118" s="7"/>
      <c r="P118" s="7"/>
      <c r="Q118" s="7"/>
      <c r="R118" s="7"/>
      <c r="S118" s="7"/>
      <c r="T118" s="7"/>
      <c r="U118" s="7"/>
      <c r="V118" s="7"/>
      <c r="W118" s="7"/>
      <c r="X118" s="7"/>
      <c r="Y118" s="7"/>
      <c r="Z118" s="7"/>
    </row>
    <row r="119" ht="13.5" customHeight="1">
      <c r="A119" s="7">
        <v>17.0</v>
      </c>
      <c r="B119" s="242">
        <v>1.51</v>
      </c>
      <c r="C119" s="242">
        <v>0.98</v>
      </c>
      <c r="D119" s="7">
        <f t="shared" ref="D119:E119" si="120">B119*1.2</f>
        <v>1.812</v>
      </c>
      <c r="E119" s="7">
        <f t="shared" si="120"/>
        <v>1.176</v>
      </c>
      <c r="F119" s="7"/>
      <c r="G119" s="7"/>
      <c r="H119" s="7"/>
      <c r="I119" s="7"/>
      <c r="J119" s="7"/>
      <c r="K119" s="7"/>
      <c r="L119" s="7"/>
      <c r="M119" s="7"/>
      <c r="N119" s="7"/>
      <c r="O119" s="7"/>
      <c r="P119" s="7"/>
      <c r="Q119" s="7"/>
      <c r="R119" s="7"/>
      <c r="S119" s="7"/>
      <c r="T119" s="7"/>
      <c r="U119" s="7"/>
      <c r="V119" s="7"/>
      <c r="W119" s="7"/>
      <c r="X119" s="7"/>
      <c r="Y119" s="7"/>
      <c r="Z119" s="7"/>
    </row>
    <row r="120" ht="13.5" customHeight="1">
      <c r="A120" s="7">
        <v>18.0</v>
      </c>
      <c r="B120" s="242">
        <v>1.75</v>
      </c>
      <c r="C120" s="242">
        <v>1.02</v>
      </c>
      <c r="D120" s="7">
        <f t="shared" ref="D120:E120" si="121">B120*1.2</f>
        <v>2.1</v>
      </c>
      <c r="E120" s="7">
        <f t="shared" si="121"/>
        <v>1.224</v>
      </c>
      <c r="F120" s="7"/>
      <c r="G120" s="7"/>
      <c r="H120" s="7"/>
      <c r="I120" s="7"/>
      <c r="J120" s="7"/>
      <c r="K120" s="7"/>
      <c r="L120" s="7"/>
      <c r="M120" s="7"/>
      <c r="N120" s="7"/>
      <c r="O120" s="7"/>
      <c r="P120" s="7"/>
      <c r="Q120" s="7"/>
      <c r="R120" s="7"/>
      <c r="S120" s="7"/>
      <c r="T120" s="7"/>
      <c r="U120" s="7"/>
      <c r="V120" s="7"/>
      <c r="W120" s="7"/>
      <c r="X120" s="7"/>
      <c r="Y120" s="7"/>
      <c r="Z120" s="7"/>
    </row>
    <row r="121" ht="13.5" customHeight="1">
      <c r="A121" s="7">
        <v>19.0</v>
      </c>
      <c r="B121" s="242">
        <v>1.92</v>
      </c>
      <c r="C121" s="242">
        <v>1.06</v>
      </c>
      <c r="D121" s="7">
        <f t="shared" ref="D121:E121" si="122">B121*1.2</f>
        <v>2.304</v>
      </c>
      <c r="E121" s="7">
        <f t="shared" si="122"/>
        <v>1.272</v>
      </c>
      <c r="F121" s="7"/>
      <c r="G121" s="7"/>
      <c r="H121" s="7"/>
      <c r="I121" s="7"/>
      <c r="J121" s="7"/>
      <c r="K121" s="7"/>
      <c r="L121" s="7"/>
      <c r="M121" s="7"/>
      <c r="N121" s="7"/>
      <c r="O121" s="7"/>
      <c r="P121" s="7"/>
      <c r="Q121" s="7"/>
      <c r="R121" s="7"/>
      <c r="S121" s="7"/>
      <c r="T121" s="7"/>
      <c r="U121" s="7"/>
      <c r="V121" s="7"/>
      <c r="W121" s="7"/>
      <c r="X121" s="7"/>
      <c r="Y121" s="7"/>
      <c r="Z121" s="7"/>
    </row>
    <row r="122" ht="13.5" customHeight="1">
      <c r="A122" s="7">
        <v>20.0</v>
      </c>
      <c r="B122" s="242">
        <v>2.0</v>
      </c>
      <c r="C122" s="242">
        <v>1.1</v>
      </c>
      <c r="D122" s="7">
        <f t="shared" ref="D122:E122" si="123">B122*1.2</f>
        <v>2.4</v>
      </c>
      <c r="E122" s="7">
        <f t="shared" si="123"/>
        <v>1.32</v>
      </c>
      <c r="F122" s="7"/>
      <c r="G122" s="7"/>
      <c r="H122" s="7"/>
      <c r="I122" s="7"/>
      <c r="J122" s="7"/>
      <c r="K122" s="7"/>
      <c r="L122" s="7"/>
      <c r="M122" s="7"/>
      <c r="N122" s="7"/>
      <c r="O122" s="7"/>
      <c r="P122" s="7"/>
      <c r="Q122" s="7"/>
      <c r="R122" s="7"/>
      <c r="S122" s="7"/>
      <c r="T122" s="7"/>
      <c r="U122" s="7"/>
      <c r="V122" s="7"/>
      <c r="W122" s="7"/>
      <c r="X122" s="7"/>
      <c r="Y122" s="7"/>
      <c r="Z122" s="7"/>
    </row>
    <row r="123" ht="13.5" customHeight="1">
      <c r="A123" s="7">
        <v>21.0</v>
      </c>
      <c r="B123" s="242">
        <v>2.0</v>
      </c>
      <c r="C123" s="242">
        <v>1.14</v>
      </c>
      <c r="D123" s="7">
        <f t="shared" ref="D123:E123" si="124">B123*1.2</f>
        <v>2.4</v>
      </c>
      <c r="E123" s="7">
        <f t="shared" si="124"/>
        <v>1.368</v>
      </c>
      <c r="F123" s="7"/>
      <c r="G123" s="7"/>
      <c r="H123" s="7"/>
      <c r="I123" s="7"/>
      <c r="J123" s="7"/>
      <c r="K123" s="7"/>
      <c r="L123" s="7"/>
      <c r="M123" s="7"/>
      <c r="N123" s="7"/>
      <c r="O123" s="7"/>
      <c r="P123" s="7"/>
      <c r="Q123" s="7"/>
      <c r="R123" s="7"/>
      <c r="S123" s="7"/>
      <c r="T123" s="7"/>
      <c r="U123" s="7"/>
      <c r="V123" s="7"/>
      <c r="W123" s="7"/>
      <c r="X123" s="7"/>
      <c r="Y123" s="7"/>
      <c r="Z123" s="7"/>
    </row>
    <row r="124" ht="13.5" customHeight="1">
      <c r="A124" s="7">
        <v>22.0</v>
      </c>
      <c r="B124" s="242">
        <v>2.0</v>
      </c>
      <c r="C124" s="242">
        <v>1.22</v>
      </c>
      <c r="D124" s="7">
        <f t="shared" ref="D124:E124" si="125">B124*1.2</f>
        <v>2.4</v>
      </c>
      <c r="E124" s="7">
        <f t="shared" si="125"/>
        <v>1.464</v>
      </c>
      <c r="F124" s="7"/>
      <c r="G124" s="7"/>
      <c r="H124" s="7"/>
      <c r="I124" s="7"/>
      <c r="J124" s="7"/>
      <c r="K124" s="7"/>
      <c r="L124" s="7"/>
      <c r="M124" s="7"/>
      <c r="N124" s="7"/>
      <c r="O124" s="7"/>
      <c r="P124" s="7"/>
      <c r="Q124" s="7"/>
      <c r="R124" s="7"/>
      <c r="S124" s="7"/>
      <c r="T124" s="7"/>
      <c r="U124" s="7"/>
      <c r="V124" s="7"/>
      <c r="W124" s="7"/>
      <c r="X124" s="7"/>
      <c r="Y124" s="7"/>
      <c r="Z124" s="7"/>
    </row>
    <row r="125" ht="13.5" customHeight="1">
      <c r="A125" s="7">
        <v>23.0</v>
      </c>
      <c r="B125" s="242">
        <v>2.0</v>
      </c>
      <c r="C125" s="242">
        <v>1.31</v>
      </c>
      <c r="D125" s="7">
        <f t="shared" ref="D125:E125" si="126">B125*1.2</f>
        <v>2.4</v>
      </c>
      <c r="E125" s="7">
        <f t="shared" si="126"/>
        <v>1.572</v>
      </c>
      <c r="F125" s="7"/>
      <c r="G125" s="7"/>
      <c r="H125" s="7"/>
      <c r="I125" s="7"/>
      <c r="J125" s="7"/>
      <c r="K125" s="7"/>
      <c r="L125" s="7"/>
      <c r="M125" s="7"/>
      <c r="N125" s="7"/>
      <c r="O125" s="7"/>
      <c r="P125" s="7"/>
      <c r="Q125" s="7"/>
      <c r="R125" s="7"/>
      <c r="S125" s="7"/>
      <c r="T125" s="7"/>
      <c r="U125" s="7"/>
      <c r="V125" s="7"/>
      <c r="W125" s="7"/>
      <c r="X125" s="7"/>
      <c r="Y125" s="7"/>
      <c r="Z125" s="7"/>
    </row>
    <row r="126" ht="13.5" customHeight="1">
      <c r="A126" s="7">
        <v>24.0</v>
      </c>
      <c r="B126" s="242">
        <v>2.04</v>
      </c>
      <c r="C126" s="242">
        <v>1.39</v>
      </c>
      <c r="D126" s="7">
        <f t="shared" ref="D126:E126" si="127">B126*1.2</f>
        <v>2.448</v>
      </c>
      <c r="E126" s="7">
        <f t="shared" si="127"/>
        <v>1.668</v>
      </c>
      <c r="F126" s="7"/>
      <c r="G126" s="7"/>
      <c r="H126" s="7"/>
      <c r="I126" s="7"/>
      <c r="J126" s="7"/>
      <c r="K126" s="7"/>
      <c r="L126" s="7"/>
      <c r="M126" s="7"/>
      <c r="N126" s="7"/>
      <c r="O126" s="7"/>
      <c r="P126" s="7"/>
      <c r="Q126" s="7"/>
      <c r="R126" s="7"/>
      <c r="S126" s="7"/>
      <c r="T126" s="7"/>
      <c r="U126" s="7"/>
      <c r="V126" s="7"/>
      <c r="W126" s="7"/>
      <c r="X126" s="7"/>
      <c r="Y126" s="7"/>
      <c r="Z126" s="7"/>
    </row>
    <row r="127" ht="13.5" customHeight="1">
      <c r="A127" s="7">
        <v>25.0</v>
      </c>
      <c r="B127" s="242">
        <v>2.12</v>
      </c>
      <c r="C127" s="242">
        <v>1.55</v>
      </c>
      <c r="D127" s="7">
        <f t="shared" ref="D127:E127" si="128">B127*1.2</f>
        <v>2.544</v>
      </c>
      <c r="E127" s="7">
        <f t="shared" si="128"/>
        <v>1.86</v>
      </c>
      <c r="F127" s="7"/>
      <c r="G127" s="7"/>
      <c r="H127" s="7"/>
      <c r="I127" s="7"/>
      <c r="J127" s="7"/>
      <c r="K127" s="7"/>
      <c r="L127" s="7"/>
      <c r="M127" s="7"/>
      <c r="N127" s="7"/>
      <c r="O127" s="7"/>
      <c r="P127" s="7"/>
      <c r="Q127" s="7"/>
      <c r="R127" s="7"/>
      <c r="S127" s="7"/>
      <c r="T127" s="7"/>
      <c r="U127" s="7"/>
      <c r="V127" s="7"/>
      <c r="W127" s="7"/>
      <c r="X127" s="7"/>
      <c r="Y127" s="7"/>
      <c r="Z127" s="7"/>
    </row>
    <row r="128" ht="13.5" customHeight="1">
      <c r="A128" s="7">
        <v>26.0</v>
      </c>
      <c r="B128" s="242">
        <v>2.25</v>
      </c>
      <c r="C128" s="242">
        <v>1.72</v>
      </c>
      <c r="D128" s="7">
        <f t="shared" ref="D128:E128" si="129">B128*1.2</f>
        <v>2.7</v>
      </c>
      <c r="E128" s="7">
        <f t="shared" si="129"/>
        <v>2.064</v>
      </c>
      <c r="F128" s="7"/>
      <c r="G128" s="7"/>
      <c r="H128" s="7"/>
      <c r="I128" s="7"/>
      <c r="J128" s="7"/>
      <c r="K128" s="7"/>
      <c r="L128" s="7"/>
      <c r="M128" s="7"/>
      <c r="N128" s="7"/>
      <c r="O128" s="7"/>
      <c r="P128" s="7"/>
      <c r="Q128" s="7"/>
      <c r="R128" s="7"/>
      <c r="S128" s="7"/>
      <c r="T128" s="7"/>
      <c r="U128" s="7"/>
      <c r="V128" s="7"/>
      <c r="W128" s="7"/>
      <c r="X128" s="7"/>
      <c r="Y128" s="7"/>
      <c r="Z128" s="7"/>
    </row>
    <row r="129" ht="13.5" customHeight="1">
      <c r="A129" s="7">
        <v>27.0</v>
      </c>
      <c r="B129" s="242">
        <v>2.34</v>
      </c>
      <c r="C129" s="242">
        <v>1.8</v>
      </c>
      <c r="D129" s="7">
        <f t="shared" ref="D129:E129" si="130">B129*1.2</f>
        <v>2.808</v>
      </c>
      <c r="E129" s="7">
        <f t="shared" si="130"/>
        <v>2.16</v>
      </c>
      <c r="F129" s="7"/>
      <c r="G129" s="7"/>
      <c r="H129" s="7"/>
      <c r="I129" s="7"/>
      <c r="J129" s="7"/>
      <c r="K129" s="7"/>
      <c r="L129" s="7"/>
      <c r="M129" s="7"/>
      <c r="N129" s="7"/>
      <c r="O129" s="7"/>
      <c r="P129" s="7"/>
      <c r="Q129" s="7"/>
      <c r="R129" s="7"/>
      <c r="S129" s="7"/>
      <c r="T129" s="7"/>
      <c r="U129" s="7"/>
      <c r="V129" s="7"/>
      <c r="W129" s="7"/>
      <c r="X129" s="7"/>
      <c r="Y129" s="7"/>
      <c r="Z129" s="7"/>
    </row>
    <row r="130" ht="13.5" customHeight="1">
      <c r="A130" s="7">
        <v>28.0</v>
      </c>
      <c r="B130" s="242">
        <v>2.4</v>
      </c>
      <c r="C130" s="242">
        <v>1.81</v>
      </c>
      <c r="D130" s="7">
        <f t="shared" ref="D130:E130" si="131">B130*1.2</f>
        <v>2.88</v>
      </c>
      <c r="E130" s="7">
        <f t="shared" si="131"/>
        <v>2.172</v>
      </c>
      <c r="F130" s="7"/>
      <c r="G130" s="7"/>
      <c r="H130" s="7"/>
      <c r="I130" s="7"/>
      <c r="J130" s="7"/>
      <c r="K130" s="7"/>
      <c r="L130" s="7"/>
      <c r="M130" s="7"/>
      <c r="N130" s="7"/>
      <c r="O130" s="7"/>
      <c r="P130" s="7"/>
      <c r="Q130" s="7"/>
      <c r="R130" s="7"/>
      <c r="S130" s="7"/>
      <c r="T130" s="7"/>
      <c r="U130" s="7"/>
      <c r="V130" s="7"/>
      <c r="W130" s="7"/>
      <c r="X130" s="7"/>
      <c r="Y130" s="7"/>
      <c r="Z130" s="7"/>
    </row>
    <row r="131" ht="13.5" customHeight="1">
      <c r="A131" s="7">
        <v>29.0</v>
      </c>
      <c r="B131" s="242">
        <v>2.42</v>
      </c>
      <c r="C131" s="242">
        <v>1.81</v>
      </c>
      <c r="D131" s="7">
        <f t="shared" ref="D131:E131" si="132">B131*1.2</f>
        <v>2.904</v>
      </c>
      <c r="E131" s="7">
        <f t="shared" si="132"/>
        <v>2.172</v>
      </c>
      <c r="F131" s="7"/>
      <c r="G131" s="7"/>
      <c r="H131" s="7"/>
      <c r="I131" s="7"/>
      <c r="J131" s="7"/>
      <c r="K131" s="7"/>
      <c r="L131" s="7"/>
      <c r="M131" s="7"/>
      <c r="N131" s="7"/>
      <c r="O131" s="7"/>
      <c r="P131" s="7"/>
      <c r="Q131" s="7"/>
      <c r="R131" s="7"/>
      <c r="S131" s="7"/>
      <c r="T131" s="7"/>
      <c r="U131" s="7"/>
      <c r="V131" s="7"/>
      <c r="W131" s="7"/>
      <c r="X131" s="7"/>
      <c r="Y131" s="7"/>
      <c r="Z131" s="7"/>
    </row>
    <row r="132" ht="13.5" customHeight="1">
      <c r="A132" s="7">
        <v>30.0</v>
      </c>
      <c r="B132" s="242">
        <v>2.42</v>
      </c>
      <c r="C132" s="242">
        <v>1.81</v>
      </c>
      <c r="D132" s="7">
        <f t="shared" ref="D132:E132" si="133">B132*1.2</f>
        <v>2.904</v>
      </c>
      <c r="E132" s="7">
        <f t="shared" si="133"/>
        <v>2.172</v>
      </c>
      <c r="F132" s="7"/>
      <c r="G132" s="7"/>
      <c r="H132" s="7"/>
      <c r="I132" s="7"/>
      <c r="J132" s="7"/>
      <c r="K132" s="7"/>
      <c r="L132" s="7"/>
      <c r="M132" s="7"/>
      <c r="N132" s="7"/>
      <c r="O132" s="7"/>
      <c r="P132" s="7"/>
      <c r="Q132" s="7"/>
      <c r="R132" s="7"/>
      <c r="S132" s="7"/>
      <c r="T132" s="7"/>
      <c r="U132" s="7"/>
      <c r="V132" s="7"/>
      <c r="W132" s="7"/>
      <c r="X132" s="7"/>
      <c r="Y132" s="7"/>
      <c r="Z132" s="7"/>
    </row>
    <row r="133" ht="13.5" customHeight="1">
      <c r="A133" s="7">
        <v>31.0</v>
      </c>
      <c r="B133" s="242">
        <v>2.43</v>
      </c>
      <c r="C133" s="242">
        <v>1.81</v>
      </c>
      <c r="D133" s="7">
        <f t="shared" ref="D133:E133" si="134">B133*1.2</f>
        <v>2.916</v>
      </c>
      <c r="E133" s="7">
        <f t="shared" si="134"/>
        <v>2.172</v>
      </c>
      <c r="F133" s="7"/>
      <c r="G133" s="7"/>
      <c r="H133" s="7"/>
      <c r="I133" s="7"/>
      <c r="J133" s="7"/>
      <c r="K133" s="7"/>
      <c r="L133" s="7"/>
      <c r="M133" s="7"/>
      <c r="N133" s="7"/>
      <c r="O133" s="7"/>
      <c r="P133" s="7"/>
      <c r="Q133" s="7"/>
      <c r="R133" s="7"/>
      <c r="S133" s="7"/>
      <c r="T133" s="7"/>
      <c r="U133" s="7"/>
      <c r="V133" s="7"/>
      <c r="W133" s="7"/>
      <c r="X133" s="7"/>
      <c r="Y133" s="7"/>
      <c r="Z133" s="7"/>
    </row>
    <row r="134" ht="13.5" customHeight="1">
      <c r="A134" s="7">
        <v>32.0</v>
      </c>
      <c r="B134" s="242">
        <v>2.43</v>
      </c>
      <c r="C134" s="242">
        <v>1.81</v>
      </c>
      <c r="D134" s="7">
        <f t="shared" ref="D134:E134" si="135">B134*1.2</f>
        <v>2.916</v>
      </c>
      <c r="E134" s="7">
        <f t="shared" si="135"/>
        <v>2.172</v>
      </c>
      <c r="F134" s="7"/>
      <c r="G134" s="7"/>
      <c r="H134" s="7"/>
      <c r="I134" s="7"/>
      <c r="J134" s="7"/>
      <c r="K134" s="7"/>
      <c r="L134" s="7"/>
      <c r="M134" s="7"/>
      <c r="N134" s="7"/>
      <c r="O134" s="7"/>
      <c r="P134" s="7"/>
      <c r="Q134" s="7"/>
      <c r="R134" s="7"/>
      <c r="S134" s="7"/>
      <c r="T134" s="7"/>
      <c r="U134" s="7"/>
      <c r="V134" s="7"/>
      <c r="W134" s="7"/>
      <c r="X134" s="7"/>
      <c r="Y134" s="7"/>
      <c r="Z134" s="7"/>
    </row>
    <row r="135" ht="13.5" customHeight="1">
      <c r="A135" s="7">
        <v>33.0</v>
      </c>
      <c r="B135" s="242">
        <v>2.47</v>
      </c>
      <c r="C135" s="242">
        <v>1.83</v>
      </c>
      <c r="D135" s="7">
        <f t="shared" ref="D135:E135" si="136">B135*1.2</f>
        <v>2.964</v>
      </c>
      <c r="E135" s="7">
        <f t="shared" si="136"/>
        <v>2.196</v>
      </c>
      <c r="F135" s="7"/>
      <c r="G135" s="7"/>
      <c r="H135" s="7"/>
      <c r="I135" s="7"/>
      <c r="J135" s="7"/>
      <c r="K135" s="7"/>
      <c r="L135" s="7"/>
      <c r="M135" s="7"/>
      <c r="N135" s="7"/>
      <c r="O135" s="7"/>
      <c r="P135" s="7"/>
      <c r="Q135" s="7"/>
      <c r="R135" s="7"/>
      <c r="S135" s="7"/>
      <c r="T135" s="7"/>
      <c r="U135" s="7"/>
      <c r="V135" s="7"/>
      <c r="W135" s="7"/>
      <c r="X135" s="7"/>
      <c r="Y135" s="7"/>
      <c r="Z135" s="7"/>
    </row>
    <row r="136" ht="13.5" customHeight="1">
      <c r="A136" s="7">
        <v>34.0</v>
      </c>
      <c r="B136" s="242">
        <v>2.63</v>
      </c>
      <c r="C136" s="242">
        <v>1.96</v>
      </c>
      <c r="D136" s="7">
        <f t="shared" ref="D136:E136" si="137">B136*1.2</f>
        <v>3.156</v>
      </c>
      <c r="E136" s="7">
        <f t="shared" si="137"/>
        <v>2.352</v>
      </c>
      <c r="F136" s="7"/>
      <c r="G136" s="7"/>
      <c r="H136" s="7"/>
      <c r="I136" s="7"/>
      <c r="J136" s="7"/>
      <c r="K136" s="7"/>
      <c r="L136" s="7"/>
      <c r="M136" s="7"/>
      <c r="N136" s="7"/>
      <c r="O136" s="7"/>
      <c r="P136" s="7"/>
      <c r="Q136" s="7"/>
      <c r="R136" s="7"/>
      <c r="S136" s="7"/>
      <c r="T136" s="7"/>
      <c r="U136" s="7"/>
      <c r="V136" s="7"/>
      <c r="W136" s="7"/>
      <c r="X136" s="7"/>
      <c r="Y136" s="7"/>
      <c r="Z136" s="7"/>
    </row>
    <row r="137" ht="13.5" customHeight="1">
      <c r="A137" s="7">
        <v>35.0</v>
      </c>
      <c r="B137" s="242">
        <v>2.84</v>
      </c>
      <c r="C137" s="242">
        <v>2.12</v>
      </c>
      <c r="D137" s="7">
        <f t="shared" ref="D137:E137" si="138">B137*1.2</f>
        <v>3.408</v>
      </c>
      <c r="E137" s="7">
        <f t="shared" si="138"/>
        <v>2.544</v>
      </c>
      <c r="F137" s="7"/>
      <c r="G137" s="7"/>
      <c r="H137" s="7"/>
      <c r="I137" s="7"/>
      <c r="J137" s="7"/>
      <c r="K137" s="7"/>
      <c r="L137" s="7"/>
      <c r="M137" s="7"/>
      <c r="N137" s="7"/>
      <c r="O137" s="7"/>
      <c r="P137" s="7"/>
      <c r="Q137" s="7"/>
      <c r="R137" s="7"/>
      <c r="S137" s="7"/>
      <c r="T137" s="7"/>
      <c r="U137" s="7"/>
      <c r="V137" s="7"/>
      <c r="W137" s="7"/>
      <c r="X137" s="7"/>
      <c r="Y137" s="7"/>
      <c r="Z137" s="7"/>
    </row>
    <row r="138" ht="13.5" customHeight="1">
      <c r="A138" s="7">
        <v>36.0</v>
      </c>
      <c r="B138" s="242">
        <v>3.08</v>
      </c>
      <c r="C138" s="242">
        <v>2.28</v>
      </c>
      <c r="D138" s="7">
        <f t="shared" ref="D138:E138" si="139">B138*1.2</f>
        <v>3.696</v>
      </c>
      <c r="E138" s="7">
        <f t="shared" si="139"/>
        <v>2.736</v>
      </c>
      <c r="F138" s="7"/>
      <c r="G138" s="7"/>
      <c r="H138" s="7"/>
      <c r="I138" s="7"/>
      <c r="J138" s="7"/>
      <c r="K138" s="7"/>
      <c r="L138" s="7"/>
      <c r="M138" s="7"/>
      <c r="N138" s="7"/>
      <c r="O138" s="7"/>
      <c r="P138" s="7"/>
      <c r="Q138" s="7"/>
      <c r="R138" s="7"/>
      <c r="S138" s="7"/>
      <c r="T138" s="7"/>
      <c r="U138" s="7"/>
      <c r="V138" s="7"/>
      <c r="W138" s="7"/>
      <c r="X138" s="7"/>
      <c r="Y138" s="7"/>
      <c r="Z138" s="7"/>
    </row>
    <row r="139" ht="13.5" customHeight="1">
      <c r="A139" s="7">
        <v>37.0</v>
      </c>
      <c r="B139" s="242">
        <v>3.37</v>
      </c>
      <c r="C139" s="242">
        <v>2.47</v>
      </c>
      <c r="D139" s="7">
        <f t="shared" ref="D139:E139" si="140">B139*1.2</f>
        <v>4.044</v>
      </c>
      <c r="E139" s="7">
        <f t="shared" si="140"/>
        <v>2.964</v>
      </c>
      <c r="F139" s="7"/>
      <c r="G139" s="7"/>
      <c r="H139" s="7"/>
      <c r="I139" s="7"/>
      <c r="J139" s="7"/>
      <c r="K139" s="7"/>
      <c r="L139" s="7"/>
      <c r="M139" s="7"/>
      <c r="N139" s="7"/>
      <c r="O139" s="7"/>
      <c r="P139" s="7"/>
      <c r="Q139" s="7"/>
      <c r="R139" s="7"/>
      <c r="S139" s="7"/>
      <c r="T139" s="7"/>
      <c r="U139" s="7"/>
      <c r="V139" s="7"/>
      <c r="W139" s="7"/>
      <c r="X139" s="7"/>
      <c r="Y139" s="7"/>
      <c r="Z139" s="7"/>
    </row>
    <row r="140" ht="13.5" customHeight="1">
      <c r="A140" s="7">
        <v>38.0</v>
      </c>
      <c r="B140" s="242">
        <v>3.62</v>
      </c>
      <c r="C140" s="242">
        <v>2.61</v>
      </c>
      <c r="D140" s="7">
        <f t="shared" ref="D140:E140" si="141">B140*1.2</f>
        <v>4.344</v>
      </c>
      <c r="E140" s="7">
        <f t="shared" si="141"/>
        <v>3.132</v>
      </c>
      <c r="F140" s="7"/>
      <c r="G140" s="7"/>
      <c r="H140" s="7"/>
      <c r="I140" s="7"/>
      <c r="J140" s="7"/>
      <c r="K140" s="7"/>
      <c r="L140" s="7"/>
      <c r="M140" s="7"/>
      <c r="N140" s="7"/>
      <c r="O140" s="7"/>
      <c r="P140" s="7"/>
      <c r="Q140" s="7"/>
      <c r="R140" s="7"/>
      <c r="S140" s="7"/>
      <c r="T140" s="7"/>
      <c r="U140" s="7"/>
      <c r="V140" s="7"/>
      <c r="W140" s="7"/>
      <c r="X140" s="7"/>
      <c r="Y140" s="7"/>
      <c r="Z140" s="7"/>
    </row>
    <row r="141" ht="13.5" customHeight="1">
      <c r="A141" s="7">
        <v>39.0</v>
      </c>
      <c r="B141" s="242">
        <v>3.96</v>
      </c>
      <c r="C141" s="242">
        <v>2.76</v>
      </c>
      <c r="D141" s="7">
        <f t="shared" ref="D141:E141" si="142">B141*1.2</f>
        <v>4.752</v>
      </c>
      <c r="E141" s="7">
        <f t="shared" si="142"/>
        <v>3.312</v>
      </c>
      <c r="F141" s="7"/>
      <c r="G141" s="7"/>
      <c r="H141" s="7"/>
      <c r="I141" s="7"/>
      <c r="J141" s="7"/>
      <c r="K141" s="7"/>
      <c r="L141" s="7"/>
      <c r="M141" s="7"/>
      <c r="N141" s="7"/>
      <c r="O141" s="7"/>
      <c r="P141" s="7"/>
      <c r="Q141" s="7"/>
      <c r="R141" s="7"/>
      <c r="S141" s="7"/>
      <c r="T141" s="7"/>
      <c r="U141" s="7"/>
      <c r="V141" s="7"/>
      <c r="W141" s="7"/>
      <c r="X141" s="7"/>
      <c r="Y141" s="7"/>
      <c r="Z141" s="7"/>
    </row>
    <row r="142" ht="13.5" customHeight="1">
      <c r="A142" s="7">
        <v>40.0</v>
      </c>
      <c r="B142" s="242">
        <v>4.33</v>
      </c>
      <c r="C142" s="242">
        <v>2.96</v>
      </c>
      <c r="D142" s="7">
        <f t="shared" ref="D142:E142" si="143">B142*1.2</f>
        <v>5.196</v>
      </c>
      <c r="E142" s="7">
        <f t="shared" si="143"/>
        <v>3.552</v>
      </c>
      <c r="F142" s="7"/>
      <c r="G142" s="7"/>
      <c r="H142" s="7"/>
      <c r="I142" s="7"/>
      <c r="J142" s="7"/>
      <c r="K142" s="7"/>
      <c r="L142" s="7"/>
      <c r="M142" s="7"/>
      <c r="N142" s="7"/>
      <c r="O142" s="7"/>
      <c r="P142" s="7"/>
      <c r="Q142" s="7"/>
      <c r="R142" s="7"/>
      <c r="S142" s="7"/>
      <c r="T142" s="7"/>
      <c r="U142" s="7"/>
      <c r="V142" s="7"/>
      <c r="W142" s="7"/>
      <c r="X142" s="7"/>
      <c r="Y142" s="7"/>
      <c r="Z142" s="7"/>
    </row>
    <row r="143" ht="13.5" customHeight="1">
      <c r="A143" s="7">
        <v>41.0</v>
      </c>
      <c r="B143" s="242">
        <v>4.71</v>
      </c>
      <c r="C143" s="242">
        <v>3.12</v>
      </c>
      <c r="D143" s="7">
        <f t="shared" ref="D143:E143" si="144">B143*1.2</f>
        <v>5.652</v>
      </c>
      <c r="E143" s="7">
        <f t="shared" si="144"/>
        <v>3.744</v>
      </c>
      <c r="F143" s="7"/>
      <c r="G143" s="7"/>
      <c r="H143" s="7"/>
      <c r="I143" s="7"/>
      <c r="J143" s="7"/>
      <c r="K143" s="7"/>
      <c r="L143" s="7"/>
      <c r="M143" s="7"/>
      <c r="N143" s="7"/>
      <c r="O143" s="7"/>
      <c r="P143" s="7"/>
      <c r="Q143" s="7"/>
      <c r="R143" s="7"/>
      <c r="S143" s="7"/>
      <c r="T143" s="7"/>
      <c r="U143" s="7"/>
      <c r="V143" s="7"/>
      <c r="W143" s="7"/>
      <c r="X143" s="7"/>
      <c r="Y143" s="7"/>
      <c r="Z143" s="7"/>
    </row>
    <row r="144" ht="13.5" customHeight="1">
      <c r="A144" s="7">
        <v>42.0</v>
      </c>
      <c r="B144" s="242">
        <v>5.16</v>
      </c>
      <c r="C144" s="242">
        <v>3.37</v>
      </c>
      <c r="D144" s="7">
        <f t="shared" ref="D144:E144" si="145">B144*1.2</f>
        <v>6.192</v>
      </c>
      <c r="E144" s="7">
        <f t="shared" si="145"/>
        <v>4.044</v>
      </c>
      <c r="F144" s="7"/>
      <c r="G144" s="7"/>
      <c r="H144" s="7"/>
      <c r="I144" s="7"/>
      <c r="J144" s="7"/>
      <c r="K144" s="7"/>
      <c r="L144" s="7"/>
      <c r="M144" s="7"/>
      <c r="N144" s="7"/>
      <c r="O144" s="7"/>
      <c r="P144" s="7"/>
      <c r="Q144" s="7"/>
      <c r="R144" s="7"/>
      <c r="S144" s="7"/>
      <c r="T144" s="7"/>
      <c r="U144" s="7"/>
      <c r="V144" s="7"/>
      <c r="W144" s="7"/>
      <c r="X144" s="7"/>
      <c r="Y144" s="7"/>
      <c r="Z144" s="7"/>
    </row>
    <row r="145" ht="13.5" customHeight="1">
      <c r="A145" s="7">
        <v>43.0</v>
      </c>
      <c r="B145" s="242">
        <v>5.64</v>
      </c>
      <c r="C145" s="242">
        <v>3.6</v>
      </c>
      <c r="D145" s="7">
        <f t="shared" ref="D145:E145" si="146">B145*1.2</f>
        <v>6.768</v>
      </c>
      <c r="E145" s="7">
        <f t="shared" si="146"/>
        <v>4.32</v>
      </c>
      <c r="F145" s="7"/>
      <c r="G145" s="7"/>
      <c r="H145" s="7"/>
      <c r="I145" s="7"/>
      <c r="J145" s="7"/>
      <c r="K145" s="7"/>
      <c r="L145" s="7"/>
      <c r="M145" s="7"/>
      <c r="N145" s="7"/>
      <c r="O145" s="7"/>
      <c r="P145" s="7"/>
      <c r="Q145" s="7"/>
      <c r="R145" s="7"/>
      <c r="S145" s="7"/>
      <c r="T145" s="7"/>
      <c r="U145" s="7"/>
      <c r="V145" s="7"/>
      <c r="W145" s="7"/>
      <c r="X145" s="7"/>
      <c r="Y145" s="7"/>
      <c r="Z145" s="7"/>
    </row>
    <row r="146" ht="13.5" customHeight="1">
      <c r="A146" s="7">
        <v>44.0</v>
      </c>
      <c r="B146" s="242">
        <v>6.18</v>
      </c>
      <c r="C146" s="242">
        <v>3.87</v>
      </c>
      <c r="D146" s="7">
        <f t="shared" ref="D146:E146" si="147">B146*1.2</f>
        <v>7.416</v>
      </c>
      <c r="E146" s="7">
        <f t="shared" si="147"/>
        <v>4.644</v>
      </c>
      <c r="F146" s="7"/>
      <c r="G146" s="7"/>
      <c r="H146" s="7"/>
      <c r="I146" s="7"/>
      <c r="J146" s="7"/>
      <c r="K146" s="7"/>
      <c r="L146" s="7"/>
      <c r="M146" s="7"/>
      <c r="N146" s="7"/>
      <c r="O146" s="7"/>
      <c r="P146" s="7"/>
      <c r="Q146" s="7"/>
      <c r="R146" s="7"/>
      <c r="S146" s="7"/>
      <c r="T146" s="7"/>
      <c r="U146" s="7"/>
      <c r="V146" s="7"/>
      <c r="W146" s="7"/>
      <c r="X146" s="7"/>
      <c r="Y146" s="7"/>
      <c r="Z146" s="7"/>
    </row>
    <row r="147" ht="13.5" customHeight="1">
      <c r="A147" s="7">
        <v>45.0</v>
      </c>
      <c r="B147" s="242">
        <v>6.76</v>
      </c>
      <c r="C147" s="242">
        <v>4.19</v>
      </c>
      <c r="D147" s="7">
        <f t="shared" ref="D147:E147" si="148">B147*1.2</f>
        <v>8.112</v>
      </c>
      <c r="E147" s="7">
        <f t="shared" si="148"/>
        <v>5.028</v>
      </c>
      <c r="F147" s="7"/>
      <c r="G147" s="7"/>
      <c r="H147" s="7"/>
      <c r="I147" s="7"/>
      <c r="J147" s="7"/>
      <c r="K147" s="7"/>
      <c r="L147" s="7"/>
      <c r="M147" s="7"/>
      <c r="N147" s="7"/>
      <c r="O147" s="7"/>
      <c r="P147" s="7"/>
      <c r="Q147" s="7"/>
      <c r="R147" s="7"/>
      <c r="S147" s="7"/>
      <c r="T147" s="7"/>
      <c r="U147" s="7"/>
      <c r="V147" s="7"/>
      <c r="W147" s="7"/>
      <c r="X147" s="7"/>
      <c r="Y147" s="7"/>
      <c r="Z147" s="7"/>
    </row>
    <row r="148" ht="13.5" customHeight="1">
      <c r="A148" s="7">
        <v>46.0</v>
      </c>
      <c r="B148" s="242">
        <v>7.4</v>
      </c>
      <c r="C148" s="242">
        <v>4.57</v>
      </c>
      <c r="D148" s="7">
        <f t="shared" ref="D148:E148" si="149">B148*1.2</f>
        <v>8.88</v>
      </c>
      <c r="E148" s="7">
        <f t="shared" si="149"/>
        <v>5.484</v>
      </c>
      <c r="F148" s="7"/>
      <c r="G148" s="7"/>
      <c r="H148" s="7"/>
      <c r="I148" s="7"/>
      <c r="J148" s="7"/>
      <c r="K148" s="7"/>
      <c r="L148" s="7"/>
      <c r="M148" s="7"/>
      <c r="N148" s="7"/>
      <c r="O148" s="7"/>
      <c r="P148" s="7"/>
      <c r="Q148" s="7"/>
      <c r="R148" s="7"/>
      <c r="S148" s="7"/>
      <c r="T148" s="7"/>
      <c r="U148" s="7"/>
      <c r="V148" s="7"/>
      <c r="W148" s="7"/>
      <c r="X148" s="7"/>
      <c r="Y148" s="7"/>
      <c r="Z148" s="7"/>
    </row>
    <row r="149" ht="13.5" customHeight="1">
      <c r="A149" s="7">
        <v>47.0</v>
      </c>
      <c r="B149" s="242">
        <v>8.06</v>
      </c>
      <c r="C149" s="242">
        <v>4.92</v>
      </c>
      <c r="D149" s="7">
        <f t="shared" ref="D149:E149" si="150">B149*1.2</f>
        <v>9.672</v>
      </c>
      <c r="E149" s="7">
        <f t="shared" si="150"/>
        <v>5.904</v>
      </c>
      <c r="F149" s="7"/>
      <c r="G149" s="7"/>
      <c r="H149" s="7"/>
      <c r="I149" s="7"/>
      <c r="J149" s="7"/>
      <c r="K149" s="7"/>
      <c r="L149" s="7"/>
      <c r="M149" s="7"/>
      <c r="N149" s="7"/>
      <c r="O149" s="7"/>
      <c r="P149" s="7"/>
      <c r="Q149" s="7"/>
      <c r="R149" s="7"/>
      <c r="S149" s="7"/>
      <c r="T149" s="7"/>
      <c r="U149" s="7"/>
      <c r="V149" s="7"/>
      <c r="W149" s="7"/>
      <c r="X149" s="7"/>
      <c r="Y149" s="7"/>
      <c r="Z149" s="7"/>
    </row>
    <row r="150" ht="13.5" customHeight="1">
      <c r="A150" s="7">
        <v>48.0</v>
      </c>
      <c r="B150" s="242">
        <v>8.73</v>
      </c>
      <c r="C150" s="242">
        <v>5.28</v>
      </c>
      <c r="D150" s="7">
        <f t="shared" ref="D150:E150" si="151">B150*1.2</f>
        <v>10.476</v>
      </c>
      <c r="E150" s="7">
        <f t="shared" si="151"/>
        <v>6.336</v>
      </c>
      <c r="F150" s="7"/>
      <c r="G150" s="7"/>
      <c r="H150" s="7"/>
      <c r="I150" s="7"/>
      <c r="J150" s="7"/>
      <c r="K150" s="7"/>
      <c r="L150" s="7"/>
      <c r="M150" s="7"/>
      <c r="N150" s="7"/>
      <c r="O150" s="7"/>
      <c r="P150" s="7"/>
      <c r="Q150" s="7"/>
      <c r="R150" s="7"/>
      <c r="S150" s="7"/>
      <c r="T150" s="7"/>
      <c r="U150" s="7"/>
      <c r="V150" s="7"/>
      <c r="W150" s="7"/>
      <c r="X150" s="7"/>
      <c r="Y150" s="7"/>
      <c r="Z150" s="7"/>
    </row>
    <row r="151" ht="13.5" customHeight="1">
      <c r="A151" s="7">
        <v>49.0</v>
      </c>
      <c r="B151" s="242">
        <v>9.4</v>
      </c>
      <c r="C151" s="242">
        <v>5.65</v>
      </c>
      <c r="D151" s="7">
        <f t="shared" ref="D151:E151" si="152">B151*1.2</f>
        <v>11.28</v>
      </c>
      <c r="E151" s="7">
        <f t="shared" si="152"/>
        <v>6.78</v>
      </c>
      <c r="F151" s="7"/>
      <c r="G151" s="7"/>
      <c r="H151" s="7"/>
      <c r="I151" s="7"/>
      <c r="J151" s="7"/>
      <c r="K151" s="7"/>
      <c r="L151" s="7"/>
      <c r="M151" s="7"/>
      <c r="N151" s="7"/>
      <c r="O151" s="7"/>
      <c r="P151" s="7"/>
      <c r="Q151" s="7"/>
      <c r="R151" s="7"/>
      <c r="S151" s="7"/>
      <c r="T151" s="7"/>
      <c r="U151" s="7"/>
      <c r="V151" s="7"/>
      <c r="W151" s="7"/>
      <c r="X151" s="7"/>
      <c r="Y151" s="7"/>
      <c r="Z151" s="7"/>
    </row>
    <row r="152" ht="13.5" customHeight="1">
      <c r="A152" s="7">
        <v>50.0</v>
      </c>
      <c r="B152" s="242">
        <v>10.1</v>
      </c>
      <c r="C152" s="242">
        <v>6.06</v>
      </c>
      <c r="D152" s="7">
        <f t="shared" ref="D152:E152" si="153">B152*1.2</f>
        <v>12.12</v>
      </c>
      <c r="E152" s="7">
        <f t="shared" si="153"/>
        <v>7.272</v>
      </c>
      <c r="F152" s="7"/>
      <c r="G152" s="7"/>
      <c r="H152" s="7"/>
      <c r="I152" s="7"/>
      <c r="J152" s="7"/>
      <c r="K152" s="7"/>
      <c r="L152" s="7"/>
      <c r="M152" s="7"/>
      <c r="N152" s="7"/>
      <c r="O152" s="7"/>
      <c r="P152" s="7"/>
      <c r="Q152" s="7"/>
      <c r="R152" s="7"/>
      <c r="S152" s="7"/>
      <c r="T152" s="7"/>
      <c r="U152" s="7"/>
      <c r="V152" s="7"/>
      <c r="W152" s="7"/>
      <c r="X152" s="7"/>
      <c r="Y152" s="7"/>
      <c r="Z152" s="7"/>
    </row>
    <row r="153" ht="13.5" customHeight="1">
      <c r="A153" s="7">
        <v>51.0</v>
      </c>
      <c r="B153" s="242">
        <v>10.96</v>
      </c>
      <c r="C153" s="242">
        <v>6.61</v>
      </c>
      <c r="D153" s="7">
        <f t="shared" ref="D153:E153" si="154">B153*1.2</f>
        <v>13.152</v>
      </c>
      <c r="E153" s="7">
        <f t="shared" si="154"/>
        <v>7.932</v>
      </c>
      <c r="F153" s="7"/>
      <c r="G153" s="7"/>
      <c r="H153" s="7"/>
      <c r="I153" s="7"/>
      <c r="J153" s="7"/>
      <c r="K153" s="7"/>
      <c r="L153" s="7"/>
      <c r="M153" s="7"/>
      <c r="N153" s="7"/>
      <c r="O153" s="7"/>
      <c r="P153" s="7"/>
      <c r="Q153" s="7"/>
      <c r="R153" s="7"/>
      <c r="S153" s="7"/>
      <c r="T153" s="7"/>
      <c r="U153" s="7"/>
      <c r="V153" s="7"/>
      <c r="W153" s="7"/>
      <c r="X153" s="7"/>
      <c r="Y153" s="7"/>
      <c r="Z153" s="7"/>
    </row>
    <row r="154" ht="13.5" customHeight="1">
      <c r="A154" s="7">
        <v>52.0</v>
      </c>
      <c r="B154" s="242">
        <v>11.91</v>
      </c>
      <c r="C154" s="242">
        <v>7.19</v>
      </c>
      <c r="D154" s="7">
        <f t="shared" ref="D154:E154" si="155">B154*1.2</f>
        <v>14.292</v>
      </c>
      <c r="E154" s="7">
        <f t="shared" si="155"/>
        <v>8.628</v>
      </c>
      <c r="F154" s="7"/>
      <c r="G154" s="7"/>
      <c r="H154" s="7"/>
      <c r="I154" s="7"/>
      <c r="J154" s="7"/>
      <c r="K154" s="7"/>
      <c r="L154" s="7"/>
      <c r="M154" s="7"/>
      <c r="N154" s="7"/>
      <c r="O154" s="7"/>
      <c r="P154" s="7"/>
      <c r="Q154" s="7"/>
      <c r="R154" s="7"/>
      <c r="S154" s="7"/>
      <c r="T154" s="7"/>
      <c r="U154" s="7"/>
      <c r="V154" s="7"/>
      <c r="W154" s="7"/>
      <c r="X154" s="7"/>
      <c r="Y154" s="7"/>
      <c r="Z154" s="7"/>
    </row>
    <row r="155" ht="13.5" customHeight="1">
      <c r="A155" s="7">
        <v>53.0</v>
      </c>
      <c r="B155" s="242">
        <v>12.93</v>
      </c>
      <c r="C155" s="242">
        <v>7.81</v>
      </c>
      <c r="D155" s="7">
        <f t="shared" ref="D155:E155" si="156">B155*1.2</f>
        <v>15.516</v>
      </c>
      <c r="E155" s="7">
        <f t="shared" si="156"/>
        <v>9.372</v>
      </c>
      <c r="F155" s="7"/>
      <c r="G155" s="7"/>
      <c r="H155" s="7"/>
      <c r="I155" s="7"/>
      <c r="J155" s="7"/>
      <c r="K155" s="7"/>
      <c r="L155" s="7"/>
      <c r="M155" s="7"/>
      <c r="N155" s="7"/>
      <c r="O155" s="7"/>
      <c r="P155" s="7"/>
      <c r="Q155" s="7"/>
      <c r="R155" s="7"/>
      <c r="S155" s="7"/>
      <c r="T155" s="7"/>
      <c r="U155" s="7"/>
      <c r="V155" s="7"/>
      <c r="W155" s="7"/>
      <c r="X155" s="7"/>
      <c r="Y155" s="7"/>
      <c r="Z155" s="7"/>
    </row>
    <row r="156" ht="13.5" customHeight="1">
      <c r="A156" s="7">
        <v>54.0</v>
      </c>
      <c r="B156" s="242">
        <v>13.97</v>
      </c>
      <c r="C156" s="242">
        <v>8.49</v>
      </c>
      <c r="D156" s="7">
        <f t="shared" ref="D156:E156" si="157">B156*1.2</f>
        <v>16.764</v>
      </c>
      <c r="E156" s="7">
        <f t="shared" si="157"/>
        <v>10.188</v>
      </c>
      <c r="F156" s="7"/>
      <c r="G156" s="7"/>
      <c r="H156" s="7"/>
      <c r="I156" s="7"/>
      <c r="J156" s="7"/>
      <c r="K156" s="7"/>
      <c r="L156" s="7"/>
      <c r="M156" s="7"/>
      <c r="N156" s="7"/>
      <c r="O156" s="7"/>
      <c r="P156" s="7"/>
      <c r="Q156" s="7"/>
      <c r="R156" s="7"/>
      <c r="S156" s="7"/>
      <c r="T156" s="7"/>
      <c r="U156" s="7"/>
      <c r="V156" s="7"/>
      <c r="W156" s="7"/>
      <c r="X156" s="7"/>
      <c r="Y156" s="7"/>
      <c r="Z156" s="7"/>
    </row>
    <row r="157" ht="13.5" customHeight="1">
      <c r="A157" s="7">
        <v>55.0</v>
      </c>
      <c r="B157" s="242">
        <v>14.08</v>
      </c>
      <c r="C157" s="242">
        <v>9.2</v>
      </c>
      <c r="D157" s="7">
        <f t="shared" ref="D157:E157" si="158">B157*1.2</f>
        <v>16.896</v>
      </c>
      <c r="E157" s="7">
        <f t="shared" si="158"/>
        <v>11.04</v>
      </c>
      <c r="F157" s="7"/>
      <c r="G157" s="7"/>
      <c r="H157" s="7"/>
      <c r="I157" s="7"/>
      <c r="J157" s="7"/>
      <c r="K157" s="7"/>
      <c r="L157" s="7"/>
      <c r="M157" s="7"/>
      <c r="N157" s="7"/>
      <c r="O157" s="7"/>
      <c r="P157" s="7"/>
      <c r="Q157" s="7"/>
      <c r="R157" s="7"/>
      <c r="S157" s="7"/>
      <c r="T157" s="7"/>
      <c r="U157" s="7"/>
      <c r="V157" s="7"/>
      <c r="W157" s="7"/>
      <c r="X157" s="7"/>
      <c r="Y157" s="7"/>
      <c r="Z157" s="7"/>
    </row>
    <row r="158" ht="13.5" customHeight="1">
      <c r="A158" s="7">
        <v>56.0</v>
      </c>
      <c r="B158" s="242">
        <v>14.2</v>
      </c>
      <c r="C158" s="242">
        <v>9.21</v>
      </c>
      <c r="D158" s="7">
        <f t="shared" ref="D158:E158" si="159">B158*1.2</f>
        <v>17.04</v>
      </c>
      <c r="E158" s="7">
        <f t="shared" si="159"/>
        <v>11.052</v>
      </c>
      <c r="F158" s="7"/>
      <c r="G158" s="7"/>
      <c r="H158" s="7"/>
      <c r="I158" s="7"/>
      <c r="J158" s="7"/>
      <c r="K158" s="7"/>
      <c r="L158" s="7"/>
      <c r="M158" s="7"/>
      <c r="N158" s="7"/>
      <c r="O158" s="7"/>
      <c r="P158" s="7"/>
      <c r="Q158" s="7"/>
      <c r="R158" s="7"/>
      <c r="S158" s="7"/>
      <c r="T158" s="7"/>
      <c r="U158" s="7"/>
      <c r="V158" s="7"/>
      <c r="W158" s="7"/>
      <c r="X158" s="7"/>
      <c r="Y158" s="7"/>
      <c r="Z158" s="7"/>
    </row>
    <row r="159" ht="13.5" customHeight="1">
      <c r="A159" s="7">
        <v>57.0</v>
      </c>
      <c r="B159" s="242">
        <v>14.31</v>
      </c>
      <c r="C159" s="242">
        <v>9.22</v>
      </c>
      <c r="D159" s="7">
        <f t="shared" ref="D159:E159" si="160">B159*1.2</f>
        <v>17.172</v>
      </c>
      <c r="E159" s="7">
        <f t="shared" si="160"/>
        <v>11.064</v>
      </c>
      <c r="F159" s="7"/>
      <c r="G159" s="7"/>
      <c r="H159" s="7"/>
      <c r="I159" s="7"/>
      <c r="J159" s="7"/>
      <c r="K159" s="7"/>
      <c r="L159" s="7"/>
      <c r="M159" s="7"/>
      <c r="N159" s="7"/>
      <c r="O159" s="7"/>
      <c r="P159" s="7"/>
      <c r="Q159" s="7"/>
      <c r="R159" s="7"/>
      <c r="S159" s="7"/>
      <c r="T159" s="7"/>
      <c r="U159" s="7"/>
      <c r="V159" s="7"/>
      <c r="W159" s="7"/>
      <c r="X159" s="7"/>
      <c r="Y159" s="7"/>
      <c r="Z159" s="7"/>
    </row>
    <row r="160" ht="13.5" customHeight="1">
      <c r="A160" s="7">
        <v>58.0</v>
      </c>
      <c r="B160" s="242">
        <v>14.42</v>
      </c>
      <c r="C160" s="242">
        <v>9.23</v>
      </c>
      <c r="D160" s="7">
        <f t="shared" ref="D160:E160" si="161">B160*1.2</f>
        <v>17.304</v>
      </c>
      <c r="E160" s="7">
        <f t="shared" si="161"/>
        <v>11.076</v>
      </c>
      <c r="F160" s="7"/>
      <c r="G160" s="7"/>
      <c r="H160" s="7"/>
      <c r="I160" s="7"/>
      <c r="J160" s="7"/>
      <c r="K160" s="7"/>
      <c r="L160" s="7"/>
      <c r="M160" s="7"/>
      <c r="N160" s="7"/>
      <c r="O160" s="7"/>
      <c r="P160" s="7"/>
      <c r="Q160" s="7"/>
      <c r="R160" s="7"/>
      <c r="S160" s="7"/>
      <c r="T160" s="7"/>
      <c r="U160" s="7"/>
      <c r="V160" s="7"/>
      <c r="W160" s="7"/>
      <c r="X160" s="7"/>
      <c r="Y160" s="7"/>
      <c r="Z160" s="7"/>
    </row>
    <row r="161" ht="13.5" customHeight="1">
      <c r="A161" s="7">
        <v>59.0</v>
      </c>
      <c r="B161" s="242">
        <v>14.45</v>
      </c>
      <c r="C161" s="242">
        <v>9.46</v>
      </c>
      <c r="D161" s="7">
        <f t="shared" ref="D161:E161" si="162">B161*1.2</f>
        <v>17.34</v>
      </c>
      <c r="E161" s="7">
        <f t="shared" si="162"/>
        <v>11.352</v>
      </c>
      <c r="F161" s="7"/>
      <c r="G161" s="7"/>
      <c r="H161" s="7"/>
      <c r="I161" s="7"/>
      <c r="J161" s="7"/>
      <c r="K161" s="7"/>
      <c r="L161" s="7"/>
      <c r="M161" s="7"/>
      <c r="N161" s="7"/>
      <c r="O161" s="7"/>
      <c r="P161" s="7"/>
      <c r="Q161" s="7"/>
      <c r="R161" s="7"/>
      <c r="S161" s="7"/>
      <c r="T161" s="7"/>
      <c r="U161" s="7"/>
      <c r="V161" s="7"/>
      <c r="W161" s="7"/>
      <c r="X161" s="7"/>
      <c r="Y161" s="7"/>
      <c r="Z161" s="7"/>
    </row>
    <row r="162" ht="13.5" customHeight="1">
      <c r="A162" s="7">
        <v>60.0</v>
      </c>
      <c r="B162" s="242">
        <v>14.5</v>
      </c>
      <c r="C162" s="242">
        <v>9.74</v>
      </c>
      <c r="D162" s="7">
        <f t="shared" ref="D162:E162" si="163">B162*1.2</f>
        <v>17.4</v>
      </c>
      <c r="E162" s="7">
        <f t="shared" si="163"/>
        <v>11.688</v>
      </c>
      <c r="F162" s="7"/>
      <c r="G162" s="7"/>
      <c r="H162" s="7"/>
      <c r="I162" s="7"/>
      <c r="J162" s="7"/>
      <c r="K162" s="7"/>
      <c r="L162" s="7"/>
      <c r="M162" s="7"/>
      <c r="N162" s="7"/>
      <c r="O162" s="7"/>
      <c r="P162" s="7"/>
      <c r="Q162" s="7"/>
      <c r="R162" s="7"/>
      <c r="S162" s="7"/>
      <c r="T162" s="7"/>
      <c r="U162" s="7"/>
      <c r="V162" s="7"/>
      <c r="W162" s="7"/>
      <c r="X162" s="7"/>
      <c r="Y162" s="7"/>
      <c r="Z162" s="7"/>
    </row>
    <row r="163" ht="13.5" customHeight="1">
      <c r="A163" s="7">
        <v>61.0</v>
      </c>
      <c r="B163" s="242">
        <v>14.55</v>
      </c>
      <c r="C163" s="242">
        <v>10.04</v>
      </c>
      <c r="D163" s="7">
        <f t="shared" ref="D163:E163" si="164">B163*1.2</f>
        <v>17.46</v>
      </c>
      <c r="E163" s="7">
        <f t="shared" si="164"/>
        <v>12.048</v>
      </c>
      <c r="F163" s="7"/>
      <c r="G163" s="7"/>
      <c r="H163" s="7"/>
      <c r="I163" s="7"/>
      <c r="J163" s="7"/>
      <c r="K163" s="7"/>
      <c r="L163" s="7"/>
      <c r="M163" s="7"/>
      <c r="N163" s="7"/>
      <c r="O163" s="7"/>
      <c r="P163" s="7"/>
      <c r="Q163" s="7"/>
      <c r="R163" s="7"/>
      <c r="S163" s="7"/>
      <c r="T163" s="7"/>
      <c r="U163" s="7"/>
      <c r="V163" s="7"/>
      <c r="W163" s="7"/>
      <c r="X163" s="7"/>
      <c r="Y163" s="7"/>
      <c r="Z163" s="7"/>
    </row>
    <row r="164" ht="13.5" customHeight="1">
      <c r="A164" s="7">
        <v>62.0</v>
      </c>
      <c r="B164" s="242">
        <v>14.6</v>
      </c>
      <c r="C164" s="242">
        <v>10.41</v>
      </c>
      <c r="D164" s="7">
        <f t="shared" ref="D164:E164" si="165">B164*1.2</f>
        <v>17.52</v>
      </c>
      <c r="E164" s="7">
        <f t="shared" si="165"/>
        <v>12.492</v>
      </c>
      <c r="F164" s="7"/>
      <c r="G164" s="7"/>
      <c r="H164" s="7"/>
      <c r="I164" s="7"/>
      <c r="J164" s="7"/>
      <c r="K164" s="7"/>
      <c r="L164" s="7"/>
      <c r="M164" s="7"/>
      <c r="N164" s="7"/>
      <c r="O164" s="7"/>
      <c r="P164" s="7"/>
      <c r="Q164" s="7"/>
      <c r="R164" s="7"/>
      <c r="S164" s="7"/>
      <c r="T164" s="7"/>
      <c r="U164" s="7"/>
      <c r="V164" s="7"/>
      <c r="W164" s="7"/>
      <c r="X164" s="7"/>
      <c r="Y164" s="7"/>
      <c r="Z164" s="7"/>
    </row>
    <row r="165" ht="13.5" customHeight="1">
      <c r="A165" s="7">
        <v>63.0</v>
      </c>
      <c r="B165" s="242">
        <v>14.65</v>
      </c>
      <c r="C165" s="242">
        <v>10.78</v>
      </c>
      <c r="D165" s="7">
        <f t="shared" ref="D165:E165" si="166">B165*1.2</f>
        <v>17.58</v>
      </c>
      <c r="E165" s="7">
        <f t="shared" si="166"/>
        <v>12.936</v>
      </c>
      <c r="F165" s="7"/>
      <c r="G165" s="7"/>
      <c r="H165" s="7"/>
      <c r="I165" s="7"/>
      <c r="J165" s="7"/>
      <c r="K165" s="7"/>
      <c r="L165" s="7"/>
      <c r="M165" s="7"/>
      <c r="N165" s="7"/>
      <c r="O165" s="7"/>
      <c r="P165" s="7"/>
      <c r="Q165" s="7"/>
      <c r="R165" s="7"/>
      <c r="S165" s="7"/>
      <c r="T165" s="7"/>
      <c r="U165" s="7"/>
      <c r="V165" s="7"/>
      <c r="W165" s="7"/>
      <c r="X165" s="7"/>
      <c r="Y165" s="7"/>
      <c r="Z165" s="7"/>
    </row>
    <row r="166" ht="13.5" customHeight="1">
      <c r="A166" s="7">
        <v>64.0</v>
      </c>
      <c r="B166" s="242">
        <v>14.7</v>
      </c>
      <c r="C166" s="242">
        <v>11.09</v>
      </c>
      <c r="D166" s="7">
        <f t="shared" ref="D166:E166" si="167">B166*1.2</f>
        <v>17.64</v>
      </c>
      <c r="E166" s="7">
        <f t="shared" si="167"/>
        <v>13.308</v>
      </c>
      <c r="F166" s="7"/>
      <c r="G166" s="7"/>
      <c r="H166" s="7"/>
      <c r="I166" s="7"/>
      <c r="J166" s="7"/>
      <c r="K166" s="7"/>
      <c r="L166" s="7"/>
      <c r="M166" s="7"/>
      <c r="N166" s="7"/>
      <c r="O166" s="7"/>
      <c r="P166" s="7"/>
      <c r="Q166" s="7"/>
      <c r="R166" s="7"/>
      <c r="S166" s="7"/>
      <c r="T166" s="7"/>
      <c r="U166" s="7"/>
      <c r="V166" s="7"/>
      <c r="W166" s="7"/>
      <c r="X166" s="7"/>
      <c r="Y166" s="7"/>
      <c r="Z166" s="7"/>
    </row>
    <row r="167" ht="13.5" customHeight="1">
      <c r="A167" s="7">
        <v>65.0</v>
      </c>
      <c r="B167" s="242">
        <v>14.85</v>
      </c>
      <c r="C167" s="242">
        <v>11.44</v>
      </c>
      <c r="D167" s="7">
        <f t="shared" ref="D167:E167" si="168">B167*1.2</f>
        <v>17.82</v>
      </c>
      <c r="E167" s="7">
        <f t="shared" si="168"/>
        <v>13.728</v>
      </c>
      <c r="F167" s="7"/>
      <c r="G167" s="7"/>
      <c r="H167" s="7"/>
      <c r="I167" s="7"/>
      <c r="J167" s="7"/>
      <c r="K167" s="7"/>
      <c r="L167" s="7"/>
      <c r="M167" s="7"/>
      <c r="N167" s="7"/>
      <c r="O167" s="7"/>
      <c r="P167" s="7"/>
      <c r="Q167" s="7"/>
      <c r="R167" s="7"/>
      <c r="S167" s="7"/>
      <c r="T167" s="7"/>
      <c r="U167" s="7"/>
      <c r="V167" s="7"/>
      <c r="W167" s="7"/>
      <c r="X167" s="7"/>
      <c r="Y167" s="7"/>
      <c r="Z167" s="7"/>
    </row>
    <row r="168" ht="13.5" customHeight="1">
      <c r="A168" s="7">
        <v>66.0</v>
      </c>
      <c r="B168" s="242">
        <v>15.54</v>
      </c>
      <c r="C168" s="242">
        <v>12.18</v>
      </c>
      <c r="D168" s="7">
        <f t="shared" ref="D168:E168" si="169">B168*1.2</f>
        <v>18.648</v>
      </c>
      <c r="E168" s="7">
        <f t="shared" si="169"/>
        <v>14.616</v>
      </c>
      <c r="F168" s="7"/>
      <c r="G168" s="7"/>
      <c r="H168" s="7"/>
      <c r="I168" s="7"/>
      <c r="J168" s="7"/>
      <c r="K168" s="7"/>
      <c r="L168" s="7"/>
      <c r="M168" s="7"/>
      <c r="N168" s="7"/>
      <c r="O168" s="7"/>
      <c r="P168" s="7"/>
      <c r="Q168" s="7"/>
      <c r="R168" s="7"/>
      <c r="S168" s="7"/>
      <c r="T168" s="7"/>
      <c r="U168" s="7"/>
      <c r="V168" s="7"/>
      <c r="W168" s="7"/>
      <c r="X168" s="7"/>
      <c r="Y168" s="7"/>
      <c r="Z168" s="7"/>
    </row>
    <row r="169" ht="13.5" customHeight="1">
      <c r="A169" s="7">
        <v>67.0</v>
      </c>
      <c r="B169" s="242">
        <v>16.33</v>
      </c>
      <c r="C169" s="242">
        <v>13.02</v>
      </c>
      <c r="D169" s="7">
        <f t="shared" ref="D169:E169" si="170">B169*1.2</f>
        <v>19.596</v>
      </c>
      <c r="E169" s="7">
        <f t="shared" si="170"/>
        <v>15.624</v>
      </c>
      <c r="F169" s="7"/>
      <c r="G169" s="7"/>
      <c r="H169" s="7"/>
      <c r="I169" s="7"/>
      <c r="J169" s="7"/>
      <c r="K169" s="7"/>
      <c r="L169" s="7"/>
      <c r="M169" s="7"/>
      <c r="N169" s="7"/>
      <c r="O169" s="7"/>
      <c r="P169" s="7"/>
      <c r="Q169" s="7"/>
      <c r="R169" s="7"/>
      <c r="S169" s="7"/>
      <c r="T169" s="7"/>
      <c r="U169" s="7"/>
      <c r="V169" s="7"/>
      <c r="W169" s="7"/>
      <c r="X169" s="7"/>
      <c r="Y169" s="7"/>
      <c r="Z169" s="7"/>
    </row>
    <row r="170" ht="13.5" customHeight="1">
      <c r="A170" s="7">
        <v>68.0</v>
      </c>
      <c r="B170" s="242">
        <v>17.22</v>
      </c>
      <c r="C170" s="242">
        <v>13.94</v>
      </c>
      <c r="D170" s="7">
        <f t="shared" ref="D170:E170" si="171">B170*1.2</f>
        <v>20.664</v>
      </c>
      <c r="E170" s="7">
        <f t="shared" si="171"/>
        <v>16.728</v>
      </c>
      <c r="F170" s="7"/>
      <c r="G170" s="7"/>
      <c r="H170" s="7"/>
      <c r="I170" s="7"/>
      <c r="J170" s="7"/>
      <c r="K170" s="7"/>
      <c r="L170" s="7"/>
      <c r="M170" s="7"/>
      <c r="N170" s="7"/>
      <c r="O170" s="7"/>
      <c r="P170" s="7"/>
      <c r="Q170" s="7"/>
      <c r="R170" s="7"/>
      <c r="S170" s="7"/>
      <c r="T170" s="7"/>
      <c r="U170" s="7"/>
      <c r="V170" s="7"/>
      <c r="W170" s="7"/>
      <c r="X170" s="7"/>
      <c r="Y170" s="7"/>
      <c r="Z170" s="7"/>
    </row>
    <row r="171" ht="13.5" customHeight="1">
      <c r="A171" s="7">
        <v>69.0</v>
      </c>
      <c r="B171" s="242">
        <v>18.21</v>
      </c>
      <c r="C171" s="242">
        <v>14.9</v>
      </c>
      <c r="D171" s="7">
        <f t="shared" ref="D171:E171" si="172">B171*1.2</f>
        <v>21.852</v>
      </c>
      <c r="E171" s="7">
        <f t="shared" si="172"/>
        <v>17.88</v>
      </c>
      <c r="F171" s="7"/>
      <c r="G171" s="7"/>
      <c r="H171" s="7"/>
      <c r="I171" s="7"/>
      <c r="J171" s="7"/>
      <c r="K171" s="7"/>
      <c r="L171" s="7"/>
      <c r="M171" s="7"/>
      <c r="N171" s="7"/>
      <c r="O171" s="7"/>
      <c r="P171" s="7"/>
      <c r="Q171" s="7"/>
      <c r="R171" s="7"/>
      <c r="S171" s="7"/>
      <c r="T171" s="7"/>
      <c r="U171" s="7"/>
      <c r="V171" s="7"/>
      <c r="W171" s="7"/>
      <c r="X171" s="7"/>
      <c r="Y171" s="7"/>
      <c r="Z171" s="7"/>
    </row>
    <row r="172" ht="13.5" customHeight="1">
      <c r="A172" s="7">
        <v>70.0</v>
      </c>
      <c r="B172" s="242">
        <v>19.25</v>
      </c>
      <c r="C172" s="242">
        <v>15.93</v>
      </c>
      <c r="D172" s="7">
        <f t="shared" ref="D172:E172" si="173">B172*1.2</f>
        <v>23.1</v>
      </c>
      <c r="E172" s="7">
        <f t="shared" si="173"/>
        <v>19.116</v>
      </c>
      <c r="F172" s="7"/>
      <c r="G172" s="7"/>
      <c r="H172" s="7"/>
      <c r="I172" s="7"/>
      <c r="J172" s="7"/>
      <c r="K172" s="7"/>
      <c r="L172" s="7"/>
      <c r="M172" s="7"/>
      <c r="N172" s="7"/>
      <c r="O172" s="7"/>
      <c r="P172" s="7"/>
      <c r="Q172" s="7"/>
      <c r="R172" s="7"/>
      <c r="S172" s="7"/>
      <c r="T172" s="7"/>
      <c r="U172" s="7"/>
      <c r="V172" s="7"/>
      <c r="W172" s="7"/>
      <c r="X172" s="7"/>
      <c r="Y172" s="7"/>
      <c r="Z172" s="7"/>
    </row>
    <row r="173" ht="13.5" customHeight="1">
      <c r="A173" s="7">
        <v>71.0</v>
      </c>
      <c r="B173" s="242">
        <v>20.4</v>
      </c>
      <c r="C173" s="242">
        <v>17.03</v>
      </c>
      <c r="D173" s="7">
        <f t="shared" ref="D173:E173" si="174">B173*1.2</f>
        <v>24.48</v>
      </c>
      <c r="E173" s="7">
        <f t="shared" si="174"/>
        <v>20.436</v>
      </c>
      <c r="F173" s="7"/>
      <c r="G173" s="7"/>
      <c r="H173" s="7"/>
      <c r="I173" s="7"/>
      <c r="J173" s="7"/>
      <c r="K173" s="7"/>
      <c r="L173" s="7"/>
      <c r="M173" s="7"/>
      <c r="N173" s="7"/>
      <c r="O173" s="7"/>
      <c r="P173" s="7"/>
      <c r="Q173" s="7"/>
      <c r="R173" s="7"/>
      <c r="S173" s="7"/>
      <c r="T173" s="7"/>
      <c r="U173" s="7"/>
      <c r="V173" s="7"/>
      <c r="W173" s="7"/>
      <c r="X173" s="7"/>
      <c r="Y173" s="7"/>
      <c r="Z173" s="7"/>
    </row>
    <row r="174" ht="13.5" customHeight="1">
      <c r="A174" s="7">
        <v>72.0</v>
      </c>
      <c r="B174" s="242">
        <v>21.64</v>
      </c>
      <c r="C174" s="242">
        <v>18.22</v>
      </c>
      <c r="D174" s="7">
        <f t="shared" ref="D174:E174" si="175">B174*1.2</f>
        <v>25.968</v>
      </c>
      <c r="E174" s="7">
        <f t="shared" si="175"/>
        <v>21.864</v>
      </c>
      <c r="F174" s="7"/>
      <c r="G174" s="7"/>
      <c r="H174" s="7"/>
      <c r="I174" s="7"/>
      <c r="J174" s="7"/>
      <c r="K174" s="7"/>
      <c r="L174" s="7"/>
      <c r="M174" s="7"/>
      <c r="N174" s="7"/>
      <c r="O174" s="7"/>
      <c r="P174" s="7"/>
      <c r="Q174" s="7"/>
      <c r="R174" s="7"/>
      <c r="S174" s="7"/>
      <c r="T174" s="7"/>
      <c r="U174" s="7"/>
      <c r="V174" s="7"/>
      <c r="W174" s="7"/>
      <c r="X174" s="7"/>
      <c r="Y174" s="7"/>
      <c r="Z174" s="7"/>
    </row>
    <row r="175" ht="13.5" customHeight="1">
      <c r="A175" s="7">
        <v>73.0</v>
      </c>
      <c r="B175" s="242">
        <v>23.03</v>
      </c>
      <c r="C175" s="242">
        <v>19.54</v>
      </c>
      <c r="D175" s="7">
        <f t="shared" ref="D175:E175" si="176">B175*1.2</f>
        <v>27.636</v>
      </c>
      <c r="E175" s="7">
        <f t="shared" si="176"/>
        <v>23.448</v>
      </c>
      <c r="F175" s="7"/>
      <c r="G175" s="7"/>
      <c r="H175" s="7"/>
      <c r="I175" s="7"/>
      <c r="J175" s="7"/>
      <c r="K175" s="7"/>
      <c r="L175" s="7"/>
      <c r="M175" s="7"/>
      <c r="N175" s="7"/>
      <c r="O175" s="7"/>
      <c r="P175" s="7"/>
      <c r="Q175" s="7"/>
      <c r="R175" s="7"/>
      <c r="S175" s="7"/>
      <c r="T175" s="7"/>
      <c r="U175" s="7"/>
      <c r="V175" s="7"/>
      <c r="W175" s="7"/>
      <c r="X175" s="7"/>
      <c r="Y175" s="7"/>
      <c r="Z175" s="7"/>
    </row>
    <row r="176" ht="13.5" customHeight="1">
      <c r="A176" s="7">
        <v>74.0</v>
      </c>
      <c r="B176" s="242">
        <v>24.56</v>
      </c>
      <c r="C176" s="242">
        <v>21.0</v>
      </c>
      <c r="D176" s="7">
        <f t="shared" ref="D176:E176" si="177">B176*1.2</f>
        <v>29.472</v>
      </c>
      <c r="E176" s="7">
        <f t="shared" si="177"/>
        <v>25.2</v>
      </c>
      <c r="F176" s="7"/>
      <c r="G176" s="7"/>
      <c r="H176" s="7"/>
      <c r="I176" s="7"/>
      <c r="J176" s="7"/>
      <c r="K176" s="7"/>
      <c r="L176" s="7"/>
      <c r="M176" s="7"/>
      <c r="N176" s="7"/>
      <c r="O176" s="7"/>
      <c r="P176" s="7"/>
      <c r="Q176" s="7"/>
      <c r="R176" s="7"/>
      <c r="S176" s="7"/>
      <c r="T176" s="7"/>
      <c r="U176" s="7"/>
      <c r="V176" s="7"/>
      <c r="W176" s="7"/>
      <c r="X176" s="7"/>
      <c r="Y176" s="7"/>
      <c r="Z176" s="7"/>
    </row>
    <row r="177" ht="13.5" customHeight="1">
      <c r="A177" s="7">
        <v>75.0</v>
      </c>
      <c r="B177" s="242">
        <v>26.26</v>
      </c>
      <c r="C177" s="242">
        <v>22.59</v>
      </c>
      <c r="D177" s="7">
        <f t="shared" ref="D177:E177" si="178">B177*1.2</f>
        <v>31.512</v>
      </c>
      <c r="E177" s="7">
        <f t="shared" si="178"/>
        <v>27.108</v>
      </c>
      <c r="F177" s="7"/>
      <c r="G177" s="7"/>
      <c r="H177" s="7"/>
      <c r="I177" s="7"/>
      <c r="J177" s="7"/>
      <c r="K177" s="7"/>
      <c r="L177" s="7"/>
      <c r="M177" s="7"/>
      <c r="N177" s="7"/>
      <c r="O177" s="7"/>
      <c r="P177" s="7"/>
      <c r="Q177" s="7"/>
      <c r="R177" s="7"/>
      <c r="S177" s="7"/>
      <c r="T177" s="7"/>
      <c r="U177" s="7"/>
      <c r="V177" s="7"/>
      <c r="W177" s="7"/>
      <c r="X177" s="7"/>
      <c r="Y177" s="7"/>
      <c r="Z177" s="7"/>
    </row>
    <row r="178" ht="13.5" customHeight="1">
      <c r="A178" s="7">
        <v>76.0</v>
      </c>
      <c r="B178" s="242">
        <v>30.7</v>
      </c>
      <c r="C178" s="242">
        <v>24.35</v>
      </c>
      <c r="D178" s="7">
        <f t="shared" ref="D178:E178" si="179">B178*1.2</f>
        <v>36.84</v>
      </c>
      <c r="E178" s="7">
        <f t="shared" si="179"/>
        <v>29.22</v>
      </c>
      <c r="F178" s="7"/>
      <c r="G178" s="7"/>
      <c r="H178" s="7"/>
      <c r="I178" s="7"/>
      <c r="J178" s="7"/>
      <c r="K178" s="7"/>
      <c r="L178" s="7"/>
      <c r="M178" s="7"/>
      <c r="N178" s="7"/>
      <c r="O178" s="7"/>
      <c r="P178" s="7"/>
      <c r="Q178" s="7"/>
      <c r="R178" s="7"/>
      <c r="S178" s="7"/>
      <c r="T178" s="7"/>
      <c r="U178" s="7"/>
      <c r="V178" s="7"/>
      <c r="W178" s="7"/>
      <c r="X178" s="7"/>
      <c r="Y178" s="7"/>
      <c r="Z178" s="7"/>
    </row>
    <row r="179" ht="13.5" customHeight="1">
      <c r="A179" s="7">
        <v>77.0</v>
      </c>
      <c r="B179" s="242">
        <v>35.48</v>
      </c>
      <c r="C179" s="242">
        <v>26.31</v>
      </c>
      <c r="D179" s="7">
        <f t="shared" ref="D179:E179" si="180">B179*1.2</f>
        <v>42.576</v>
      </c>
      <c r="E179" s="7">
        <f t="shared" si="180"/>
        <v>31.572</v>
      </c>
      <c r="F179" s="7"/>
      <c r="G179" s="7"/>
      <c r="H179" s="7"/>
      <c r="I179" s="7"/>
      <c r="J179" s="7"/>
      <c r="K179" s="7"/>
      <c r="L179" s="7"/>
      <c r="M179" s="7"/>
      <c r="N179" s="7"/>
      <c r="O179" s="7"/>
      <c r="P179" s="7"/>
      <c r="Q179" s="7"/>
      <c r="R179" s="7"/>
      <c r="S179" s="7"/>
      <c r="T179" s="7"/>
      <c r="U179" s="7"/>
      <c r="V179" s="7"/>
      <c r="W179" s="7"/>
      <c r="X179" s="7"/>
      <c r="Y179" s="7"/>
      <c r="Z179" s="7"/>
    </row>
    <row r="180" ht="13.5" customHeight="1">
      <c r="A180" s="7">
        <v>78.0</v>
      </c>
      <c r="B180" s="242">
        <v>40.56</v>
      </c>
      <c r="C180" s="242">
        <v>30.14</v>
      </c>
      <c r="D180" s="7">
        <f t="shared" ref="D180:E180" si="181">B180*1.2</f>
        <v>48.672</v>
      </c>
      <c r="E180" s="7">
        <f t="shared" si="181"/>
        <v>36.168</v>
      </c>
      <c r="F180" s="7"/>
      <c r="G180" s="7"/>
      <c r="H180" s="7"/>
      <c r="I180" s="7"/>
      <c r="J180" s="7"/>
      <c r="K180" s="7"/>
      <c r="L180" s="7"/>
      <c r="M180" s="7"/>
      <c r="N180" s="7"/>
      <c r="O180" s="7"/>
      <c r="P180" s="7"/>
      <c r="Q180" s="7"/>
      <c r="R180" s="7"/>
      <c r="S180" s="7"/>
      <c r="T180" s="7"/>
      <c r="U180" s="7"/>
      <c r="V180" s="7"/>
      <c r="W180" s="7"/>
      <c r="X180" s="7"/>
      <c r="Y180" s="7"/>
      <c r="Z180" s="7"/>
    </row>
    <row r="181" ht="13.5" customHeight="1">
      <c r="A181" s="7">
        <v>79.0</v>
      </c>
      <c r="B181" s="242">
        <v>47.86</v>
      </c>
      <c r="C181" s="242">
        <v>37.32</v>
      </c>
      <c r="D181" s="7">
        <f t="shared" ref="D181:E181" si="182">B181*1.2</f>
        <v>57.432</v>
      </c>
      <c r="E181" s="7">
        <f t="shared" si="182"/>
        <v>44.784</v>
      </c>
      <c r="F181" s="7"/>
      <c r="G181" s="7"/>
      <c r="H181" s="7"/>
      <c r="I181" s="7"/>
      <c r="J181" s="7"/>
      <c r="K181" s="7"/>
      <c r="L181" s="7"/>
      <c r="M181" s="7"/>
      <c r="N181" s="7"/>
      <c r="O181" s="7"/>
      <c r="P181" s="7"/>
      <c r="Q181" s="7"/>
      <c r="R181" s="7"/>
      <c r="S181" s="7"/>
      <c r="T181" s="7"/>
      <c r="U181" s="7"/>
      <c r="V181" s="7"/>
      <c r="W181" s="7"/>
      <c r="X181" s="7"/>
      <c r="Y181" s="7"/>
      <c r="Z181" s="7"/>
    </row>
    <row r="182" ht="13.5" customHeight="1">
      <c r="A182" s="7">
        <v>80.0</v>
      </c>
      <c r="B182" s="242">
        <v>58.55</v>
      </c>
      <c r="C182" s="242">
        <v>46.25</v>
      </c>
      <c r="D182" s="7">
        <f t="shared" ref="D182:E182" si="183">B182*1.2</f>
        <v>70.26</v>
      </c>
      <c r="E182" s="7">
        <f t="shared" si="183"/>
        <v>55.5</v>
      </c>
      <c r="F182" s="7"/>
      <c r="G182" s="7"/>
      <c r="H182" s="7"/>
      <c r="I182" s="7"/>
      <c r="J182" s="7"/>
      <c r="K182" s="7"/>
      <c r="L182" s="7"/>
      <c r="M182" s="7"/>
      <c r="N182" s="7"/>
      <c r="O182" s="7"/>
      <c r="P182" s="7"/>
      <c r="Q182" s="7"/>
      <c r="R182" s="7"/>
      <c r="S182" s="7"/>
      <c r="T182" s="7"/>
      <c r="U182" s="7"/>
      <c r="V182" s="7"/>
      <c r="W182" s="7"/>
      <c r="X182" s="7"/>
      <c r="Y182" s="7"/>
      <c r="Z182" s="7"/>
    </row>
    <row r="183" ht="13.5" customHeight="1">
      <c r="A183" s="7">
        <v>81.0</v>
      </c>
      <c r="B183" s="242">
        <v>71.96</v>
      </c>
      <c r="C183" s="242">
        <v>54.79</v>
      </c>
      <c r="D183" s="7">
        <f t="shared" ref="D183:E183" si="184">B183*1.2</f>
        <v>86.352</v>
      </c>
      <c r="E183" s="7">
        <f t="shared" si="184"/>
        <v>65.748</v>
      </c>
      <c r="F183" s="7"/>
      <c r="G183" s="7"/>
      <c r="H183" s="7"/>
      <c r="I183" s="7"/>
      <c r="J183" s="7"/>
      <c r="K183" s="7"/>
      <c r="L183" s="7"/>
      <c r="M183" s="7"/>
      <c r="N183" s="7"/>
      <c r="O183" s="7"/>
      <c r="P183" s="7"/>
      <c r="Q183" s="7"/>
      <c r="R183" s="7"/>
      <c r="S183" s="7"/>
      <c r="T183" s="7"/>
      <c r="U183" s="7"/>
      <c r="V183" s="7"/>
      <c r="W183" s="7"/>
      <c r="X183" s="7"/>
      <c r="Y183" s="7"/>
      <c r="Z183" s="7"/>
    </row>
    <row r="184" ht="13.5" customHeight="1">
      <c r="A184" s="7">
        <v>82.0</v>
      </c>
      <c r="B184" s="242">
        <v>86.94</v>
      </c>
      <c r="C184" s="242">
        <v>63.37</v>
      </c>
      <c r="D184" s="7">
        <f t="shared" ref="D184:E184" si="185">B184*1.2</f>
        <v>104.328</v>
      </c>
      <c r="E184" s="7">
        <f t="shared" si="185"/>
        <v>76.044</v>
      </c>
      <c r="F184" s="7"/>
      <c r="G184" s="7"/>
      <c r="H184" s="7"/>
      <c r="I184" s="7"/>
      <c r="J184" s="7"/>
      <c r="K184" s="7"/>
      <c r="L184" s="7"/>
      <c r="M184" s="7"/>
      <c r="N184" s="7"/>
      <c r="O184" s="7"/>
      <c r="P184" s="7"/>
      <c r="Q184" s="7"/>
      <c r="R184" s="7"/>
      <c r="S184" s="7"/>
      <c r="T184" s="7"/>
      <c r="U184" s="7"/>
      <c r="V184" s="7"/>
      <c r="W184" s="7"/>
      <c r="X184" s="7"/>
      <c r="Y184" s="7"/>
      <c r="Z184" s="7"/>
    </row>
    <row r="185" ht="13.5" customHeight="1">
      <c r="A185" s="7">
        <v>83.0</v>
      </c>
      <c r="B185" s="242">
        <v>105.4</v>
      </c>
      <c r="C185" s="242">
        <v>70.71</v>
      </c>
      <c r="D185" s="7">
        <f t="shared" ref="D185:E185" si="186">B185*1.2</f>
        <v>126.48</v>
      </c>
      <c r="E185" s="7">
        <f t="shared" si="186"/>
        <v>84.852</v>
      </c>
      <c r="F185" s="7"/>
      <c r="G185" s="7"/>
      <c r="H185" s="7"/>
      <c r="I185" s="7"/>
      <c r="J185" s="7"/>
      <c r="K185" s="7"/>
      <c r="L185" s="7"/>
      <c r="M185" s="7"/>
      <c r="N185" s="7"/>
      <c r="O185" s="7"/>
      <c r="P185" s="7"/>
      <c r="Q185" s="7"/>
      <c r="R185" s="7"/>
      <c r="S185" s="7"/>
      <c r="T185" s="7"/>
      <c r="U185" s="7"/>
      <c r="V185" s="7"/>
      <c r="W185" s="7"/>
      <c r="X185" s="7"/>
      <c r="Y185" s="7"/>
      <c r="Z185" s="7"/>
    </row>
    <row r="186" ht="13.5" customHeight="1">
      <c r="A186" s="7">
        <v>84.0</v>
      </c>
      <c r="B186" s="242">
        <v>120.42</v>
      </c>
      <c r="C186" s="242">
        <v>77.32</v>
      </c>
      <c r="D186" s="7">
        <f t="shared" ref="D186:E186" si="187">B186*1.2</f>
        <v>144.504</v>
      </c>
      <c r="E186" s="7">
        <f t="shared" si="187"/>
        <v>92.784</v>
      </c>
      <c r="F186" s="7"/>
      <c r="G186" s="7"/>
      <c r="H186" s="7"/>
      <c r="I186" s="7"/>
      <c r="J186" s="7"/>
      <c r="K186" s="7"/>
      <c r="L186" s="7"/>
      <c r="M186" s="7"/>
      <c r="N186" s="7"/>
      <c r="O186" s="7"/>
      <c r="P186" s="7"/>
      <c r="Q186" s="7"/>
      <c r="R186" s="7"/>
      <c r="S186" s="7"/>
      <c r="T186" s="7"/>
      <c r="U186" s="7"/>
      <c r="V186" s="7"/>
      <c r="W186" s="7"/>
      <c r="X186" s="7"/>
      <c r="Y186" s="7"/>
      <c r="Z186" s="7"/>
    </row>
    <row r="187" ht="13.5" customHeight="1">
      <c r="A187" s="7">
        <v>85.0</v>
      </c>
      <c r="B187" s="242">
        <v>131.86</v>
      </c>
      <c r="C187" s="242">
        <v>84.61</v>
      </c>
      <c r="D187" s="7">
        <f t="shared" ref="D187:E187" si="188">B187*1.2</f>
        <v>158.232</v>
      </c>
      <c r="E187" s="7">
        <f t="shared" si="188"/>
        <v>101.532</v>
      </c>
      <c r="F187" s="7"/>
      <c r="G187" s="7"/>
      <c r="H187" s="7"/>
      <c r="I187" s="7"/>
      <c r="J187" s="7"/>
      <c r="K187" s="7"/>
      <c r="L187" s="7"/>
      <c r="M187" s="7"/>
      <c r="N187" s="7"/>
      <c r="O187" s="7"/>
      <c r="P187" s="7"/>
      <c r="Q187" s="7"/>
      <c r="R187" s="7"/>
      <c r="S187" s="7"/>
      <c r="T187" s="7"/>
      <c r="U187" s="7"/>
      <c r="V187" s="7"/>
      <c r="W187" s="7"/>
      <c r="X187" s="7"/>
      <c r="Y187" s="7"/>
      <c r="Z187" s="7"/>
    </row>
    <row r="188" ht="13.5" customHeight="1">
      <c r="A188" s="7">
        <v>86.0</v>
      </c>
      <c r="B188" s="242">
        <v>144.11</v>
      </c>
      <c r="C188" s="242">
        <v>91.44</v>
      </c>
      <c r="D188" s="7">
        <f t="shared" ref="D188:E188" si="189">B188*1.2</f>
        <v>172.932</v>
      </c>
      <c r="E188" s="7">
        <f t="shared" si="189"/>
        <v>109.728</v>
      </c>
      <c r="F188" s="7"/>
      <c r="G188" s="7"/>
      <c r="H188" s="7"/>
      <c r="I188" s="7"/>
      <c r="J188" s="7"/>
      <c r="K188" s="7"/>
      <c r="L188" s="7"/>
      <c r="M188" s="7"/>
      <c r="N188" s="7"/>
      <c r="O188" s="7"/>
      <c r="P188" s="7"/>
      <c r="Q188" s="7"/>
      <c r="R188" s="7"/>
      <c r="S188" s="7"/>
      <c r="T188" s="7"/>
      <c r="U188" s="7"/>
      <c r="V188" s="7"/>
      <c r="W188" s="7"/>
      <c r="X188" s="7"/>
      <c r="Y188" s="7"/>
      <c r="Z188" s="7"/>
    </row>
    <row r="189" ht="13.5" customHeight="1">
      <c r="A189" s="7">
        <v>87.0</v>
      </c>
      <c r="B189" s="242">
        <v>157.33</v>
      </c>
      <c r="C189" s="242">
        <v>101.04</v>
      </c>
      <c r="D189" s="7">
        <f t="shared" ref="D189:E189" si="190">B189*1.2</f>
        <v>188.796</v>
      </c>
      <c r="E189" s="7">
        <f t="shared" si="190"/>
        <v>121.248</v>
      </c>
      <c r="F189" s="7"/>
      <c r="G189" s="7"/>
      <c r="H189" s="7"/>
      <c r="I189" s="7"/>
      <c r="J189" s="7"/>
      <c r="K189" s="7"/>
      <c r="L189" s="7"/>
      <c r="M189" s="7"/>
      <c r="N189" s="7"/>
      <c r="O189" s="7"/>
      <c r="P189" s="7"/>
      <c r="Q189" s="7"/>
      <c r="R189" s="7"/>
      <c r="S189" s="7"/>
      <c r="T189" s="7"/>
      <c r="U189" s="7"/>
      <c r="V189" s="7"/>
      <c r="W189" s="7"/>
      <c r="X189" s="7"/>
      <c r="Y189" s="7"/>
      <c r="Z189" s="7"/>
    </row>
    <row r="190" ht="13.5" customHeight="1">
      <c r="A190" s="7">
        <v>88.0</v>
      </c>
      <c r="B190" s="242">
        <v>171.34</v>
      </c>
      <c r="C190" s="242">
        <v>111.12</v>
      </c>
      <c r="D190" s="7">
        <f t="shared" ref="D190:E190" si="191">B190*1.2</f>
        <v>205.608</v>
      </c>
      <c r="E190" s="7">
        <f t="shared" si="191"/>
        <v>133.344</v>
      </c>
      <c r="F190" s="7"/>
      <c r="G190" s="7"/>
      <c r="H190" s="7"/>
      <c r="I190" s="7"/>
      <c r="J190" s="7"/>
      <c r="K190" s="7"/>
      <c r="L190" s="7"/>
      <c r="M190" s="7"/>
      <c r="N190" s="7"/>
      <c r="O190" s="7"/>
      <c r="P190" s="7"/>
      <c r="Q190" s="7"/>
      <c r="R190" s="7"/>
      <c r="S190" s="7"/>
      <c r="T190" s="7"/>
      <c r="U190" s="7"/>
      <c r="V190" s="7"/>
      <c r="W190" s="7"/>
      <c r="X190" s="7"/>
      <c r="Y190" s="7"/>
      <c r="Z190" s="7"/>
    </row>
    <row r="191" ht="13.5" customHeight="1">
      <c r="A191" s="7">
        <v>89.0</v>
      </c>
      <c r="B191" s="242">
        <v>186.0</v>
      </c>
      <c r="C191" s="242">
        <v>121.81</v>
      </c>
      <c r="D191" s="7">
        <f t="shared" ref="D191:E191" si="192">B191*1.2</f>
        <v>223.2</v>
      </c>
      <c r="E191" s="7">
        <f t="shared" si="192"/>
        <v>146.172</v>
      </c>
      <c r="F191" s="7"/>
      <c r="G191" s="7"/>
      <c r="H191" s="7"/>
      <c r="I191" s="7"/>
      <c r="J191" s="7"/>
      <c r="K191" s="7"/>
      <c r="L191" s="7"/>
      <c r="M191" s="7"/>
      <c r="N191" s="7"/>
      <c r="O191" s="7"/>
      <c r="P191" s="7"/>
      <c r="Q191" s="7"/>
      <c r="R191" s="7"/>
      <c r="S191" s="7"/>
      <c r="T191" s="7"/>
      <c r="U191" s="7"/>
      <c r="V191" s="7"/>
      <c r="W191" s="7"/>
      <c r="X191" s="7"/>
      <c r="Y191" s="7"/>
      <c r="Z191" s="7"/>
    </row>
    <row r="192" ht="13.5" customHeight="1">
      <c r="A192" s="7">
        <v>90.0</v>
      </c>
      <c r="B192" s="242">
        <v>201.16</v>
      </c>
      <c r="C192" s="242">
        <v>131.77</v>
      </c>
      <c r="D192" s="7">
        <f t="shared" ref="D192:E192" si="193">B192*1.2</f>
        <v>241.392</v>
      </c>
      <c r="E192" s="7">
        <f t="shared" si="193"/>
        <v>158.124</v>
      </c>
      <c r="F192" s="7"/>
      <c r="G192" s="7"/>
      <c r="H192" s="7"/>
      <c r="I192" s="7"/>
      <c r="J192" s="7"/>
      <c r="K192" s="7"/>
      <c r="L192" s="7"/>
      <c r="M192" s="7"/>
      <c r="N192" s="7"/>
      <c r="O192" s="7"/>
      <c r="P192" s="7"/>
      <c r="Q192" s="7"/>
      <c r="R192" s="7"/>
      <c r="S192" s="7"/>
      <c r="T192" s="7"/>
      <c r="U192" s="7"/>
      <c r="V192" s="7"/>
      <c r="W192" s="7"/>
      <c r="X192" s="7"/>
      <c r="Y192" s="7"/>
      <c r="Z192" s="7"/>
    </row>
    <row r="193" ht="13.5" customHeight="1">
      <c r="A193" s="7">
        <v>91.0</v>
      </c>
      <c r="B193" s="242">
        <v>215.35</v>
      </c>
      <c r="C193" s="242">
        <v>137.91</v>
      </c>
      <c r="D193" s="7">
        <f t="shared" ref="D193:E193" si="194">B193*1.2</f>
        <v>258.42</v>
      </c>
      <c r="E193" s="7">
        <f t="shared" si="194"/>
        <v>165.492</v>
      </c>
      <c r="F193" s="7"/>
      <c r="G193" s="7"/>
      <c r="H193" s="7"/>
      <c r="I193" s="7"/>
      <c r="J193" s="7"/>
      <c r="K193" s="7"/>
      <c r="L193" s="7"/>
      <c r="M193" s="7"/>
      <c r="N193" s="7"/>
      <c r="O193" s="7"/>
      <c r="P193" s="7"/>
      <c r="Q193" s="7"/>
      <c r="R193" s="7"/>
      <c r="S193" s="7"/>
      <c r="T193" s="7"/>
      <c r="U193" s="7"/>
      <c r="V193" s="7"/>
      <c r="W193" s="7"/>
      <c r="X193" s="7"/>
      <c r="Y193" s="7"/>
      <c r="Z193" s="7"/>
    </row>
    <row r="194" ht="13.5" customHeight="1">
      <c r="A194" s="7">
        <v>92.0</v>
      </c>
      <c r="B194" s="242">
        <v>230.06</v>
      </c>
      <c r="C194" s="242">
        <v>148.3</v>
      </c>
      <c r="D194" s="7">
        <f t="shared" ref="D194:E194" si="195">B194*1.2</f>
        <v>276.072</v>
      </c>
      <c r="E194" s="7">
        <f t="shared" si="195"/>
        <v>177.96</v>
      </c>
      <c r="F194" s="7"/>
      <c r="G194" s="7"/>
      <c r="H194" s="7"/>
      <c r="I194" s="7"/>
      <c r="J194" s="7"/>
      <c r="K194" s="7"/>
      <c r="L194" s="7"/>
      <c r="M194" s="7"/>
      <c r="N194" s="7"/>
      <c r="O194" s="7"/>
      <c r="P194" s="7"/>
      <c r="Q194" s="7"/>
      <c r="R194" s="7"/>
      <c r="S194" s="7"/>
      <c r="T194" s="7"/>
      <c r="U194" s="7"/>
      <c r="V194" s="7"/>
      <c r="W194" s="7"/>
      <c r="X194" s="7"/>
      <c r="Y194" s="7"/>
      <c r="Z194" s="7"/>
    </row>
    <row r="195" ht="13.5" customHeight="1">
      <c r="A195" s="7">
        <v>93.0</v>
      </c>
      <c r="B195" s="242">
        <v>245.48</v>
      </c>
      <c r="C195" s="242">
        <v>162.59</v>
      </c>
      <c r="D195" s="7">
        <f t="shared" ref="D195:E195" si="196">B195*1.2</f>
        <v>294.576</v>
      </c>
      <c r="E195" s="7">
        <f t="shared" si="196"/>
        <v>195.108</v>
      </c>
      <c r="F195" s="7"/>
      <c r="G195" s="7"/>
      <c r="H195" s="7"/>
      <c r="I195" s="7"/>
      <c r="J195" s="7"/>
      <c r="K195" s="7"/>
      <c r="L195" s="7"/>
      <c r="M195" s="7"/>
      <c r="N195" s="7"/>
      <c r="O195" s="7"/>
      <c r="P195" s="7"/>
      <c r="Q195" s="7"/>
      <c r="R195" s="7"/>
      <c r="S195" s="7"/>
      <c r="T195" s="7"/>
      <c r="U195" s="7"/>
      <c r="V195" s="7"/>
      <c r="W195" s="7"/>
      <c r="X195" s="7"/>
      <c r="Y195" s="7"/>
      <c r="Z195" s="7"/>
    </row>
    <row r="196" ht="13.5" customHeight="1">
      <c r="A196" s="7">
        <v>94.0</v>
      </c>
      <c r="B196" s="242">
        <v>261.67</v>
      </c>
      <c r="C196" s="242">
        <v>180.08</v>
      </c>
      <c r="D196" s="7">
        <f t="shared" ref="D196:E196" si="197">B196*1.2</f>
        <v>314.004</v>
      </c>
      <c r="E196" s="7">
        <f t="shared" si="197"/>
        <v>216.096</v>
      </c>
      <c r="F196" s="7"/>
      <c r="G196" s="7"/>
      <c r="H196" s="7"/>
      <c r="I196" s="7"/>
      <c r="J196" s="7"/>
      <c r="K196" s="7"/>
      <c r="L196" s="7"/>
      <c r="M196" s="7"/>
      <c r="N196" s="7"/>
      <c r="O196" s="7"/>
      <c r="P196" s="7"/>
      <c r="Q196" s="7"/>
      <c r="R196" s="7"/>
      <c r="S196" s="7"/>
      <c r="T196" s="7"/>
      <c r="U196" s="7"/>
      <c r="V196" s="7"/>
      <c r="W196" s="7"/>
      <c r="X196" s="7"/>
      <c r="Y196" s="7"/>
      <c r="Z196" s="7"/>
    </row>
    <row r="197" ht="13.5" customHeight="1">
      <c r="A197" s="7">
        <v>95.0</v>
      </c>
      <c r="B197" s="242">
        <v>278.66</v>
      </c>
      <c r="C197" s="242">
        <v>201.3</v>
      </c>
      <c r="D197" s="7">
        <f t="shared" ref="D197:E197" si="198">B197*1.2</f>
        <v>334.392</v>
      </c>
      <c r="E197" s="7">
        <f t="shared" si="198"/>
        <v>241.56</v>
      </c>
      <c r="F197" s="7"/>
      <c r="G197" s="7"/>
      <c r="H197" s="7"/>
      <c r="I197" s="7"/>
      <c r="J197" s="7"/>
      <c r="K197" s="7"/>
      <c r="L197" s="7"/>
      <c r="M197" s="7"/>
      <c r="N197" s="7"/>
      <c r="O197" s="7"/>
      <c r="P197" s="7"/>
      <c r="Q197" s="7"/>
      <c r="R197" s="7"/>
      <c r="S197" s="7"/>
      <c r="T197" s="7"/>
      <c r="U197" s="7"/>
      <c r="V197" s="7"/>
      <c r="W197" s="7"/>
      <c r="X197" s="7"/>
      <c r="Y197" s="7"/>
      <c r="Z197" s="7"/>
    </row>
    <row r="198" ht="13.5" customHeight="1">
      <c r="A198" s="7">
        <v>96.0</v>
      </c>
      <c r="B198" s="242">
        <v>294.31</v>
      </c>
      <c r="C198" s="242">
        <v>219.23</v>
      </c>
      <c r="D198" s="7">
        <f t="shared" ref="D198:E198" si="199">B198*1.2</f>
        <v>353.172</v>
      </c>
      <c r="E198" s="7">
        <f t="shared" si="199"/>
        <v>263.076</v>
      </c>
      <c r="F198" s="7"/>
      <c r="G198" s="7"/>
      <c r="H198" s="7"/>
      <c r="I198" s="7"/>
      <c r="J198" s="7"/>
      <c r="K198" s="7"/>
      <c r="L198" s="7"/>
      <c r="M198" s="7"/>
      <c r="N198" s="7"/>
      <c r="O198" s="7"/>
      <c r="P198" s="7"/>
      <c r="Q198" s="7"/>
      <c r="R198" s="7"/>
      <c r="S198" s="7"/>
      <c r="T198" s="7"/>
      <c r="U198" s="7"/>
      <c r="V198" s="7"/>
      <c r="W198" s="7"/>
      <c r="X198" s="7"/>
      <c r="Y198" s="7"/>
      <c r="Z198" s="7"/>
    </row>
    <row r="199" ht="13.5" customHeight="1">
      <c r="A199" s="7">
        <v>97.0</v>
      </c>
      <c r="B199" s="242">
        <v>310.93</v>
      </c>
      <c r="C199" s="242">
        <v>233.56</v>
      </c>
      <c r="D199" s="7">
        <f t="shared" ref="D199:E199" si="200">B199*1.2</f>
        <v>373.116</v>
      </c>
      <c r="E199" s="7">
        <f t="shared" si="200"/>
        <v>280.272</v>
      </c>
      <c r="F199" s="7"/>
      <c r="G199" s="7"/>
      <c r="H199" s="7"/>
      <c r="I199" s="7"/>
      <c r="J199" s="7"/>
      <c r="K199" s="7"/>
      <c r="L199" s="7"/>
      <c r="M199" s="7"/>
      <c r="N199" s="7"/>
      <c r="O199" s="7"/>
      <c r="P199" s="7"/>
      <c r="Q199" s="7"/>
      <c r="R199" s="7"/>
      <c r="S199" s="7"/>
      <c r="T199" s="7"/>
      <c r="U199" s="7"/>
      <c r="V199" s="7"/>
      <c r="W199" s="7"/>
      <c r="X199" s="7"/>
      <c r="Y199" s="7"/>
      <c r="Z199" s="7"/>
    </row>
    <row r="200" ht="13.5" customHeight="1">
      <c r="A200" s="7">
        <v>98.0</v>
      </c>
      <c r="B200" s="242">
        <v>328.61</v>
      </c>
      <c r="C200" s="242">
        <v>249.72</v>
      </c>
      <c r="D200" s="7">
        <f t="shared" ref="D200:E200" si="201">B200*1.2</f>
        <v>394.332</v>
      </c>
      <c r="E200" s="7">
        <f t="shared" si="201"/>
        <v>299.664</v>
      </c>
      <c r="F200" s="7"/>
      <c r="G200" s="7"/>
      <c r="H200" s="7"/>
      <c r="I200" s="7"/>
      <c r="J200" s="7"/>
      <c r="K200" s="7"/>
      <c r="L200" s="7"/>
      <c r="M200" s="7"/>
      <c r="N200" s="7"/>
      <c r="O200" s="7"/>
      <c r="P200" s="7"/>
      <c r="Q200" s="7"/>
      <c r="R200" s="7"/>
      <c r="S200" s="7"/>
      <c r="T200" s="7"/>
      <c r="U200" s="7"/>
      <c r="V200" s="7"/>
      <c r="W200" s="7"/>
      <c r="X200" s="7"/>
      <c r="Y200" s="7"/>
      <c r="Z200" s="7"/>
    </row>
    <row r="201" ht="13.5" customHeight="1">
      <c r="A201" s="7">
        <v>99.0</v>
      </c>
      <c r="B201" s="242">
        <v>347.42</v>
      </c>
      <c r="C201" s="242">
        <v>264.18</v>
      </c>
      <c r="D201" s="7">
        <f t="shared" ref="D201:E201" si="202">B201*1.2</f>
        <v>416.904</v>
      </c>
      <c r="E201" s="7">
        <f t="shared" si="202"/>
        <v>317.016</v>
      </c>
      <c r="F201" s="7"/>
      <c r="G201" s="7"/>
      <c r="H201" s="7"/>
      <c r="I201" s="7"/>
      <c r="J201" s="7"/>
      <c r="K201" s="7"/>
      <c r="L201" s="7"/>
      <c r="M201" s="7"/>
      <c r="N201" s="7"/>
      <c r="O201" s="7"/>
      <c r="P201" s="7"/>
      <c r="Q201" s="7"/>
      <c r="R201" s="7"/>
      <c r="S201" s="7"/>
      <c r="T201" s="7"/>
      <c r="U201" s="7"/>
      <c r="V201" s="7"/>
      <c r="W201" s="7"/>
      <c r="X201" s="7"/>
      <c r="Y201" s="7"/>
      <c r="Z201" s="7"/>
    </row>
    <row r="202" ht="13.5" customHeight="1">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row>
    <row r="203" ht="13.5" customHeight="1">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row>
    <row r="204" ht="13.5" customHeight="1">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row>
    <row r="205" ht="13.5" customHeight="1">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row>
    <row r="206" ht="13.5" customHeight="1">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row>
    <row r="207" ht="13.5" customHeight="1">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row>
    <row r="208" ht="13.5" customHeight="1">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row>
    <row r="209" ht="13.5" customHeight="1">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row>
    <row r="210" ht="13.5" customHeight="1">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row>
    <row r="211" ht="13.5" customHeight="1">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row>
    <row r="212" ht="13.5" customHeight="1">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row>
    <row r="213" ht="13.5" customHeight="1">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row>
    <row r="214" ht="13.5" customHeight="1">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row>
    <row r="215" ht="13.5" customHeight="1">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row>
    <row r="216" ht="13.5" customHeight="1">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row>
    <row r="217" ht="13.5" customHeight="1">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row>
    <row r="218" ht="13.5" customHeight="1">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row>
    <row r="219" ht="13.5" customHeight="1">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row>
    <row r="220" ht="13.5" customHeight="1">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row>
    <row r="221" ht="13.5" customHeight="1">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row>
    <row r="222" ht="13.5" customHeight="1">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row>
    <row r="223" ht="13.5" customHeight="1">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row>
    <row r="224" ht="13.5" customHeight="1">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row>
    <row r="225" ht="13.5" customHeight="1">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row>
    <row r="226" ht="13.5" customHeight="1">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row>
    <row r="227" ht="13.5" customHeight="1">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row>
    <row r="228" ht="13.5" customHeight="1">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row>
    <row r="229" ht="13.5" customHeight="1">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row>
    <row r="230" ht="13.5" customHeight="1">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row>
    <row r="231" ht="13.5" customHeight="1">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row>
    <row r="232" ht="13.5" customHeight="1">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row>
    <row r="233" ht="13.5" customHeight="1">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row>
    <row r="234" ht="13.5" customHeight="1">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row>
    <row r="235" ht="13.5" customHeight="1">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row>
    <row r="236" ht="13.5" customHeight="1">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row>
    <row r="237" ht="13.5" customHeight="1">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row>
    <row r="238" ht="13.5" customHeight="1">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row>
    <row r="239" ht="13.5" customHeight="1">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row>
    <row r="240" ht="13.5" customHeight="1">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row>
    <row r="241" ht="13.5" customHeight="1">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row>
    <row r="242" ht="13.5" customHeight="1">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row>
    <row r="243" ht="13.5" customHeight="1">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row>
    <row r="244" ht="13.5" customHeight="1">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row>
    <row r="245" ht="13.5" customHeight="1">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row>
    <row r="246" ht="13.5" customHeight="1">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row>
    <row r="247" ht="13.5" customHeight="1">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row>
    <row r="248" ht="13.5" customHeight="1">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row>
    <row r="249" ht="13.5" customHeight="1">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row>
    <row r="250" ht="13.5" customHeight="1">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row>
    <row r="251" ht="13.5" customHeight="1">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row>
    <row r="252" ht="13.5" customHeight="1">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row>
    <row r="253" ht="13.5" customHeight="1">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row>
    <row r="254" ht="13.5" customHeight="1">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row>
    <row r="255" ht="13.5" customHeight="1">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row>
    <row r="256" ht="13.5" customHeight="1">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row>
    <row r="257" ht="13.5" customHeight="1">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row>
    <row r="258" ht="13.5" customHeight="1">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row>
    <row r="259" ht="13.5" customHeight="1">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row>
    <row r="260" ht="13.5" customHeight="1">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row>
    <row r="261" ht="13.5" customHeight="1">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row>
    <row r="262" ht="13.5" customHeight="1">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row>
    <row r="263" ht="13.5" customHeight="1">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row>
    <row r="264" ht="13.5" customHeight="1">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row>
    <row r="265" ht="13.5" customHeight="1">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row>
    <row r="266" ht="13.5" customHeight="1">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row>
    <row r="267" ht="13.5" customHeight="1">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row>
    <row r="268" ht="13.5" customHeight="1">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row>
    <row r="269" ht="13.5" customHeight="1">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row>
    <row r="270" ht="13.5" customHeight="1">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row>
    <row r="271" ht="13.5" customHeight="1">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row>
    <row r="272" ht="13.5" customHeight="1">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row>
    <row r="273" ht="13.5" customHeight="1">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row>
    <row r="274" ht="13.5" customHeight="1">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row>
    <row r="275" ht="13.5" customHeight="1">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row>
    <row r="276" ht="13.5" customHeight="1">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row>
    <row r="277" ht="13.5" customHeight="1">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row>
    <row r="278" ht="13.5" customHeight="1">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row>
    <row r="279" ht="13.5" customHeight="1">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row>
    <row r="280" ht="13.5" customHeight="1">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row>
    <row r="281" ht="13.5" customHeight="1">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row>
    <row r="282" ht="13.5" customHeight="1">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row>
    <row r="283" ht="13.5" customHeight="1">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row>
    <row r="284" ht="13.5" customHeight="1">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row>
    <row r="285" ht="13.5" customHeight="1">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row>
    <row r="286" ht="13.5" customHeight="1">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row>
    <row r="287" ht="13.5" customHeight="1">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row>
    <row r="288" ht="13.5" customHeight="1">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row>
    <row r="289" ht="13.5" customHeight="1">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row>
    <row r="290" ht="13.5" customHeight="1">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row>
    <row r="291" ht="13.5" customHeight="1">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row>
    <row r="292" ht="13.5" customHeight="1">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row>
    <row r="293" ht="13.5" customHeight="1">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row>
    <row r="294" ht="13.5" customHeight="1">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row>
    <row r="295" ht="13.5" customHeight="1">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row>
    <row r="296" ht="13.5" customHeight="1">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row>
    <row r="297" ht="13.5" customHeight="1">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row>
    <row r="298" ht="13.5" customHeight="1">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row>
    <row r="299" ht="13.5" customHeight="1">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row>
    <row r="300" ht="13.5" customHeight="1">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row>
    <row r="301" ht="13.5" customHeight="1">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row>
    <row r="302" ht="13.5" customHeight="1">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row>
    <row r="303" ht="13.5" customHeight="1">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row>
    <row r="304" ht="13.5" customHeight="1">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row>
    <row r="305" ht="13.5" customHeight="1">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row>
    <row r="306" ht="13.5" customHeight="1">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row>
    <row r="307" ht="13.5" customHeight="1">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row>
    <row r="308" ht="13.5" customHeight="1">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row>
    <row r="309" ht="13.5" customHeight="1">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row>
    <row r="310" ht="13.5" customHeight="1">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row>
    <row r="311" ht="13.5" customHeight="1">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row>
    <row r="312" ht="13.5" customHeight="1">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row>
    <row r="313" ht="13.5" customHeight="1">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row>
    <row r="314" ht="13.5" customHeight="1">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row>
    <row r="315" ht="13.5" customHeight="1">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row>
    <row r="316" ht="13.5" customHeight="1">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row>
    <row r="317" ht="13.5" customHeight="1">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row>
    <row r="318" ht="13.5" customHeight="1">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row>
    <row r="319" ht="13.5" customHeight="1">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row>
    <row r="320" ht="13.5" customHeight="1">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row>
    <row r="321" ht="13.5" customHeight="1">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row>
    <row r="322" ht="13.5" customHeight="1">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row>
    <row r="323" ht="13.5" customHeight="1">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row>
    <row r="324" ht="13.5" customHeight="1">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row>
    <row r="325" ht="13.5" customHeight="1">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row>
    <row r="326" ht="13.5" customHeight="1">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row>
    <row r="327" ht="13.5" customHeight="1">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row>
    <row r="328" ht="13.5" customHeight="1">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row>
    <row r="329" ht="13.5" customHeight="1">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row>
    <row r="330" ht="13.5" customHeight="1">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row>
    <row r="331" ht="13.5" customHeight="1">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row>
    <row r="332" ht="13.5" customHeight="1">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row>
    <row r="333" ht="13.5" customHeight="1">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row>
    <row r="334" ht="13.5" customHeight="1">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row>
    <row r="335" ht="13.5" customHeight="1">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row>
    <row r="336" ht="13.5" customHeight="1">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row>
    <row r="337" ht="13.5" customHeight="1">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row>
    <row r="338" ht="13.5" customHeight="1">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row>
    <row r="339" ht="13.5" customHeight="1">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row>
    <row r="340" ht="13.5" customHeight="1">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row>
    <row r="341" ht="13.5" customHeight="1">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row>
    <row r="342" ht="13.5" customHeight="1">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row>
    <row r="343" ht="13.5" customHeight="1">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row>
    <row r="344" ht="13.5" customHeight="1">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row>
    <row r="345" ht="13.5" customHeight="1">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row>
    <row r="346" ht="13.5" customHeight="1">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row>
    <row r="347" ht="13.5" customHeight="1">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row>
    <row r="348" ht="13.5" customHeight="1">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row>
    <row r="349" ht="13.5" customHeight="1">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row>
    <row r="350" ht="13.5" customHeight="1">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row>
    <row r="351" ht="13.5" customHeight="1">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row>
    <row r="352" ht="13.5" customHeight="1">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row>
    <row r="353" ht="13.5" customHeight="1">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row>
    <row r="354" ht="13.5" customHeight="1">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row>
    <row r="355" ht="13.5" customHeight="1">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row>
    <row r="356" ht="13.5" customHeight="1">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row>
    <row r="357" ht="13.5" customHeight="1">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row>
    <row r="358" ht="13.5" customHeight="1">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row>
    <row r="359" ht="13.5" customHeight="1">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row>
    <row r="360" ht="13.5" customHeight="1">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row>
    <row r="361" ht="13.5" customHeight="1">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row>
    <row r="362" ht="13.5" customHeight="1">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row>
    <row r="363" ht="13.5" customHeight="1">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row>
    <row r="364" ht="13.5" customHeight="1">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row>
    <row r="365" ht="13.5" customHeight="1">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row>
    <row r="366" ht="13.5" customHeight="1">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row>
    <row r="367" ht="13.5" customHeight="1">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row>
    <row r="368" ht="13.5" customHeight="1">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row>
    <row r="369" ht="13.5" customHeight="1">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row>
    <row r="370" ht="13.5" customHeight="1">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row>
    <row r="371" ht="13.5" customHeight="1">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row>
    <row r="372" ht="13.5" customHeight="1">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row>
    <row r="373" ht="13.5" customHeight="1">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row>
    <row r="374" ht="13.5" customHeight="1">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row>
    <row r="375" ht="13.5" customHeight="1">
      <c r="A375" s="7"/>
      <c r="B375" s="7"/>
      <c r="C375" s="7"/>
      <c r="D375" s="7"/>
      <c r="E375" s="7"/>
      <c r="F375" s="7"/>
      <c r="G375" s="7"/>
      <c r="H375" s="7"/>
      <c r="I375" s="7"/>
      <c r="J375" s="7"/>
      <c r="K375" s="7"/>
      <c r="L375" s="7"/>
      <c r="M375" s="7"/>
      <c r="N375" s="7"/>
      <c r="O375" s="7"/>
      <c r="P375" s="7"/>
      <c r="Q375" s="7"/>
      <c r="R375" s="7"/>
      <c r="S375" s="7"/>
      <c r="T375" s="7"/>
      <c r="U375" s="7"/>
      <c r="V375" s="7"/>
      <c r="W375" s="7"/>
      <c r="X375" s="7"/>
      <c r="Y375" s="7"/>
      <c r="Z375" s="7"/>
    </row>
    <row r="376" ht="13.5" customHeight="1">
      <c r="A376" s="7"/>
      <c r="B376" s="7"/>
      <c r="C376" s="7"/>
      <c r="D376" s="7"/>
      <c r="E376" s="7"/>
      <c r="F376" s="7"/>
      <c r="G376" s="7"/>
      <c r="H376" s="7"/>
      <c r="I376" s="7"/>
      <c r="J376" s="7"/>
      <c r="K376" s="7"/>
      <c r="L376" s="7"/>
      <c r="M376" s="7"/>
      <c r="N376" s="7"/>
      <c r="O376" s="7"/>
      <c r="P376" s="7"/>
      <c r="Q376" s="7"/>
      <c r="R376" s="7"/>
      <c r="S376" s="7"/>
      <c r="T376" s="7"/>
      <c r="U376" s="7"/>
      <c r="V376" s="7"/>
      <c r="W376" s="7"/>
      <c r="X376" s="7"/>
      <c r="Y376" s="7"/>
      <c r="Z376" s="7"/>
    </row>
    <row r="377" ht="13.5" customHeight="1">
      <c r="A377" s="7"/>
      <c r="B377" s="7"/>
      <c r="C377" s="7"/>
      <c r="D377" s="7"/>
      <c r="E377" s="7"/>
      <c r="F377" s="7"/>
      <c r="G377" s="7"/>
      <c r="H377" s="7"/>
      <c r="I377" s="7"/>
      <c r="J377" s="7"/>
      <c r="K377" s="7"/>
      <c r="L377" s="7"/>
      <c r="M377" s="7"/>
      <c r="N377" s="7"/>
      <c r="O377" s="7"/>
      <c r="P377" s="7"/>
      <c r="Q377" s="7"/>
      <c r="R377" s="7"/>
      <c r="S377" s="7"/>
      <c r="T377" s="7"/>
      <c r="U377" s="7"/>
      <c r="V377" s="7"/>
      <c r="W377" s="7"/>
      <c r="X377" s="7"/>
      <c r="Y377" s="7"/>
      <c r="Z377" s="7"/>
    </row>
    <row r="378" ht="13.5" customHeight="1">
      <c r="A378" s="7"/>
      <c r="B378" s="7"/>
      <c r="C378" s="7"/>
      <c r="D378" s="7"/>
      <c r="E378" s="7"/>
      <c r="F378" s="7"/>
      <c r="G378" s="7"/>
      <c r="H378" s="7"/>
      <c r="I378" s="7"/>
      <c r="J378" s="7"/>
      <c r="K378" s="7"/>
      <c r="L378" s="7"/>
      <c r="M378" s="7"/>
      <c r="N378" s="7"/>
      <c r="O378" s="7"/>
      <c r="P378" s="7"/>
      <c r="Q378" s="7"/>
      <c r="R378" s="7"/>
      <c r="S378" s="7"/>
      <c r="T378" s="7"/>
      <c r="U378" s="7"/>
      <c r="V378" s="7"/>
      <c r="W378" s="7"/>
      <c r="X378" s="7"/>
      <c r="Y378" s="7"/>
      <c r="Z378" s="7"/>
    </row>
    <row r="379" ht="13.5" customHeight="1">
      <c r="A379" s="7"/>
      <c r="B379" s="7"/>
      <c r="C379" s="7"/>
      <c r="D379" s="7"/>
      <c r="E379" s="7"/>
      <c r="F379" s="7"/>
      <c r="G379" s="7"/>
      <c r="H379" s="7"/>
      <c r="I379" s="7"/>
      <c r="J379" s="7"/>
      <c r="K379" s="7"/>
      <c r="L379" s="7"/>
      <c r="M379" s="7"/>
      <c r="N379" s="7"/>
      <c r="O379" s="7"/>
      <c r="P379" s="7"/>
      <c r="Q379" s="7"/>
      <c r="R379" s="7"/>
      <c r="S379" s="7"/>
      <c r="T379" s="7"/>
      <c r="U379" s="7"/>
      <c r="V379" s="7"/>
      <c r="W379" s="7"/>
      <c r="X379" s="7"/>
      <c r="Y379" s="7"/>
      <c r="Z379" s="7"/>
    </row>
    <row r="380" ht="13.5" customHeight="1">
      <c r="A380" s="7"/>
      <c r="B380" s="7"/>
      <c r="C380" s="7"/>
      <c r="D380" s="7"/>
      <c r="E380" s="7"/>
      <c r="F380" s="7"/>
      <c r="G380" s="7"/>
      <c r="H380" s="7"/>
      <c r="I380" s="7"/>
      <c r="J380" s="7"/>
      <c r="K380" s="7"/>
      <c r="L380" s="7"/>
      <c r="M380" s="7"/>
      <c r="N380" s="7"/>
      <c r="O380" s="7"/>
      <c r="P380" s="7"/>
      <c r="Q380" s="7"/>
      <c r="R380" s="7"/>
      <c r="S380" s="7"/>
      <c r="T380" s="7"/>
      <c r="U380" s="7"/>
      <c r="V380" s="7"/>
      <c r="W380" s="7"/>
      <c r="X380" s="7"/>
      <c r="Y380" s="7"/>
      <c r="Z380" s="7"/>
    </row>
    <row r="381" ht="13.5" customHeight="1">
      <c r="A381" s="7"/>
      <c r="B381" s="7"/>
      <c r="C381" s="7"/>
      <c r="D381" s="7"/>
      <c r="E381" s="7"/>
      <c r="F381" s="7"/>
      <c r="G381" s="7"/>
      <c r="H381" s="7"/>
      <c r="I381" s="7"/>
      <c r="J381" s="7"/>
      <c r="K381" s="7"/>
      <c r="L381" s="7"/>
      <c r="M381" s="7"/>
      <c r="N381" s="7"/>
      <c r="O381" s="7"/>
      <c r="P381" s="7"/>
      <c r="Q381" s="7"/>
      <c r="R381" s="7"/>
      <c r="S381" s="7"/>
      <c r="T381" s="7"/>
      <c r="U381" s="7"/>
      <c r="V381" s="7"/>
      <c r="W381" s="7"/>
      <c r="X381" s="7"/>
      <c r="Y381" s="7"/>
      <c r="Z381" s="7"/>
    </row>
    <row r="382" ht="13.5" customHeight="1">
      <c r="A382" s="7"/>
      <c r="B382" s="7"/>
      <c r="C382" s="7"/>
      <c r="D382" s="7"/>
      <c r="E382" s="7"/>
      <c r="F382" s="7"/>
      <c r="G382" s="7"/>
      <c r="H382" s="7"/>
      <c r="I382" s="7"/>
      <c r="J382" s="7"/>
      <c r="K382" s="7"/>
      <c r="L382" s="7"/>
      <c r="M382" s="7"/>
      <c r="N382" s="7"/>
      <c r="O382" s="7"/>
      <c r="P382" s="7"/>
      <c r="Q382" s="7"/>
      <c r="R382" s="7"/>
      <c r="S382" s="7"/>
      <c r="T382" s="7"/>
      <c r="U382" s="7"/>
      <c r="V382" s="7"/>
      <c r="W382" s="7"/>
      <c r="X382" s="7"/>
      <c r="Y382" s="7"/>
      <c r="Z382" s="7"/>
    </row>
    <row r="383" ht="13.5" customHeight="1">
      <c r="A383" s="7"/>
      <c r="B383" s="7"/>
      <c r="C383" s="7"/>
      <c r="D383" s="7"/>
      <c r="E383" s="7"/>
      <c r="F383" s="7"/>
      <c r="G383" s="7"/>
      <c r="H383" s="7"/>
      <c r="I383" s="7"/>
      <c r="J383" s="7"/>
      <c r="K383" s="7"/>
      <c r="L383" s="7"/>
      <c r="M383" s="7"/>
      <c r="N383" s="7"/>
      <c r="O383" s="7"/>
      <c r="P383" s="7"/>
      <c r="Q383" s="7"/>
      <c r="R383" s="7"/>
      <c r="S383" s="7"/>
      <c r="T383" s="7"/>
      <c r="U383" s="7"/>
      <c r="V383" s="7"/>
      <c r="W383" s="7"/>
      <c r="X383" s="7"/>
      <c r="Y383" s="7"/>
      <c r="Z383" s="7"/>
    </row>
    <row r="384" ht="13.5" customHeight="1">
      <c r="A384" s="7"/>
      <c r="B384" s="7"/>
      <c r="C384" s="7"/>
      <c r="D384" s="7"/>
      <c r="E384" s="7"/>
      <c r="F384" s="7"/>
      <c r="G384" s="7"/>
      <c r="H384" s="7"/>
      <c r="I384" s="7"/>
      <c r="J384" s="7"/>
      <c r="K384" s="7"/>
      <c r="L384" s="7"/>
      <c r="M384" s="7"/>
      <c r="N384" s="7"/>
      <c r="O384" s="7"/>
      <c r="P384" s="7"/>
      <c r="Q384" s="7"/>
      <c r="R384" s="7"/>
      <c r="S384" s="7"/>
      <c r="T384" s="7"/>
      <c r="U384" s="7"/>
      <c r="V384" s="7"/>
      <c r="W384" s="7"/>
      <c r="X384" s="7"/>
      <c r="Y384" s="7"/>
      <c r="Z384" s="7"/>
    </row>
    <row r="385" ht="13.5" customHeight="1">
      <c r="A385" s="7"/>
      <c r="B385" s="7"/>
      <c r="C385" s="7"/>
      <c r="D385" s="7"/>
      <c r="E385" s="7"/>
      <c r="F385" s="7"/>
      <c r="G385" s="7"/>
      <c r="H385" s="7"/>
      <c r="I385" s="7"/>
      <c r="J385" s="7"/>
      <c r="K385" s="7"/>
      <c r="L385" s="7"/>
      <c r="M385" s="7"/>
      <c r="N385" s="7"/>
      <c r="O385" s="7"/>
      <c r="P385" s="7"/>
      <c r="Q385" s="7"/>
      <c r="R385" s="7"/>
      <c r="S385" s="7"/>
      <c r="T385" s="7"/>
      <c r="U385" s="7"/>
      <c r="V385" s="7"/>
      <c r="W385" s="7"/>
      <c r="X385" s="7"/>
      <c r="Y385" s="7"/>
      <c r="Z385" s="7"/>
    </row>
    <row r="386" ht="13.5" customHeight="1">
      <c r="A386" s="7"/>
      <c r="B386" s="7"/>
      <c r="C386" s="7"/>
      <c r="D386" s="7"/>
      <c r="E386" s="7"/>
      <c r="F386" s="7"/>
      <c r="G386" s="7"/>
      <c r="H386" s="7"/>
      <c r="I386" s="7"/>
      <c r="J386" s="7"/>
      <c r="K386" s="7"/>
      <c r="L386" s="7"/>
      <c r="M386" s="7"/>
      <c r="N386" s="7"/>
      <c r="O386" s="7"/>
      <c r="P386" s="7"/>
      <c r="Q386" s="7"/>
      <c r="R386" s="7"/>
      <c r="S386" s="7"/>
      <c r="T386" s="7"/>
      <c r="U386" s="7"/>
      <c r="V386" s="7"/>
      <c r="W386" s="7"/>
      <c r="X386" s="7"/>
      <c r="Y386" s="7"/>
      <c r="Z386" s="7"/>
    </row>
    <row r="387" ht="13.5" customHeight="1">
      <c r="A387" s="7"/>
      <c r="B387" s="7"/>
      <c r="C387" s="7"/>
      <c r="D387" s="7"/>
      <c r="E387" s="7"/>
      <c r="F387" s="7"/>
      <c r="G387" s="7"/>
      <c r="H387" s="7"/>
      <c r="I387" s="7"/>
      <c r="J387" s="7"/>
      <c r="K387" s="7"/>
      <c r="L387" s="7"/>
      <c r="M387" s="7"/>
      <c r="N387" s="7"/>
      <c r="O387" s="7"/>
      <c r="P387" s="7"/>
      <c r="Q387" s="7"/>
      <c r="R387" s="7"/>
      <c r="S387" s="7"/>
      <c r="T387" s="7"/>
      <c r="U387" s="7"/>
      <c r="V387" s="7"/>
      <c r="W387" s="7"/>
      <c r="X387" s="7"/>
      <c r="Y387" s="7"/>
      <c r="Z387" s="7"/>
    </row>
    <row r="388" ht="13.5" customHeight="1">
      <c r="A388" s="7"/>
      <c r="B388" s="7"/>
      <c r="C388" s="7"/>
      <c r="D388" s="7"/>
      <c r="E388" s="7"/>
      <c r="F388" s="7"/>
      <c r="G388" s="7"/>
      <c r="H388" s="7"/>
      <c r="I388" s="7"/>
      <c r="J388" s="7"/>
      <c r="K388" s="7"/>
      <c r="L388" s="7"/>
      <c r="M388" s="7"/>
      <c r="N388" s="7"/>
      <c r="O388" s="7"/>
      <c r="P388" s="7"/>
      <c r="Q388" s="7"/>
      <c r="R388" s="7"/>
      <c r="S388" s="7"/>
      <c r="T388" s="7"/>
      <c r="U388" s="7"/>
      <c r="V388" s="7"/>
      <c r="W388" s="7"/>
      <c r="X388" s="7"/>
      <c r="Y388" s="7"/>
      <c r="Z388" s="7"/>
    </row>
    <row r="389" ht="13.5" customHeight="1">
      <c r="A389" s="7"/>
      <c r="B389" s="7"/>
      <c r="C389" s="7"/>
      <c r="D389" s="7"/>
      <c r="E389" s="7"/>
      <c r="F389" s="7"/>
      <c r="G389" s="7"/>
      <c r="H389" s="7"/>
      <c r="I389" s="7"/>
      <c r="J389" s="7"/>
      <c r="K389" s="7"/>
      <c r="L389" s="7"/>
      <c r="M389" s="7"/>
      <c r="N389" s="7"/>
      <c r="O389" s="7"/>
      <c r="P389" s="7"/>
      <c r="Q389" s="7"/>
      <c r="R389" s="7"/>
      <c r="S389" s="7"/>
      <c r="T389" s="7"/>
      <c r="U389" s="7"/>
      <c r="V389" s="7"/>
      <c r="W389" s="7"/>
      <c r="X389" s="7"/>
      <c r="Y389" s="7"/>
      <c r="Z389" s="7"/>
    </row>
    <row r="390" ht="13.5" customHeight="1">
      <c r="A390" s="7"/>
      <c r="B390" s="7"/>
      <c r="C390" s="7"/>
      <c r="D390" s="7"/>
      <c r="E390" s="7"/>
      <c r="F390" s="7"/>
      <c r="G390" s="7"/>
      <c r="H390" s="7"/>
      <c r="I390" s="7"/>
      <c r="J390" s="7"/>
      <c r="K390" s="7"/>
      <c r="L390" s="7"/>
      <c r="M390" s="7"/>
      <c r="N390" s="7"/>
      <c r="O390" s="7"/>
      <c r="P390" s="7"/>
      <c r="Q390" s="7"/>
      <c r="R390" s="7"/>
      <c r="S390" s="7"/>
      <c r="T390" s="7"/>
      <c r="U390" s="7"/>
      <c r="V390" s="7"/>
      <c r="W390" s="7"/>
      <c r="X390" s="7"/>
      <c r="Y390" s="7"/>
      <c r="Z390" s="7"/>
    </row>
    <row r="391" ht="13.5" customHeight="1">
      <c r="A391" s="7"/>
      <c r="B391" s="7"/>
      <c r="C391" s="7"/>
      <c r="D391" s="7"/>
      <c r="E391" s="7"/>
      <c r="F391" s="7"/>
      <c r="G391" s="7"/>
      <c r="H391" s="7"/>
      <c r="I391" s="7"/>
      <c r="J391" s="7"/>
      <c r="K391" s="7"/>
      <c r="L391" s="7"/>
      <c r="M391" s="7"/>
      <c r="N391" s="7"/>
      <c r="O391" s="7"/>
      <c r="P391" s="7"/>
      <c r="Q391" s="7"/>
      <c r="R391" s="7"/>
      <c r="S391" s="7"/>
      <c r="T391" s="7"/>
      <c r="U391" s="7"/>
      <c r="V391" s="7"/>
      <c r="W391" s="7"/>
      <c r="X391" s="7"/>
      <c r="Y391" s="7"/>
      <c r="Z391" s="7"/>
    </row>
    <row r="392" ht="13.5" customHeight="1">
      <c r="A392" s="7"/>
      <c r="B392" s="7"/>
      <c r="C392" s="7"/>
      <c r="D392" s="7"/>
      <c r="E392" s="7"/>
      <c r="F392" s="7"/>
      <c r="G392" s="7"/>
      <c r="H392" s="7"/>
      <c r="I392" s="7"/>
      <c r="J392" s="7"/>
      <c r="K392" s="7"/>
      <c r="L392" s="7"/>
      <c r="M392" s="7"/>
      <c r="N392" s="7"/>
      <c r="O392" s="7"/>
      <c r="P392" s="7"/>
      <c r="Q392" s="7"/>
      <c r="R392" s="7"/>
      <c r="S392" s="7"/>
      <c r="T392" s="7"/>
      <c r="U392" s="7"/>
      <c r="V392" s="7"/>
      <c r="W392" s="7"/>
      <c r="X392" s="7"/>
      <c r="Y392" s="7"/>
      <c r="Z392" s="7"/>
    </row>
    <row r="393" ht="13.5" customHeight="1">
      <c r="A393" s="7"/>
      <c r="B393" s="7"/>
      <c r="C393" s="7"/>
      <c r="D393" s="7"/>
      <c r="E393" s="7"/>
      <c r="F393" s="7"/>
      <c r="G393" s="7"/>
      <c r="H393" s="7"/>
      <c r="I393" s="7"/>
      <c r="J393" s="7"/>
      <c r="K393" s="7"/>
      <c r="L393" s="7"/>
      <c r="M393" s="7"/>
      <c r="N393" s="7"/>
      <c r="O393" s="7"/>
      <c r="P393" s="7"/>
      <c r="Q393" s="7"/>
      <c r="R393" s="7"/>
      <c r="S393" s="7"/>
      <c r="T393" s="7"/>
      <c r="U393" s="7"/>
      <c r="V393" s="7"/>
      <c r="W393" s="7"/>
      <c r="X393" s="7"/>
      <c r="Y393" s="7"/>
      <c r="Z393" s="7"/>
    </row>
    <row r="394" ht="13.5" customHeight="1">
      <c r="A394" s="7"/>
      <c r="B394" s="7"/>
      <c r="C394" s="7"/>
      <c r="D394" s="7"/>
      <c r="E394" s="7"/>
      <c r="F394" s="7"/>
      <c r="G394" s="7"/>
      <c r="H394" s="7"/>
      <c r="I394" s="7"/>
      <c r="J394" s="7"/>
      <c r="K394" s="7"/>
      <c r="L394" s="7"/>
      <c r="M394" s="7"/>
      <c r="N394" s="7"/>
      <c r="O394" s="7"/>
      <c r="P394" s="7"/>
      <c r="Q394" s="7"/>
      <c r="R394" s="7"/>
      <c r="S394" s="7"/>
      <c r="T394" s="7"/>
      <c r="U394" s="7"/>
      <c r="V394" s="7"/>
      <c r="W394" s="7"/>
      <c r="X394" s="7"/>
      <c r="Y394" s="7"/>
      <c r="Z394" s="7"/>
    </row>
    <row r="395" ht="13.5" customHeight="1">
      <c r="A395" s="7"/>
      <c r="B395" s="7"/>
      <c r="C395" s="7"/>
      <c r="D395" s="7"/>
      <c r="E395" s="7"/>
      <c r="F395" s="7"/>
      <c r="G395" s="7"/>
      <c r="H395" s="7"/>
      <c r="I395" s="7"/>
      <c r="J395" s="7"/>
      <c r="K395" s="7"/>
      <c r="L395" s="7"/>
      <c r="M395" s="7"/>
      <c r="N395" s="7"/>
      <c r="O395" s="7"/>
      <c r="P395" s="7"/>
      <c r="Q395" s="7"/>
      <c r="R395" s="7"/>
      <c r="S395" s="7"/>
      <c r="T395" s="7"/>
      <c r="U395" s="7"/>
      <c r="V395" s="7"/>
      <c r="W395" s="7"/>
      <c r="X395" s="7"/>
      <c r="Y395" s="7"/>
      <c r="Z395" s="7"/>
    </row>
    <row r="396" ht="13.5" customHeight="1">
      <c r="A396" s="7"/>
      <c r="B396" s="7"/>
      <c r="C396" s="7"/>
      <c r="D396" s="7"/>
      <c r="E396" s="7"/>
      <c r="F396" s="7"/>
      <c r="G396" s="7"/>
      <c r="H396" s="7"/>
      <c r="I396" s="7"/>
      <c r="J396" s="7"/>
      <c r="K396" s="7"/>
      <c r="L396" s="7"/>
      <c r="M396" s="7"/>
      <c r="N396" s="7"/>
      <c r="O396" s="7"/>
      <c r="P396" s="7"/>
      <c r="Q396" s="7"/>
      <c r="R396" s="7"/>
      <c r="S396" s="7"/>
      <c r="T396" s="7"/>
      <c r="U396" s="7"/>
      <c r="V396" s="7"/>
      <c r="W396" s="7"/>
      <c r="X396" s="7"/>
      <c r="Y396" s="7"/>
      <c r="Z396" s="7"/>
    </row>
    <row r="397" ht="13.5" customHeight="1">
      <c r="A397" s="7"/>
      <c r="B397" s="7"/>
      <c r="C397" s="7"/>
      <c r="D397" s="7"/>
      <c r="E397" s="7"/>
      <c r="F397" s="7"/>
      <c r="G397" s="7"/>
      <c r="H397" s="7"/>
      <c r="I397" s="7"/>
      <c r="J397" s="7"/>
      <c r="K397" s="7"/>
      <c r="L397" s="7"/>
      <c r="M397" s="7"/>
      <c r="N397" s="7"/>
      <c r="O397" s="7"/>
      <c r="P397" s="7"/>
      <c r="Q397" s="7"/>
      <c r="R397" s="7"/>
      <c r="S397" s="7"/>
      <c r="T397" s="7"/>
      <c r="U397" s="7"/>
      <c r="V397" s="7"/>
      <c r="W397" s="7"/>
      <c r="X397" s="7"/>
      <c r="Y397" s="7"/>
      <c r="Z397" s="7"/>
    </row>
    <row r="398" ht="13.5" customHeight="1">
      <c r="A398" s="7"/>
      <c r="B398" s="7"/>
      <c r="C398" s="7"/>
      <c r="D398" s="7"/>
      <c r="E398" s="7"/>
      <c r="F398" s="7"/>
      <c r="G398" s="7"/>
      <c r="H398" s="7"/>
      <c r="I398" s="7"/>
      <c r="J398" s="7"/>
      <c r="K398" s="7"/>
      <c r="L398" s="7"/>
      <c r="M398" s="7"/>
      <c r="N398" s="7"/>
      <c r="O398" s="7"/>
      <c r="P398" s="7"/>
      <c r="Q398" s="7"/>
      <c r="R398" s="7"/>
      <c r="S398" s="7"/>
      <c r="T398" s="7"/>
      <c r="U398" s="7"/>
      <c r="V398" s="7"/>
      <c r="W398" s="7"/>
      <c r="X398" s="7"/>
      <c r="Y398" s="7"/>
      <c r="Z398" s="7"/>
    </row>
    <row r="399" ht="13.5" customHeight="1">
      <c r="A399" s="7"/>
      <c r="B399" s="7"/>
      <c r="C399" s="7"/>
      <c r="D399" s="7"/>
      <c r="E399" s="7"/>
      <c r="F399" s="7"/>
      <c r="G399" s="7"/>
      <c r="H399" s="7"/>
      <c r="I399" s="7"/>
      <c r="J399" s="7"/>
      <c r="K399" s="7"/>
      <c r="L399" s="7"/>
      <c r="M399" s="7"/>
      <c r="N399" s="7"/>
      <c r="O399" s="7"/>
      <c r="P399" s="7"/>
      <c r="Q399" s="7"/>
      <c r="R399" s="7"/>
      <c r="S399" s="7"/>
      <c r="T399" s="7"/>
      <c r="U399" s="7"/>
      <c r="V399" s="7"/>
      <c r="W399" s="7"/>
      <c r="X399" s="7"/>
      <c r="Y399" s="7"/>
      <c r="Z399" s="7"/>
    </row>
    <row r="400" ht="13.5" customHeight="1">
      <c r="A400" s="7"/>
      <c r="B400" s="7"/>
      <c r="C400" s="7"/>
      <c r="D400" s="7"/>
      <c r="E400" s="7"/>
      <c r="F400" s="7"/>
      <c r="G400" s="7"/>
      <c r="H400" s="7"/>
      <c r="I400" s="7"/>
      <c r="J400" s="7"/>
      <c r="K400" s="7"/>
      <c r="L400" s="7"/>
      <c r="M400" s="7"/>
      <c r="N400" s="7"/>
      <c r="O400" s="7"/>
      <c r="P400" s="7"/>
      <c r="Q400" s="7"/>
      <c r="R400" s="7"/>
      <c r="S400" s="7"/>
      <c r="T400" s="7"/>
      <c r="U400" s="7"/>
      <c r="V400" s="7"/>
      <c r="W400" s="7"/>
      <c r="X400" s="7"/>
      <c r="Y400" s="7"/>
      <c r="Z400" s="7"/>
    </row>
    <row r="401" ht="13.5" customHeight="1">
      <c r="A401" s="7"/>
      <c r="B401" s="7"/>
      <c r="C401" s="7"/>
      <c r="D401" s="7"/>
      <c r="E401" s="7"/>
      <c r="F401" s="7"/>
      <c r="G401" s="7"/>
      <c r="H401" s="7"/>
      <c r="I401" s="7"/>
      <c r="J401" s="7"/>
      <c r="K401" s="7"/>
      <c r="L401" s="7"/>
      <c r="M401" s="7"/>
      <c r="N401" s="7"/>
      <c r="O401" s="7"/>
      <c r="P401" s="7"/>
      <c r="Q401" s="7"/>
      <c r="R401" s="7"/>
      <c r="S401" s="7"/>
      <c r="T401" s="7"/>
      <c r="U401" s="7"/>
      <c r="V401" s="7"/>
      <c r="W401" s="7"/>
      <c r="X401" s="7"/>
      <c r="Y401" s="7"/>
      <c r="Z401" s="7"/>
    </row>
    <row r="402" ht="13.5" customHeight="1">
      <c r="A402" s="7"/>
      <c r="B402" s="7"/>
      <c r="C402" s="7"/>
      <c r="D402" s="7"/>
      <c r="E402" s="7"/>
      <c r="F402" s="7"/>
      <c r="G402" s="7"/>
      <c r="H402" s="7"/>
      <c r="I402" s="7"/>
      <c r="J402" s="7"/>
      <c r="K402" s="7"/>
      <c r="L402" s="7"/>
      <c r="M402" s="7"/>
      <c r="N402" s="7"/>
      <c r="O402" s="7"/>
      <c r="P402" s="7"/>
      <c r="Q402" s="7"/>
      <c r="R402" s="7"/>
      <c r="S402" s="7"/>
      <c r="T402" s="7"/>
      <c r="U402" s="7"/>
      <c r="V402" s="7"/>
      <c r="W402" s="7"/>
      <c r="X402" s="7"/>
      <c r="Y402" s="7"/>
      <c r="Z402" s="7"/>
    </row>
    <row r="403" ht="13.5" customHeight="1">
      <c r="A403" s="7"/>
      <c r="B403" s="7"/>
      <c r="C403" s="7"/>
      <c r="D403" s="7"/>
      <c r="E403" s="7"/>
      <c r="F403" s="7"/>
      <c r="G403" s="7"/>
      <c r="H403" s="7"/>
      <c r="I403" s="7"/>
      <c r="J403" s="7"/>
      <c r="K403" s="7"/>
      <c r="L403" s="7"/>
      <c r="M403" s="7"/>
      <c r="N403" s="7"/>
      <c r="O403" s="7"/>
      <c r="P403" s="7"/>
      <c r="Q403" s="7"/>
      <c r="R403" s="7"/>
      <c r="S403" s="7"/>
      <c r="T403" s="7"/>
      <c r="U403" s="7"/>
      <c r="V403" s="7"/>
      <c r="W403" s="7"/>
      <c r="X403" s="7"/>
      <c r="Y403" s="7"/>
      <c r="Z403" s="7"/>
    </row>
    <row r="404" ht="13.5" customHeight="1">
      <c r="A404" s="7"/>
      <c r="B404" s="7"/>
      <c r="C404" s="7"/>
      <c r="D404" s="7"/>
      <c r="E404" s="7"/>
      <c r="F404" s="7"/>
      <c r="G404" s="7"/>
      <c r="H404" s="7"/>
      <c r="I404" s="7"/>
      <c r="J404" s="7"/>
      <c r="K404" s="7"/>
      <c r="L404" s="7"/>
      <c r="M404" s="7"/>
      <c r="N404" s="7"/>
      <c r="O404" s="7"/>
      <c r="P404" s="7"/>
      <c r="Q404" s="7"/>
      <c r="R404" s="7"/>
      <c r="S404" s="7"/>
      <c r="T404" s="7"/>
      <c r="U404" s="7"/>
      <c r="V404" s="7"/>
      <c r="W404" s="7"/>
      <c r="X404" s="7"/>
      <c r="Y404" s="7"/>
      <c r="Z404" s="7"/>
    </row>
    <row r="405" ht="13.5" customHeight="1">
      <c r="A405" s="7"/>
      <c r="B405" s="7"/>
      <c r="C405" s="7"/>
      <c r="D405" s="7"/>
      <c r="E405" s="7"/>
      <c r="F405" s="7"/>
      <c r="G405" s="7"/>
      <c r="H405" s="7"/>
      <c r="I405" s="7"/>
      <c r="J405" s="7"/>
      <c r="K405" s="7"/>
      <c r="L405" s="7"/>
      <c r="M405" s="7"/>
      <c r="N405" s="7"/>
      <c r="O405" s="7"/>
      <c r="P405" s="7"/>
      <c r="Q405" s="7"/>
      <c r="R405" s="7"/>
      <c r="S405" s="7"/>
      <c r="T405" s="7"/>
      <c r="U405" s="7"/>
      <c r="V405" s="7"/>
      <c r="W405" s="7"/>
      <c r="X405" s="7"/>
      <c r="Y405" s="7"/>
      <c r="Z405" s="7"/>
    </row>
    <row r="406" ht="13.5" customHeight="1">
      <c r="A406" s="7"/>
      <c r="B406" s="7"/>
      <c r="C406" s="7"/>
      <c r="D406" s="7"/>
      <c r="E406" s="7"/>
      <c r="F406" s="7"/>
      <c r="G406" s="7"/>
      <c r="H406" s="7"/>
      <c r="I406" s="7"/>
      <c r="J406" s="7"/>
      <c r="K406" s="7"/>
      <c r="L406" s="7"/>
      <c r="M406" s="7"/>
      <c r="N406" s="7"/>
      <c r="O406" s="7"/>
      <c r="P406" s="7"/>
      <c r="Q406" s="7"/>
      <c r="R406" s="7"/>
      <c r="S406" s="7"/>
      <c r="T406" s="7"/>
      <c r="U406" s="7"/>
      <c r="V406" s="7"/>
      <c r="W406" s="7"/>
      <c r="X406" s="7"/>
      <c r="Y406" s="7"/>
      <c r="Z406" s="7"/>
    </row>
    <row r="407" ht="13.5" customHeight="1">
      <c r="A407" s="7"/>
      <c r="B407" s="7"/>
      <c r="C407" s="7"/>
      <c r="D407" s="7"/>
      <c r="E407" s="7"/>
      <c r="F407" s="7"/>
      <c r="G407" s="7"/>
      <c r="H407" s="7"/>
      <c r="I407" s="7"/>
      <c r="J407" s="7"/>
      <c r="K407" s="7"/>
      <c r="L407" s="7"/>
      <c r="M407" s="7"/>
      <c r="N407" s="7"/>
      <c r="O407" s="7"/>
      <c r="P407" s="7"/>
      <c r="Q407" s="7"/>
      <c r="R407" s="7"/>
      <c r="S407" s="7"/>
      <c r="T407" s="7"/>
      <c r="U407" s="7"/>
      <c r="V407" s="7"/>
      <c r="W407" s="7"/>
      <c r="X407" s="7"/>
      <c r="Y407" s="7"/>
      <c r="Z407" s="7"/>
    </row>
    <row r="408" ht="13.5" customHeight="1">
      <c r="A408" s="7"/>
      <c r="B408" s="7"/>
      <c r="C408" s="7"/>
      <c r="D408" s="7"/>
      <c r="E408" s="7"/>
      <c r="F408" s="7"/>
      <c r="G408" s="7"/>
      <c r="H408" s="7"/>
      <c r="I408" s="7"/>
      <c r="J408" s="7"/>
      <c r="K408" s="7"/>
      <c r="L408" s="7"/>
      <c r="M408" s="7"/>
      <c r="N408" s="7"/>
      <c r="O408" s="7"/>
      <c r="P408" s="7"/>
      <c r="Q408" s="7"/>
      <c r="R408" s="7"/>
      <c r="S408" s="7"/>
      <c r="T408" s="7"/>
      <c r="U408" s="7"/>
      <c r="V408" s="7"/>
      <c r="W408" s="7"/>
      <c r="X408" s="7"/>
      <c r="Y408" s="7"/>
      <c r="Z408" s="7"/>
    </row>
    <row r="409" ht="13.5" customHeight="1">
      <c r="A409" s="7"/>
      <c r="B409" s="7"/>
      <c r="C409" s="7"/>
      <c r="D409" s="7"/>
      <c r="E409" s="7"/>
      <c r="F409" s="7"/>
      <c r="G409" s="7"/>
      <c r="H409" s="7"/>
      <c r="I409" s="7"/>
      <c r="J409" s="7"/>
      <c r="K409" s="7"/>
      <c r="L409" s="7"/>
      <c r="M409" s="7"/>
      <c r="N409" s="7"/>
      <c r="O409" s="7"/>
      <c r="P409" s="7"/>
      <c r="Q409" s="7"/>
      <c r="R409" s="7"/>
      <c r="S409" s="7"/>
      <c r="T409" s="7"/>
      <c r="U409" s="7"/>
      <c r="V409" s="7"/>
      <c r="W409" s="7"/>
      <c r="X409" s="7"/>
      <c r="Y409" s="7"/>
      <c r="Z409" s="7"/>
    </row>
    <row r="410" ht="13.5" customHeight="1">
      <c r="A410" s="7"/>
      <c r="B410" s="7"/>
      <c r="C410" s="7"/>
      <c r="D410" s="7"/>
      <c r="E410" s="7"/>
      <c r="F410" s="7"/>
      <c r="G410" s="7"/>
      <c r="H410" s="7"/>
      <c r="I410" s="7"/>
      <c r="J410" s="7"/>
      <c r="K410" s="7"/>
      <c r="L410" s="7"/>
      <c r="M410" s="7"/>
      <c r="N410" s="7"/>
      <c r="O410" s="7"/>
      <c r="P410" s="7"/>
      <c r="Q410" s="7"/>
      <c r="R410" s="7"/>
      <c r="S410" s="7"/>
      <c r="T410" s="7"/>
      <c r="U410" s="7"/>
      <c r="V410" s="7"/>
      <c r="W410" s="7"/>
      <c r="X410" s="7"/>
      <c r="Y410" s="7"/>
      <c r="Z410" s="7"/>
    </row>
    <row r="411" ht="13.5" customHeight="1">
      <c r="A411" s="7"/>
      <c r="B411" s="7"/>
      <c r="C411" s="7"/>
      <c r="D411" s="7"/>
      <c r="E411" s="7"/>
      <c r="F411" s="7"/>
      <c r="G411" s="7"/>
      <c r="H411" s="7"/>
      <c r="I411" s="7"/>
      <c r="J411" s="7"/>
      <c r="K411" s="7"/>
      <c r="L411" s="7"/>
      <c r="M411" s="7"/>
      <c r="N411" s="7"/>
      <c r="O411" s="7"/>
      <c r="P411" s="7"/>
      <c r="Q411" s="7"/>
      <c r="R411" s="7"/>
      <c r="S411" s="7"/>
      <c r="T411" s="7"/>
      <c r="U411" s="7"/>
      <c r="V411" s="7"/>
      <c r="W411" s="7"/>
      <c r="X411" s="7"/>
      <c r="Y411" s="7"/>
      <c r="Z411" s="7"/>
    </row>
    <row r="412" ht="13.5" customHeight="1">
      <c r="A412" s="7"/>
      <c r="B412" s="7"/>
      <c r="C412" s="7"/>
      <c r="D412" s="7"/>
      <c r="E412" s="7"/>
      <c r="F412" s="7"/>
      <c r="G412" s="7"/>
      <c r="H412" s="7"/>
      <c r="I412" s="7"/>
      <c r="J412" s="7"/>
      <c r="K412" s="7"/>
      <c r="L412" s="7"/>
      <c r="M412" s="7"/>
      <c r="N412" s="7"/>
      <c r="O412" s="7"/>
      <c r="P412" s="7"/>
      <c r="Q412" s="7"/>
      <c r="R412" s="7"/>
      <c r="S412" s="7"/>
      <c r="T412" s="7"/>
      <c r="U412" s="7"/>
      <c r="V412" s="7"/>
      <c r="W412" s="7"/>
      <c r="X412" s="7"/>
      <c r="Y412" s="7"/>
      <c r="Z412" s="7"/>
    </row>
    <row r="413" ht="13.5" customHeight="1">
      <c r="A413" s="7"/>
      <c r="B413" s="7"/>
      <c r="C413" s="7"/>
      <c r="D413" s="7"/>
      <c r="E413" s="7"/>
      <c r="F413" s="7"/>
      <c r="G413" s="7"/>
      <c r="H413" s="7"/>
      <c r="I413" s="7"/>
      <c r="J413" s="7"/>
      <c r="K413" s="7"/>
      <c r="L413" s="7"/>
      <c r="M413" s="7"/>
      <c r="N413" s="7"/>
      <c r="O413" s="7"/>
      <c r="P413" s="7"/>
      <c r="Q413" s="7"/>
      <c r="R413" s="7"/>
      <c r="S413" s="7"/>
      <c r="T413" s="7"/>
      <c r="U413" s="7"/>
      <c r="V413" s="7"/>
      <c r="W413" s="7"/>
      <c r="X413" s="7"/>
      <c r="Y413" s="7"/>
      <c r="Z413" s="7"/>
    </row>
    <row r="414" ht="13.5" customHeight="1">
      <c r="A414" s="7"/>
      <c r="B414" s="7"/>
      <c r="C414" s="7"/>
      <c r="D414" s="7"/>
      <c r="E414" s="7"/>
      <c r="F414" s="7"/>
      <c r="G414" s="7"/>
      <c r="H414" s="7"/>
      <c r="I414" s="7"/>
      <c r="J414" s="7"/>
      <c r="K414" s="7"/>
      <c r="L414" s="7"/>
      <c r="M414" s="7"/>
      <c r="N414" s="7"/>
      <c r="O414" s="7"/>
      <c r="P414" s="7"/>
      <c r="Q414" s="7"/>
      <c r="R414" s="7"/>
      <c r="S414" s="7"/>
      <c r="T414" s="7"/>
      <c r="U414" s="7"/>
      <c r="V414" s="7"/>
      <c r="W414" s="7"/>
      <c r="X414" s="7"/>
      <c r="Y414" s="7"/>
      <c r="Z414" s="7"/>
    </row>
    <row r="415" ht="13.5" customHeight="1">
      <c r="A415" s="7"/>
      <c r="B415" s="7"/>
      <c r="C415" s="7"/>
      <c r="D415" s="7"/>
      <c r="E415" s="7"/>
      <c r="F415" s="7"/>
      <c r="G415" s="7"/>
      <c r="H415" s="7"/>
      <c r="I415" s="7"/>
      <c r="J415" s="7"/>
      <c r="K415" s="7"/>
      <c r="L415" s="7"/>
      <c r="M415" s="7"/>
      <c r="N415" s="7"/>
      <c r="O415" s="7"/>
      <c r="P415" s="7"/>
      <c r="Q415" s="7"/>
      <c r="R415" s="7"/>
      <c r="S415" s="7"/>
      <c r="T415" s="7"/>
      <c r="U415" s="7"/>
      <c r="V415" s="7"/>
      <c r="W415" s="7"/>
      <c r="X415" s="7"/>
      <c r="Y415" s="7"/>
      <c r="Z415" s="7"/>
    </row>
    <row r="416" ht="13.5" customHeight="1">
      <c r="A416" s="7"/>
      <c r="B416" s="7"/>
      <c r="C416" s="7"/>
      <c r="D416" s="7"/>
      <c r="E416" s="7"/>
      <c r="F416" s="7"/>
      <c r="G416" s="7"/>
      <c r="H416" s="7"/>
      <c r="I416" s="7"/>
      <c r="J416" s="7"/>
      <c r="K416" s="7"/>
      <c r="L416" s="7"/>
      <c r="M416" s="7"/>
      <c r="N416" s="7"/>
      <c r="O416" s="7"/>
      <c r="P416" s="7"/>
      <c r="Q416" s="7"/>
      <c r="R416" s="7"/>
      <c r="S416" s="7"/>
      <c r="T416" s="7"/>
      <c r="U416" s="7"/>
      <c r="V416" s="7"/>
      <c r="W416" s="7"/>
      <c r="X416" s="7"/>
      <c r="Y416" s="7"/>
      <c r="Z416" s="7"/>
    </row>
    <row r="417" ht="13.5" customHeight="1">
      <c r="A417" s="7"/>
      <c r="B417" s="7"/>
      <c r="C417" s="7"/>
      <c r="D417" s="7"/>
      <c r="E417" s="7"/>
      <c r="F417" s="7"/>
      <c r="G417" s="7"/>
      <c r="H417" s="7"/>
      <c r="I417" s="7"/>
      <c r="J417" s="7"/>
      <c r="K417" s="7"/>
      <c r="L417" s="7"/>
      <c r="M417" s="7"/>
      <c r="N417" s="7"/>
      <c r="O417" s="7"/>
      <c r="P417" s="7"/>
      <c r="Q417" s="7"/>
      <c r="R417" s="7"/>
      <c r="S417" s="7"/>
      <c r="T417" s="7"/>
      <c r="U417" s="7"/>
      <c r="V417" s="7"/>
      <c r="W417" s="7"/>
      <c r="X417" s="7"/>
      <c r="Y417" s="7"/>
      <c r="Z417" s="7"/>
    </row>
    <row r="418" ht="13.5" customHeight="1">
      <c r="A418" s="7"/>
      <c r="B418" s="7"/>
      <c r="C418" s="7"/>
      <c r="D418" s="7"/>
      <c r="E418" s="7"/>
      <c r="F418" s="7"/>
      <c r="G418" s="7"/>
      <c r="H418" s="7"/>
      <c r="I418" s="7"/>
      <c r="J418" s="7"/>
      <c r="K418" s="7"/>
      <c r="L418" s="7"/>
      <c r="M418" s="7"/>
      <c r="N418" s="7"/>
      <c r="O418" s="7"/>
      <c r="P418" s="7"/>
      <c r="Q418" s="7"/>
      <c r="R418" s="7"/>
      <c r="S418" s="7"/>
      <c r="T418" s="7"/>
      <c r="U418" s="7"/>
      <c r="V418" s="7"/>
      <c r="W418" s="7"/>
      <c r="X418" s="7"/>
      <c r="Y418" s="7"/>
      <c r="Z418" s="7"/>
    </row>
    <row r="419" ht="13.5" customHeight="1">
      <c r="A419" s="7"/>
      <c r="B419" s="7"/>
      <c r="C419" s="7"/>
      <c r="D419" s="7"/>
      <c r="E419" s="7"/>
      <c r="F419" s="7"/>
      <c r="G419" s="7"/>
      <c r="H419" s="7"/>
      <c r="I419" s="7"/>
      <c r="J419" s="7"/>
      <c r="K419" s="7"/>
      <c r="L419" s="7"/>
      <c r="M419" s="7"/>
      <c r="N419" s="7"/>
      <c r="O419" s="7"/>
      <c r="P419" s="7"/>
      <c r="Q419" s="7"/>
      <c r="R419" s="7"/>
      <c r="S419" s="7"/>
      <c r="T419" s="7"/>
      <c r="U419" s="7"/>
      <c r="V419" s="7"/>
      <c r="W419" s="7"/>
      <c r="X419" s="7"/>
      <c r="Y419" s="7"/>
      <c r="Z419" s="7"/>
    </row>
    <row r="420" ht="13.5" customHeight="1">
      <c r="A420" s="7"/>
      <c r="B420" s="7"/>
      <c r="C420" s="7"/>
      <c r="D420" s="7"/>
      <c r="E420" s="7"/>
      <c r="F420" s="7"/>
      <c r="G420" s="7"/>
      <c r="H420" s="7"/>
      <c r="I420" s="7"/>
      <c r="J420" s="7"/>
      <c r="K420" s="7"/>
      <c r="L420" s="7"/>
      <c r="M420" s="7"/>
      <c r="N420" s="7"/>
      <c r="O420" s="7"/>
      <c r="P420" s="7"/>
      <c r="Q420" s="7"/>
      <c r="R420" s="7"/>
      <c r="S420" s="7"/>
      <c r="T420" s="7"/>
      <c r="U420" s="7"/>
      <c r="V420" s="7"/>
      <c r="W420" s="7"/>
      <c r="X420" s="7"/>
      <c r="Y420" s="7"/>
      <c r="Z420" s="7"/>
    </row>
    <row r="421" ht="13.5" customHeight="1">
      <c r="A421" s="7"/>
      <c r="B421" s="7"/>
      <c r="C421" s="7"/>
      <c r="D421" s="7"/>
      <c r="E421" s="7"/>
      <c r="F421" s="7"/>
      <c r="G421" s="7"/>
      <c r="H421" s="7"/>
      <c r="I421" s="7"/>
      <c r="J421" s="7"/>
      <c r="K421" s="7"/>
      <c r="L421" s="7"/>
      <c r="M421" s="7"/>
      <c r="N421" s="7"/>
      <c r="O421" s="7"/>
      <c r="P421" s="7"/>
      <c r="Q421" s="7"/>
      <c r="R421" s="7"/>
      <c r="S421" s="7"/>
      <c r="T421" s="7"/>
      <c r="U421" s="7"/>
      <c r="V421" s="7"/>
      <c r="W421" s="7"/>
      <c r="X421" s="7"/>
      <c r="Y421" s="7"/>
      <c r="Z421" s="7"/>
    </row>
    <row r="422" ht="13.5" customHeight="1">
      <c r="A422" s="7"/>
      <c r="B422" s="7"/>
      <c r="C422" s="7"/>
      <c r="D422" s="7"/>
      <c r="E422" s="7"/>
      <c r="F422" s="7"/>
      <c r="G422" s="7"/>
      <c r="H422" s="7"/>
      <c r="I422" s="7"/>
      <c r="J422" s="7"/>
      <c r="K422" s="7"/>
      <c r="L422" s="7"/>
      <c r="M422" s="7"/>
      <c r="N422" s="7"/>
      <c r="O422" s="7"/>
      <c r="P422" s="7"/>
      <c r="Q422" s="7"/>
      <c r="R422" s="7"/>
      <c r="S422" s="7"/>
      <c r="T422" s="7"/>
      <c r="U422" s="7"/>
      <c r="V422" s="7"/>
      <c r="W422" s="7"/>
      <c r="X422" s="7"/>
      <c r="Y422" s="7"/>
      <c r="Z422" s="7"/>
    </row>
    <row r="423" ht="13.5" customHeight="1">
      <c r="A423" s="7"/>
      <c r="B423" s="7"/>
      <c r="C423" s="7"/>
      <c r="D423" s="7"/>
      <c r="E423" s="7"/>
      <c r="F423" s="7"/>
      <c r="G423" s="7"/>
      <c r="H423" s="7"/>
      <c r="I423" s="7"/>
      <c r="J423" s="7"/>
      <c r="K423" s="7"/>
      <c r="L423" s="7"/>
      <c r="M423" s="7"/>
      <c r="N423" s="7"/>
      <c r="O423" s="7"/>
      <c r="P423" s="7"/>
      <c r="Q423" s="7"/>
      <c r="R423" s="7"/>
      <c r="S423" s="7"/>
      <c r="T423" s="7"/>
      <c r="U423" s="7"/>
      <c r="V423" s="7"/>
      <c r="W423" s="7"/>
      <c r="X423" s="7"/>
      <c r="Y423" s="7"/>
      <c r="Z423" s="7"/>
    </row>
    <row r="424" ht="13.5" customHeight="1">
      <c r="A424" s="7"/>
      <c r="B424" s="7"/>
      <c r="C424" s="7"/>
      <c r="D424" s="7"/>
      <c r="E424" s="7"/>
      <c r="F424" s="7"/>
      <c r="G424" s="7"/>
      <c r="H424" s="7"/>
      <c r="I424" s="7"/>
      <c r="J424" s="7"/>
      <c r="K424" s="7"/>
      <c r="L424" s="7"/>
      <c r="M424" s="7"/>
      <c r="N424" s="7"/>
      <c r="O424" s="7"/>
      <c r="P424" s="7"/>
      <c r="Q424" s="7"/>
      <c r="R424" s="7"/>
      <c r="S424" s="7"/>
      <c r="T424" s="7"/>
      <c r="U424" s="7"/>
      <c r="V424" s="7"/>
      <c r="W424" s="7"/>
      <c r="X424" s="7"/>
      <c r="Y424" s="7"/>
      <c r="Z424" s="7"/>
    </row>
    <row r="425" ht="13.5" customHeight="1">
      <c r="A425" s="7"/>
      <c r="B425" s="7"/>
      <c r="C425" s="7"/>
      <c r="D425" s="7"/>
      <c r="E425" s="7"/>
      <c r="F425" s="7"/>
      <c r="G425" s="7"/>
      <c r="H425" s="7"/>
      <c r="I425" s="7"/>
      <c r="J425" s="7"/>
      <c r="K425" s="7"/>
      <c r="L425" s="7"/>
      <c r="M425" s="7"/>
      <c r="N425" s="7"/>
      <c r="O425" s="7"/>
      <c r="P425" s="7"/>
      <c r="Q425" s="7"/>
      <c r="R425" s="7"/>
      <c r="S425" s="7"/>
      <c r="T425" s="7"/>
      <c r="U425" s="7"/>
      <c r="V425" s="7"/>
      <c r="W425" s="7"/>
      <c r="X425" s="7"/>
      <c r="Y425" s="7"/>
      <c r="Z425" s="7"/>
    </row>
    <row r="426" ht="13.5" customHeight="1">
      <c r="A426" s="7"/>
      <c r="B426" s="7"/>
      <c r="C426" s="7"/>
      <c r="D426" s="7"/>
      <c r="E426" s="7"/>
      <c r="F426" s="7"/>
      <c r="G426" s="7"/>
      <c r="H426" s="7"/>
      <c r="I426" s="7"/>
      <c r="J426" s="7"/>
      <c r="K426" s="7"/>
      <c r="L426" s="7"/>
      <c r="M426" s="7"/>
      <c r="N426" s="7"/>
      <c r="O426" s="7"/>
      <c r="P426" s="7"/>
      <c r="Q426" s="7"/>
      <c r="R426" s="7"/>
      <c r="S426" s="7"/>
      <c r="T426" s="7"/>
      <c r="U426" s="7"/>
      <c r="V426" s="7"/>
      <c r="W426" s="7"/>
      <c r="X426" s="7"/>
      <c r="Y426" s="7"/>
      <c r="Z426" s="7"/>
    </row>
    <row r="427" ht="13.5" customHeight="1">
      <c r="A427" s="7"/>
      <c r="B427" s="7"/>
      <c r="C427" s="7"/>
      <c r="D427" s="7"/>
      <c r="E427" s="7"/>
      <c r="F427" s="7"/>
      <c r="G427" s="7"/>
      <c r="H427" s="7"/>
      <c r="I427" s="7"/>
      <c r="J427" s="7"/>
      <c r="K427" s="7"/>
      <c r="L427" s="7"/>
      <c r="M427" s="7"/>
      <c r="N427" s="7"/>
      <c r="O427" s="7"/>
      <c r="P427" s="7"/>
      <c r="Q427" s="7"/>
      <c r="R427" s="7"/>
      <c r="S427" s="7"/>
      <c r="T427" s="7"/>
      <c r="U427" s="7"/>
      <c r="V427" s="7"/>
      <c r="W427" s="7"/>
      <c r="X427" s="7"/>
      <c r="Y427" s="7"/>
      <c r="Z427" s="7"/>
    </row>
    <row r="428" ht="13.5" customHeight="1">
      <c r="A428" s="7"/>
      <c r="B428" s="7"/>
      <c r="C428" s="7"/>
      <c r="D428" s="7"/>
      <c r="E428" s="7"/>
      <c r="F428" s="7"/>
      <c r="G428" s="7"/>
      <c r="H428" s="7"/>
      <c r="I428" s="7"/>
      <c r="J428" s="7"/>
      <c r="K428" s="7"/>
      <c r="L428" s="7"/>
      <c r="M428" s="7"/>
      <c r="N428" s="7"/>
      <c r="O428" s="7"/>
      <c r="P428" s="7"/>
      <c r="Q428" s="7"/>
      <c r="R428" s="7"/>
      <c r="S428" s="7"/>
      <c r="T428" s="7"/>
      <c r="U428" s="7"/>
      <c r="V428" s="7"/>
      <c r="W428" s="7"/>
      <c r="X428" s="7"/>
      <c r="Y428" s="7"/>
      <c r="Z428" s="7"/>
    </row>
    <row r="429" ht="13.5" customHeight="1">
      <c r="A429" s="7"/>
      <c r="B429" s="7"/>
      <c r="C429" s="7"/>
      <c r="D429" s="7"/>
      <c r="E429" s="7"/>
      <c r="F429" s="7"/>
      <c r="G429" s="7"/>
      <c r="H429" s="7"/>
      <c r="I429" s="7"/>
      <c r="J429" s="7"/>
      <c r="K429" s="7"/>
      <c r="L429" s="7"/>
      <c r="M429" s="7"/>
      <c r="N429" s="7"/>
      <c r="O429" s="7"/>
      <c r="P429" s="7"/>
      <c r="Q429" s="7"/>
      <c r="R429" s="7"/>
      <c r="S429" s="7"/>
      <c r="T429" s="7"/>
      <c r="U429" s="7"/>
      <c r="V429" s="7"/>
      <c r="W429" s="7"/>
      <c r="X429" s="7"/>
      <c r="Y429" s="7"/>
      <c r="Z429" s="7"/>
    </row>
    <row r="430" ht="13.5" customHeight="1">
      <c r="A430" s="7"/>
      <c r="B430" s="7"/>
      <c r="C430" s="7"/>
      <c r="D430" s="7"/>
      <c r="E430" s="7"/>
      <c r="F430" s="7"/>
      <c r="G430" s="7"/>
      <c r="H430" s="7"/>
      <c r="I430" s="7"/>
      <c r="J430" s="7"/>
      <c r="K430" s="7"/>
      <c r="L430" s="7"/>
      <c r="M430" s="7"/>
      <c r="N430" s="7"/>
      <c r="O430" s="7"/>
      <c r="P430" s="7"/>
      <c r="Q430" s="7"/>
      <c r="R430" s="7"/>
      <c r="S430" s="7"/>
      <c r="T430" s="7"/>
      <c r="U430" s="7"/>
      <c r="V430" s="7"/>
      <c r="W430" s="7"/>
      <c r="X430" s="7"/>
      <c r="Y430" s="7"/>
      <c r="Z430" s="7"/>
    </row>
    <row r="431" ht="13.5" customHeight="1">
      <c r="A431" s="7"/>
      <c r="B431" s="7"/>
      <c r="C431" s="7"/>
      <c r="D431" s="7"/>
      <c r="E431" s="7"/>
      <c r="F431" s="7"/>
      <c r="G431" s="7"/>
      <c r="H431" s="7"/>
      <c r="I431" s="7"/>
      <c r="J431" s="7"/>
      <c r="K431" s="7"/>
      <c r="L431" s="7"/>
      <c r="M431" s="7"/>
      <c r="N431" s="7"/>
      <c r="O431" s="7"/>
      <c r="P431" s="7"/>
      <c r="Q431" s="7"/>
      <c r="R431" s="7"/>
      <c r="S431" s="7"/>
      <c r="T431" s="7"/>
      <c r="U431" s="7"/>
      <c r="V431" s="7"/>
      <c r="W431" s="7"/>
      <c r="X431" s="7"/>
      <c r="Y431" s="7"/>
      <c r="Z431" s="7"/>
    </row>
    <row r="432" ht="13.5" customHeight="1">
      <c r="A432" s="7"/>
      <c r="B432" s="7"/>
      <c r="C432" s="7"/>
      <c r="D432" s="7"/>
      <c r="E432" s="7"/>
      <c r="F432" s="7"/>
      <c r="G432" s="7"/>
      <c r="H432" s="7"/>
      <c r="I432" s="7"/>
      <c r="J432" s="7"/>
      <c r="K432" s="7"/>
      <c r="L432" s="7"/>
      <c r="M432" s="7"/>
      <c r="N432" s="7"/>
      <c r="O432" s="7"/>
      <c r="P432" s="7"/>
      <c r="Q432" s="7"/>
      <c r="R432" s="7"/>
      <c r="S432" s="7"/>
      <c r="T432" s="7"/>
      <c r="U432" s="7"/>
      <c r="V432" s="7"/>
      <c r="W432" s="7"/>
      <c r="X432" s="7"/>
      <c r="Y432" s="7"/>
      <c r="Z432" s="7"/>
    </row>
    <row r="433" ht="13.5" customHeight="1">
      <c r="A433" s="7"/>
      <c r="B433" s="7"/>
      <c r="C433" s="7"/>
      <c r="D433" s="7"/>
      <c r="E433" s="7"/>
      <c r="F433" s="7"/>
      <c r="G433" s="7"/>
      <c r="H433" s="7"/>
      <c r="I433" s="7"/>
      <c r="J433" s="7"/>
      <c r="K433" s="7"/>
      <c r="L433" s="7"/>
      <c r="M433" s="7"/>
      <c r="N433" s="7"/>
      <c r="O433" s="7"/>
      <c r="P433" s="7"/>
      <c r="Q433" s="7"/>
      <c r="R433" s="7"/>
      <c r="S433" s="7"/>
      <c r="T433" s="7"/>
      <c r="U433" s="7"/>
      <c r="V433" s="7"/>
      <c r="W433" s="7"/>
      <c r="X433" s="7"/>
      <c r="Y433" s="7"/>
      <c r="Z433" s="7"/>
    </row>
    <row r="434" ht="13.5" customHeight="1">
      <c r="A434" s="7"/>
      <c r="B434" s="7"/>
      <c r="C434" s="7"/>
      <c r="D434" s="7"/>
      <c r="E434" s="7"/>
      <c r="F434" s="7"/>
      <c r="G434" s="7"/>
      <c r="H434" s="7"/>
      <c r="I434" s="7"/>
      <c r="J434" s="7"/>
      <c r="K434" s="7"/>
      <c r="L434" s="7"/>
      <c r="M434" s="7"/>
      <c r="N434" s="7"/>
      <c r="O434" s="7"/>
      <c r="P434" s="7"/>
      <c r="Q434" s="7"/>
      <c r="R434" s="7"/>
      <c r="S434" s="7"/>
      <c r="T434" s="7"/>
      <c r="U434" s="7"/>
      <c r="V434" s="7"/>
      <c r="W434" s="7"/>
      <c r="X434" s="7"/>
      <c r="Y434" s="7"/>
      <c r="Z434" s="7"/>
    </row>
    <row r="435" ht="13.5" customHeight="1">
      <c r="A435" s="7"/>
      <c r="B435" s="7"/>
      <c r="C435" s="7"/>
      <c r="D435" s="7"/>
      <c r="E435" s="7"/>
      <c r="F435" s="7"/>
      <c r="G435" s="7"/>
      <c r="H435" s="7"/>
      <c r="I435" s="7"/>
      <c r="J435" s="7"/>
      <c r="K435" s="7"/>
      <c r="L435" s="7"/>
      <c r="M435" s="7"/>
      <c r="N435" s="7"/>
      <c r="O435" s="7"/>
      <c r="P435" s="7"/>
      <c r="Q435" s="7"/>
      <c r="R435" s="7"/>
      <c r="S435" s="7"/>
      <c r="T435" s="7"/>
      <c r="U435" s="7"/>
      <c r="V435" s="7"/>
      <c r="W435" s="7"/>
      <c r="X435" s="7"/>
      <c r="Y435" s="7"/>
      <c r="Z435" s="7"/>
    </row>
    <row r="436" ht="13.5" customHeight="1">
      <c r="A436" s="7"/>
      <c r="B436" s="7"/>
      <c r="C436" s="7"/>
      <c r="D436" s="7"/>
      <c r="E436" s="7"/>
      <c r="F436" s="7"/>
      <c r="G436" s="7"/>
      <c r="H436" s="7"/>
      <c r="I436" s="7"/>
      <c r="J436" s="7"/>
      <c r="K436" s="7"/>
      <c r="L436" s="7"/>
      <c r="M436" s="7"/>
      <c r="N436" s="7"/>
      <c r="O436" s="7"/>
      <c r="P436" s="7"/>
      <c r="Q436" s="7"/>
      <c r="R436" s="7"/>
      <c r="S436" s="7"/>
      <c r="T436" s="7"/>
      <c r="U436" s="7"/>
      <c r="V436" s="7"/>
      <c r="W436" s="7"/>
      <c r="X436" s="7"/>
      <c r="Y436" s="7"/>
      <c r="Z436" s="7"/>
    </row>
    <row r="437" ht="13.5" customHeight="1">
      <c r="A437" s="7"/>
      <c r="B437" s="7"/>
      <c r="C437" s="7"/>
      <c r="D437" s="7"/>
      <c r="E437" s="7"/>
      <c r="F437" s="7"/>
      <c r="G437" s="7"/>
      <c r="H437" s="7"/>
      <c r="I437" s="7"/>
      <c r="J437" s="7"/>
      <c r="K437" s="7"/>
      <c r="L437" s="7"/>
      <c r="M437" s="7"/>
      <c r="N437" s="7"/>
      <c r="O437" s="7"/>
      <c r="P437" s="7"/>
      <c r="Q437" s="7"/>
      <c r="R437" s="7"/>
      <c r="S437" s="7"/>
      <c r="T437" s="7"/>
      <c r="U437" s="7"/>
      <c r="V437" s="7"/>
      <c r="W437" s="7"/>
      <c r="X437" s="7"/>
      <c r="Y437" s="7"/>
      <c r="Z437" s="7"/>
    </row>
    <row r="438" ht="13.5" customHeight="1">
      <c r="A438" s="7"/>
      <c r="B438" s="7"/>
      <c r="C438" s="7"/>
      <c r="D438" s="7"/>
      <c r="E438" s="7"/>
      <c r="F438" s="7"/>
      <c r="G438" s="7"/>
      <c r="H438" s="7"/>
      <c r="I438" s="7"/>
      <c r="J438" s="7"/>
      <c r="K438" s="7"/>
      <c r="L438" s="7"/>
      <c r="M438" s="7"/>
      <c r="N438" s="7"/>
      <c r="O438" s="7"/>
      <c r="P438" s="7"/>
      <c r="Q438" s="7"/>
      <c r="R438" s="7"/>
      <c r="S438" s="7"/>
      <c r="T438" s="7"/>
      <c r="U438" s="7"/>
      <c r="V438" s="7"/>
      <c r="W438" s="7"/>
      <c r="X438" s="7"/>
      <c r="Y438" s="7"/>
      <c r="Z438" s="7"/>
    </row>
    <row r="439" ht="13.5" customHeight="1">
      <c r="A439" s="7"/>
      <c r="B439" s="7"/>
      <c r="C439" s="7"/>
      <c r="D439" s="7"/>
      <c r="E439" s="7"/>
      <c r="F439" s="7"/>
      <c r="G439" s="7"/>
      <c r="H439" s="7"/>
      <c r="I439" s="7"/>
      <c r="J439" s="7"/>
      <c r="K439" s="7"/>
      <c r="L439" s="7"/>
      <c r="M439" s="7"/>
      <c r="N439" s="7"/>
      <c r="O439" s="7"/>
      <c r="P439" s="7"/>
      <c r="Q439" s="7"/>
      <c r="R439" s="7"/>
      <c r="S439" s="7"/>
      <c r="T439" s="7"/>
      <c r="U439" s="7"/>
      <c r="V439" s="7"/>
      <c r="W439" s="7"/>
      <c r="X439" s="7"/>
      <c r="Y439" s="7"/>
      <c r="Z439" s="7"/>
    </row>
    <row r="440" ht="13.5" customHeight="1">
      <c r="A440" s="7"/>
      <c r="B440" s="7"/>
      <c r="C440" s="7"/>
      <c r="D440" s="7"/>
      <c r="E440" s="7"/>
      <c r="F440" s="7"/>
      <c r="G440" s="7"/>
      <c r="H440" s="7"/>
      <c r="I440" s="7"/>
      <c r="J440" s="7"/>
      <c r="K440" s="7"/>
      <c r="L440" s="7"/>
      <c r="M440" s="7"/>
      <c r="N440" s="7"/>
      <c r="O440" s="7"/>
      <c r="P440" s="7"/>
      <c r="Q440" s="7"/>
      <c r="R440" s="7"/>
      <c r="S440" s="7"/>
      <c r="T440" s="7"/>
      <c r="U440" s="7"/>
      <c r="V440" s="7"/>
      <c r="W440" s="7"/>
      <c r="X440" s="7"/>
      <c r="Y440" s="7"/>
      <c r="Z440" s="7"/>
    </row>
    <row r="441" ht="13.5" customHeight="1">
      <c r="A441" s="7"/>
      <c r="B441" s="7"/>
      <c r="C441" s="7"/>
      <c r="D441" s="7"/>
      <c r="E441" s="7"/>
      <c r="F441" s="7"/>
      <c r="G441" s="7"/>
      <c r="H441" s="7"/>
      <c r="I441" s="7"/>
      <c r="J441" s="7"/>
      <c r="K441" s="7"/>
      <c r="L441" s="7"/>
      <c r="M441" s="7"/>
      <c r="N441" s="7"/>
      <c r="O441" s="7"/>
      <c r="P441" s="7"/>
      <c r="Q441" s="7"/>
      <c r="R441" s="7"/>
      <c r="S441" s="7"/>
      <c r="T441" s="7"/>
      <c r="U441" s="7"/>
      <c r="V441" s="7"/>
      <c r="W441" s="7"/>
      <c r="X441" s="7"/>
      <c r="Y441" s="7"/>
      <c r="Z441" s="7"/>
    </row>
    <row r="442" ht="13.5" customHeight="1">
      <c r="A442" s="7"/>
      <c r="B442" s="7"/>
      <c r="C442" s="7"/>
      <c r="D442" s="7"/>
      <c r="E442" s="7"/>
      <c r="F442" s="7"/>
      <c r="G442" s="7"/>
      <c r="H442" s="7"/>
      <c r="I442" s="7"/>
      <c r="J442" s="7"/>
      <c r="K442" s="7"/>
      <c r="L442" s="7"/>
      <c r="M442" s="7"/>
      <c r="N442" s="7"/>
      <c r="O442" s="7"/>
      <c r="P442" s="7"/>
      <c r="Q442" s="7"/>
      <c r="R442" s="7"/>
      <c r="S442" s="7"/>
      <c r="T442" s="7"/>
      <c r="U442" s="7"/>
      <c r="V442" s="7"/>
      <c r="W442" s="7"/>
      <c r="X442" s="7"/>
      <c r="Y442" s="7"/>
      <c r="Z442" s="7"/>
    </row>
    <row r="443" ht="13.5" customHeight="1">
      <c r="A443" s="7"/>
      <c r="B443" s="7"/>
      <c r="C443" s="7"/>
      <c r="D443" s="7"/>
      <c r="E443" s="7"/>
      <c r="F443" s="7"/>
      <c r="G443" s="7"/>
      <c r="H443" s="7"/>
      <c r="I443" s="7"/>
      <c r="J443" s="7"/>
      <c r="K443" s="7"/>
      <c r="L443" s="7"/>
      <c r="M443" s="7"/>
      <c r="N443" s="7"/>
      <c r="O443" s="7"/>
      <c r="P443" s="7"/>
      <c r="Q443" s="7"/>
      <c r="R443" s="7"/>
      <c r="S443" s="7"/>
      <c r="T443" s="7"/>
      <c r="U443" s="7"/>
      <c r="V443" s="7"/>
      <c r="W443" s="7"/>
      <c r="X443" s="7"/>
      <c r="Y443" s="7"/>
      <c r="Z443" s="7"/>
    </row>
    <row r="444" ht="13.5" customHeight="1">
      <c r="A444" s="7"/>
      <c r="B444" s="7"/>
      <c r="C444" s="7"/>
      <c r="D444" s="7"/>
      <c r="E444" s="7"/>
      <c r="F444" s="7"/>
      <c r="G444" s="7"/>
      <c r="H444" s="7"/>
      <c r="I444" s="7"/>
      <c r="J444" s="7"/>
      <c r="K444" s="7"/>
      <c r="L444" s="7"/>
      <c r="M444" s="7"/>
      <c r="N444" s="7"/>
      <c r="O444" s="7"/>
      <c r="P444" s="7"/>
      <c r="Q444" s="7"/>
      <c r="R444" s="7"/>
      <c r="S444" s="7"/>
      <c r="T444" s="7"/>
      <c r="U444" s="7"/>
      <c r="V444" s="7"/>
      <c r="W444" s="7"/>
      <c r="X444" s="7"/>
      <c r="Y444" s="7"/>
      <c r="Z444" s="7"/>
    </row>
    <row r="445" ht="13.5" customHeight="1">
      <c r="A445" s="7"/>
      <c r="B445" s="7"/>
      <c r="C445" s="7"/>
      <c r="D445" s="7"/>
      <c r="E445" s="7"/>
      <c r="F445" s="7"/>
      <c r="G445" s="7"/>
      <c r="H445" s="7"/>
      <c r="I445" s="7"/>
      <c r="J445" s="7"/>
      <c r="K445" s="7"/>
      <c r="L445" s="7"/>
      <c r="M445" s="7"/>
      <c r="N445" s="7"/>
      <c r="O445" s="7"/>
      <c r="P445" s="7"/>
      <c r="Q445" s="7"/>
      <c r="R445" s="7"/>
      <c r="S445" s="7"/>
      <c r="T445" s="7"/>
      <c r="U445" s="7"/>
      <c r="V445" s="7"/>
      <c r="W445" s="7"/>
      <c r="X445" s="7"/>
      <c r="Y445" s="7"/>
      <c r="Z445" s="7"/>
    </row>
    <row r="446" ht="13.5" customHeight="1">
      <c r="A446" s="7"/>
      <c r="B446" s="7"/>
      <c r="C446" s="7"/>
      <c r="D446" s="7"/>
      <c r="E446" s="7"/>
      <c r="F446" s="7"/>
      <c r="G446" s="7"/>
      <c r="H446" s="7"/>
      <c r="I446" s="7"/>
      <c r="J446" s="7"/>
      <c r="K446" s="7"/>
      <c r="L446" s="7"/>
      <c r="M446" s="7"/>
      <c r="N446" s="7"/>
      <c r="O446" s="7"/>
      <c r="P446" s="7"/>
      <c r="Q446" s="7"/>
      <c r="R446" s="7"/>
      <c r="S446" s="7"/>
      <c r="T446" s="7"/>
      <c r="U446" s="7"/>
      <c r="V446" s="7"/>
      <c r="W446" s="7"/>
      <c r="X446" s="7"/>
      <c r="Y446" s="7"/>
      <c r="Z446" s="7"/>
    </row>
    <row r="447" ht="13.5" customHeight="1">
      <c r="A447" s="7"/>
      <c r="B447" s="7"/>
      <c r="C447" s="7"/>
      <c r="D447" s="7"/>
      <c r="E447" s="7"/>
      <c r="F447" s="7"/>
      <c r="G447" s="7"/>
      <c r="H447" s="7"/>
      <c r="I447" s="7"/>
      <c r="J447" s="7"/>
      <c r="K447" s="7"/>
      <c r="L447" s="7"/>
      <c r="M447" s="7"/>
      <c r="N447" s="7"/>
      <c r="O447" s="7"/>
      <c r="P447" s="7"/>
      <c r="Q447" s="7"/>
      <c r="R447" s="7"/>
      <c r="S447" s="7"/>
      <c r="T447" s="7"/>
      <c r="U447" s="7"/>
      <c r="V447" s="7"/>
      <c r="W447" s="7"/>
      <c r="X447" s="7"/>
      <c r="Y447" s="7"/>
      <c r="Z447" s="7"/>
    </row>
    <row r="448" ht="13.5" customHeight="1">
      <c r="A448" s="7"/>
      <c r="B448" s="7"/>
      <c r="C448" s="7"/>
      <c r="D448" s="7"/>
      <c r="E448" s="7"/>
      <c r="F448" s="7"/>
      <c r="G448" s="7"/>
      <c r="H448" s="7"/>
      <c r="I448" s="7"/>
      <c r="J448" s="7"/>
      <c r="K448" s="7"/>
      <c r="L448" s="7"/>
      <c r="M448" s="7"/>
      <c r="N448" s="7"/>
      <c r="O448" s="7"/>
      <c r="P448" s="7"/>
      <c r="Q448" s="7"/>
      <c r="R448" s="7"/>
      <c r="S448" s="7"/>
      <c r="T448" s="7"/>
      <c r="U448" s="7"/>
      <c r="V448" s="7"/>
      <c r="W448" s="7"/>
      <c r="X448" s="7"/>
      <c r="Y448" s="7"/>
      <c r="Z448" s="7"/>
    </row>
    <row r="449" ht="13.5" customHeight="1">
      <c r="A449" s="7"/>
      <c r="B449" s="7"/>
      <c r="C449" s="7"/>
      <c r="D449" s="7"/>
      <c r="E449" s="7"/>
      <c r="F449" s="7"/>
      <c r="G449" s="7"/>
      <c r="H449" s="7"/>
      <c r="I449" s="7"/>
      <c r="J449" s="7"/>
      <c r="K449" s="7"/>
      <c r="L449" s="7"/>
      <c r="M449" s="7"/>
      <c r="N449" s="7"/>
      <c r="O449" s="7"/>
      <c r="P449" s="7"/>
      <c r="Q449" s="7"/>
      <c r="R449" s="7"/>
      <c r="S449" s="7"/>
      <c r="T449" s="7"/>
      <c r="U449" s="7"/>
      <c r="V449" s="7"/>
      <c r="W449" s="7"/>
      <c r="X449" s="7"/>
      <c r="Y449" s="7"/>
      <c r="Z449" s="7"/>
    </row>
    <row r="450" ht="13.5" customHeight="1">
      <c r="A450" s="7"/>
      <c r="B450" s="7"/>
      <c r="C450" s="7"/>
      <c r="D450" s="7"/>
      <c r="E450" s="7"/>
      <c r="F450" s="7"/>
      <c r="G450" s="7"/>
      <c r="H450" s="7"/>
      <c r="I450" s="7"/>
      <c r="J450" s="7"/>
      <c r="K450" s="7"/>
      <c r="L450" s="7"/>
      <c r="M450" s="7"/>
      <c r="N450" s="7"/>
      <c r="O450" s="7"/>
      <c r="P450" s="7"/>
      <c r="Q450" s="7"/>
      <c r="R450" s="7"/>
      <c r="S450" s="7"/>
      <c r="T450" s="7"/>
      <c r="U450" s="7"/>
      <c r="V450" s="7"/>
      <c r="W450" s="7"/>
      <c r="X450" s="7"/>
      <c r="Y450" s="7"/>
      <c r="Z450" s="7"/>
    </row>
    <row r="451" ht="13.5" customHeight="1">
      <c r="A451" s="7"/>
      <c r="B451" s="7"/>
      <c r="C451" s="7"/>
      <c r="D451" s="7"/>
      <c r="E451" s="7"/>
      <c r="F451" s="7"/>
      <c r="G451" s="7"/>
      <c r="H451" s="7"/>
      <c r="I451" s="7"/>
      <c r="J451" s="7"/>
      <c r="K451" s="7"/>
      <c r="L451" s="7"/>
      <c r="M451" s="7"/>
      <c r="N451" s="7"/>
      <c r="O451" s="7"/>
      <c r="P451" s="7"/>
      <c r="Q451" s="7"/>
      <c r="R451" s="7"/>
      <c r="S451" s="7"/>
      <c r="T451" s="7"/>
      <c r="U451" s="7"/>
      <c r="V451" s="7"/>
      <c r="W451" s="7"/>
      <c r="X451" s="7"/>
      <c r="Y451" s="7"/>
      <c r="Z451" s="7"/>
    </row>
    <row r="452" ht="13.5" customHeight="1">
      <c r="A452" s="7"/>
      <c r="B452" s="7"/>
      <c r="C452" s="7"/>
      <c r="D452" s="7"/>
      <c r="E452" s="7"/>
      <c r="F452" s="7"/>
      <c r="G452" s="7"/>
      <c r="H452" s="7"/>
      <c r="I452" s="7"/>
      <c r="J452" s="7"/>
      <c r="K452" s="7"/>
      <c r="L452" s="7"/>
      <c r="M452" s="7"/>
      <c r="N452" s="7"/>
      <c r="O452" s="7"/>
      <c r="P452" s="7"/>
      <c r="Q452" s="7"/>
      <c r="R452" s="7"/>
      <c r="S452" s="7"/>
      <c r="T452" s="7"/>
      <c r="U452" s="7"/>
      <c r="V452" s="7"/>
      <c r="W452" s="7"/>
      <c r="X452" s="7"/>
      <c r="Y452" s="7"/>
      <c r="Z452" s="7"/>
    </row>
    <row r="453" ht="13.5" customHeight="1">
      <c r="A453" s="7"/>
      <c r="B453" s="7"/>
      <c r="C453" s="7"/>
      <c r="D453" s="7"/>
      <c r="E453" s="7"/>
      <c r="F453" s="7"/>
      <c r="G453" s="7"/>
      <c r="H453" s="7"/>
      <c r="I453" s="7"/>
      <c r="J453" s="7"/>
      <c r="K453" s="7"/>
      <c r="L453" s="7"/>
      <c r="M453" s="7"/>
      <c r="N453" s="7"/>
      <c r="O453" s="7"/>
      <c r="P453" s="7"/>
      <c r="Q453" s="7"/>
      <c r="R453" s="7"/>
      <c r="S453" s="7"/>
      <c r="T453" s="7"/>
      <c r="U453" s="7"/>
      <c r="V453" s="7"/>
      <c r="W453" s="7"/>
      <c r="X453" s="7"/>
      <c r="Y453" s="7"/>
      <c r="Z453" s="7"/>
    </row>
    <row r="454" ht="13.5" customHeight="1">
      <c r="A454" s="7"/>
      <c r="B454" s="7"/>
      <c r="C454" s="7"/>
      <c r="D454" s="7"/>
      <c r="E454" s="7"/>
      <c r="F454" s="7"/>
      <c r="G454" s="7"/>
      <c r="H454" s="7"/>
      <c r="I454" s="7"/>
      <c r="J454" s="7"/>
      <c r="K454" s="7"/>
      <c r="L454" s="7"/>
      <c r="M454" s="7"/>
      <c r="N454" s="7"/>
      <c r="O454" s="7"/>
      <c r="P454" s="7"/>
      <c r="Q454" s="7"/>
      <c r="R454" s="7"/>
      <c r="S454" s="7"/>
      <c r="T454" s="7"/>
      <c r="U454" s="7"/>
      <c r="V454" s="7"/>
      <c r="W454" s="7"/>
      <c r="X454" s="7"/>
      <c r="Y454" s="7"/>
      <c r="Z454" s="7"/>
    </row>
    <row r="455" ht="13.5" customHeight="1">
      <c r="A455" s="7"/>
      <c r="B455" s="7"/>
      <c r="C455" s="7"/>
      <c r="D455" s="7"/>
      <c r="E455" s="7"/>
      <c r="F455" s="7"/>
      <c r="G455" s="7"/>
      <c r="H455" s="7"/>
      <c r="I455" s="7"/>
      <c r="J455" s="7"/>
      <c r="K455" s="7"/>
      <c r="L455" s="7"/>
      <c r="M455" s="7"/>
      <c r="N455" s="7"/>
      <c r="O455" s="7"/>
      <c r="P455" s="7"/>
      <c r="Q455" s="7"/>
      <c r="R455" s="7"/>
      <c r="S455" s="7"/>
      <c r="T455" s="7"/>
      <c r="U455" s="7"/>
      <c r="V455" s="7"/>
      <c r="W455" s="7"/>
      <c r="X455" s="7"/>
      <c r="Y455" s="7"/>
      <c r="Z455" s="7"/>
    </row>
    <row r="456" ht="13.5" customHeight="1">
      <c r="A456" s="7"/>
      <c r="B456" s="7"/>
      <c r="C456" s="7"/>
      <c r="D456" s="7"/>
      <c r="E456" s="7"/>
      <c r="F456" s="7"/>
      <c r="G456" s="7"/>
      <c r="H456" s="7"/>
      <c r="I456" s="7"/>
      <c r="J456" s="7"/>
      <c r="K456" s="7"/>
      <c r="L456" s="7"/>
      <c r="M456" s="7"/>
      <c r="N456" s="7"/>
      <c r="O456" s="7"/>
      <c r="P456" s="7"/>
      <c r="Q456" s="7"/>
      <c r="R456" s="7"/>
      <c r="S456" s="7"/>
      <c r="T456" s="7"/>
      <c r="U456" s="7"/>
      <c r="V456" s="7"/>
      <c r="W456" s="7"/>
      <c r="X456" s="7"/>
      <c r="Y456" s="7"/>
      <c r="Z456" s="7"/>
    </row>
    <row r="457" ht="13.5" customHeight="1">
      <c r="A457" s="7"/>
      <c r="B457" s="7"/>
      <c r="C457" s="7"/>
      <c r="D457" s="7"/>
      <c r="E457" s="7"/>
      <c r="F457" s="7"/>
      <c r="G457" s="7"/>
      <c r="H457" s="7"/>
      <c r="I457" s="7"/>
      <c r="J457" s="7"/>
      <c r="K457" s="7"/>
      <c r="L457" s="7"/>
      <c r="M457" s="7"/>
      <c r="N457" s="7"/>
      <c r="O457" s="7"/>
      <c r="P457" s="7"/>
      <c r="Q457" s="7"/>
      <c r="R457" s="7"/>
      <c r="S457" s="7"/>
      <c r="T457" s="7"/>
      <c r="U457" s="7"/>
      <c r="V457" s="7"/>
      <c r="W457" s="7"/>
      <c r="X457" s="7"/>
      <c r="Y457" s="7"/>
      <c r="Z457" s="7"/>
    </row>
    <row r="458" ht="13.5" customHeight="1">
      <c r="A458" s="7"/>
      <c r="B458" s="7"/>
      <c r="C458" s="7"/>
      <c r="D458" s="7"/>
      <c r="E458" s="7"/>
      <c r="F458" s="7"/>
      <c r="G458" s="7"/>
      <c r="H458" s="7"/>
      <c r="I458" s="7"/>
      <c r="J458" s="7"/>
      <c r="K458" s="7"/>
      <c r="L458" s="7"/>
      <c r="M458" s="7"/>
      <c r="N458" s="7"/>
      <c r="O458" s="7"/>
      <c r="P458" s="7"/>
      <c r="Q458" s="7"/>
      <c r="R458" s="7"/>
      <c r="S458" s="7"/>
      <c r="T458" s="7"/>
      <c r="U458" s="7"/>
      <c r="V458" s="7"/>
      <c r="W458" s="7"/>
      <c r="X458" s="7"/>
      <c r="Y458" s="7"/>
      <c r="Z458" s="7"/>
    </row>
    <row r="459" ht="13.5" customHeight="1">
      <c r="A459" s="7"/>
      <c r="B459" s="7"/>
      <c r="C459" s="7"/>
      <c r="D459" s="7"/>
      <c r="E459" s="7"/>
      <c r="F459" s="7"/>
      <c r="G459" s="7"/>
      <c r="H459" s="7"/>
      <c r="I459" s="7"/>
      <c r="J459" s="7"/>
      <c r="K459" s="7"/>
      <c r="L459" s="7"/>
      <c r="M459" s="7"/>
      <c r="N459" s="7"/>
      <c r="O459" s="7"/>
      <c r="P459" s="7"/>
      <c r="Q459" s="7"/>
      <c r="R459" s="7"/>
      <c r="S459" s="7"/>
      <c r="T459" s="7"/>
      <c r="U459" s="7"/>
      <c r="V459" s="7"/>
      <c r="W459" s="7"/>
      <c r="X459" s="7"/>
      <c r="Y459" s="7"/>
      <c r="Z459" s="7"/>
    </row>
    <row r="460" ht="13.5" customHeight="1">
      <c r="A460" s="7"/>
      <c r="B460" s="7"/>
      <c r="C460" s="7"/>
      <c r="D460" s="7"/>
      <c r="E460" s="7"/>
      <c r="F460" s="7"/>
      <c r="G460" s="7"/>
      <c r="H460" s="7"/>
      <c r="I460" s="7"/>
      <c r="J460" s="7"/>
      <c r="K460" s="7"/>
      <c r="L460" s="7"/>
      <c r="M460" s="7"/>
      <c r="N460" s="7"/>
      <c r="O460" s="7"/>
      <c r="P460" s="7"/>
      <c r="Q460" s="7"/>
      <c r="R460" s="7"/>
      <c r="S460" s="7"/>
      <c r="T460" s="7"/>
      <c r="U460" s="7"/>
      <c r="V460" s="7"/>
      <c r="W460" s="7"/>
      <c r="X460" s="7"/>
      <c r="Y460" s="7"/>
      <c r="Z460" s="7"/>
    </row>
    <row r="461" ht="13.5" customHeight="1">
      <c r="A461" s="7"/>
      <c r="B461" s="7"/>
      <c r="C461" s="7"/>
      <c r="D461" s="7"/>
      <c r="E461" s="7"/>
      <c r="F461" s="7"/>
      <c r="G461" s="7"/>
      <c r="H461" s="7"/>
      <c r="I461" s="7"/>
      <c r="J461" s="7"/>
      <c r="K461" s="7"/>
      <c r="L461" s="7"/>
      <c r="M461" s="7"/>
      <c r="N461" s="7"/>
      <c r="O461" s="7"/>
      <c r="P461" s="7"/>
      <c r="Q461" s="7"/>
      <c r="R461" s="7"/>
      <c r="S461" s="7"/>
      <c r="T461" s="7"/>
      <c r="U461" s="7"/>
      <c r="V461" s="7"/>
      <c r="W461" s="7"/>
      <c r="X461" s="7"/>
      <c r="Y461" s="7"/>
      <c r="Z461" s="7"/>
    </row>
    <row r="462" ht="13.5" customHeight="1">
      <c r="A462" s="7"/>
      <c r="B462" s="7"/>
      <c r="C462" s="7"/>
      <c r="D462" s="7"/>
      <c r="E462" s="7"/>
      <c r="F462" s="7"/>
      <c r="G462" s="7"/>
      <c r="H462" s="7"/>
      <c r="I462" s="7"/>
      <c r="J462" s="7"/>
      <c r="K462" s="7"/>
      <c r="L462" s="7"/>
      <c r="M462" s="7"/>
      <c r="N462" s="7"/>
      <c r="O462" s="7"/>
      <c r="P462" s="7"/>
      <c r="Q462" s="7"/>
      <c r="R462" s="7"/>
      <c r="S462" s="7"/>
      <c r="T462" s="7"/>
      <c r="U462" s="7"/>
      <c r="V462" s="7"/>
      <c r="W462" s="7"/>
      <c r="X462" s="7"/>
      <c r="Y462" s="7"/>
      <c r="Z462" s="7"/>
    </row>
    <row r="463" ht="13.5" customHeight="1">
      <c r="A463" s="7"/>
      <c r="B463" s="7"/>
      <c r="C463" s="7"/>
      <c r="D463" s="7"/>
      <c r="E463" s="7"/>
      <c r="F463" s="7"/>
      <c r="G463" s="7"/>
      <c r="H463" s="7"/>
      <c r="I463" s="7"/>
      <c r="J463" s="7"/>
      <c r="K463" s="7"/>
      <c r="L463" s="7"/>
      <c r="M463" s="7"/>
      <c r="N463" s="7"/>
      <c r="O463" s="7"/>
      <c r="P463" s="7"/>
      <c r="Q463" s="7"/>
      <c r="R463" s="7"/>
      <c r="S463" s="7"/>
      <c r="T463" s="7"/>
      <c r="U463" s="7"/>
      <c r="V463" s="7"/>
      <c r="W463" s="7"/>
      <c r="X463" s="7"/>
      <c r="Y463" s="7"/>
      <c r="Z463" s="7"/>
    </row>
    <row r="464" ht="13.5" customHeight="1">
      <c r="A464" s="7"/>
      <c r="B464" s="7"/>
      <c r="C464" s="7"/>
      <c r="D464" s="7"/>
      <c r="E464" s="7"/>
      <c r="F464" s="7"/>
      <c r="G464" s="7"/>
      <c r="H464" s="7"/>
      <c r="I464" s="7"/>
      <c r="J464" s="7"/>
      <c r="K464" s="7"/>
      <c r="L464" s="7"/>
      <c r="M464" s="7"/>
      <c r="N464" s="7"/>
      <c r="O464" s="7"/>
      <c r="P464" s="7"/>
      <c r="Q464" s="7"/>
      <c r="R464" s="7"/>
      <c r="S464" s="7"/>
      <c r="T464" s="7"/>
      <c r="U464" s="7"/>
      <c r="V464" s="7"/>
      <c r="W464" s="7"/>
      <c r="X464" s="7"/>
      <c r="Y464" s="7"/>
      <c r="Z464" s="7"/>
    </row>
    <row r="465" ht="13.5" customHeight="1">
      <c r="A465" s="7"/>
      <c r="B465" s="7"/>
      <c r="C465" s="7"/>
      <c r="D465" s="7"/>
      <c r="E465" s="7"/>
      <c r="F465" s="7"/>
      <c r="G465" s="7"/>
      <c r="H465" s="7"/>
      <c r="I465" s="7"/>
      <c r="J465" s="7"/>
      <c r="K465" s="7"/>
      <c r="L465" s="7"/>
      <c r="M465" s="7"/>
      <c r="N465" s="7"/>
      <c r="O465" s="7"/>
      <c r="P465" s="7"/>
      <c r="Q465" s="7"/>
      <c r="R465" s="7"/>
      <c r="S465" s="7"/>
      <c r="T465" s="7"/>
      <c r="U465" s="7"/>
      <c r="V465" s="7"/>
      <c r="W465" s="7"/>
      <c r="X465" s="7"/>
      <c r="Y465" s="7"/>
      <c r="Z465" s="7"/>
    </row>
    <row r="466" ht="13.5" customHeight="1">
      <c r="A466" s="7"/>
      <c r="B466" s="7"/>
      <c r="C466" s="7"/>
      <c r="D466" s="7"/>
      <c r="E466" s="7"/>
      <c r="F466" s="7"/>
      <c r="G466" s="7"/>
      <c r="H466" s="7"/>
      <c r="I466" s="7"/>
      <c r="J466" s="7"/>
      <c r="K466" s="7"/>
      <c r="L466" s="7"/>
      <c r="M466" s="7"/>
      <c r="N466" s="7"/>
      <c r="O466" s="7"/>
      <c r="P466" s="7"/>
      <c r="Q466" s="7"/>
      <c r="R466" s="7"/>
      <c r="S466" s="7"/>
      <c r="T466" s="7"/>
      <c r="U466" s="7"/>
      <c r="V466" s="7"/>
      <c r="W466" s="7"/>
      <c r="X466" s="7"/>
      <c r="Y466" s="7"/>
      <c r="Z466" s="7"/>
    </row>
    <row r="467" ht="13.5" customHeight="1">
      <c r="A467" s="7"/>
      <c r="B467" s="7"/>
      <c r="C467" s="7"/>
      <c r="D467" s="7"/>
      <c r="E467" s="7"/>
      <c r="F467" s="7"/>
      <c r="G467" s="7"/>
      <c r="H467" s="7"/>
      <c r="I467" s="7"/>
      <c r="J467" s="7"/>
      <c r="K467" s="7"/>
      <c r="L467" s="7"/>
      <c r="M467" s="7"/>
      <c r="N467" s="7"/>
      <c r="O467" s="7"/>
      <c r="P467" s="7"/>
      <c r="Q467" s="7"/>
      <c r="R467" s="7"/>
      <c r="S467" s="7"/>
      <c r="T467" s="7"/>
      <c r="U467" s="7"/>
      <c r="V467" s="7"/>
      <c r="W467" s="7"/>
      <c r="X467" s="7"/>
      <c r="Y467" s="7"/>
      <c r="Z467" s="7"/>
    </row>
    <row r="468" ht="13.5" customHeight="1">
      <c r="A468" s="7"/>
      <c r="B468" s="7"/>
      <c r="C468" s="7"/>
      <c r="D468" s="7"/>
      <c r="E468" s="7"/>
      <c r="F468" s="7"/>
      <c r="G468" s="7"/>
      <c r="H468" s="7"/>
      <c r="I468" s="7"/>
      <c r="J468" s="7"/>
      <c r="K468" s="7"/>
      <c r="L468" s="7"/>
      <c r="M468" s="7"/>
      <c r="N468" s="7"/>
      <c r="O468" s="7"/>
      <c r="P468" s="7"/>
      <c r="Q468" s="7"/>
      <c r="R468" s="7"/>
      <c r="S468" s="7"/>
      <c r="T468" s="7"/>
      <c r="U468" s="7"/>
      <c r="V468" s="7"/>
      <c r="W468" s="7"/>
      <c r="X468" s="7"/>
      <c r="Y468" s="7"/>
      <c r="Z468" s="7"/>
    </row>
    <row r="469" ht="13.5" customHeight="1">
      <c r="A469" s="7"/>
      <c r="B469" s="7"/>
      <c r="C469" s="7"/>
      <c r="D469" s="7"/>
      <c r="E469" s="7"/>
      <c r="F469" s="7"/>
      <c r="G469" s="7"/>
      <c r="H469" s="7"/>
      <c r="I469" s="7"/>
      <c r="J469" s="7"/>
      <c r="K469" s="7"/>
      <c r="L469" s="7"/>
      <c r="M469" s="7"/>
      <c r="N469" s="7"/>
      <c r="O469" s="7"/>
      <c r="P469" s="7"/>
      <c r="Q469" s="7"/>
      <c r="R469" s="7"/>
      <c r="S469" s="7"/>
      <c r="T469" s="7"/>
      <c r="U469" s="7"/>
      <c r="V469" s="7"/>
      <c r="W469" s="7"/>
      <c r="X469" s="7"/>
      <c r="Y469" s="7"/>
      <c r="Z469" s="7"/>
    </row>
    <row r="470" ht="13.5" customHeight="1">
      <c r="A470" s="7"/>
      <c r="B470" s="7"/>
      <c r="C470" s="7"/>
      <c r="D470" s="7"/>
      <c r="E470" s="7"/>
      <c r="F470" s="7"/>
      <c r="G470" s="7"/>
      <c r="H470" s="7"/>
      <c r="I470" s="7"/>
      <c r="J470" s="7"/>
      <c r="K470" s="7"/>
      <c r="L470" s="7"/>
      <c r="M470" s="7"/>
      <c r="N470" s="7"/>
      <c r="O470" s="7"/>
      <c r="P470" s="7"/>
      <c r="Q470" s="7"/>
      <c r="R470" s="7"/>
      <c r="S470" s="7"/>
      <c r="T470" s="7"/>
      <c r="U470" s="7"/>
      <c r="V470" s="7"/>
      <c r="W470" s="7"/>
      <c r="X470" s="7"/>
      <c r="Y470" s="7"/>
      <c r="Z470" s="7"/>
    </row>
    <row r="471" ht="13.5" customHeight="1">
      <c r="A471" s="7"/>
      <c r="B471" s="7"/>
      <c r="C471" s="7"/>
      <c r="D471" s="7"/>
      <c r="E471" s="7"/>
      <c r="F471" s="7"/>
      <c r="G471" s="7"/>
      <c r="H471" s="7"/>
      <c r="I471" s="7"/>
      <c r="J471" s="7"/>
      <c r="K471" s="7"/>
      <c r="L471" s="7"/>
      <c r="M471" s="7"/>
      <c r="N471" s="7"/>
      <c r="O471" s="7"/>
      <c r="P471" s="7"/>
      <c r="Q471" s="7"/>
      <c r="R471" s="7"/>
      <c r="S471" s="7"/>
      <c r="T471" s="7"/>
      <c r="U471" s="7"/>
      <c r="V471" s="7"/>
      <c r="W471" s="7"/>
      <c r="X471" s="7"/>
      <c r="Y471" s="7"/>
      <c r="Z471" s="7"/>
    </row>
    <row r="472" ht="13.5" customHeight="1">
      <c r="A472" s="7"/>
      <c r="B472" s="7"/>
      <c r="C472" s="7"/>
      <c r="D472" s="7"/>
      <c r="E472" s="7"/>
      <c r="F472" s="7"/>
      <c r="G472" s="7"/>
      <c r="H472" s="7"/>
      <c r="I472" s="7"/>
      <c r="J472" s="7"/>
      <c r="K472" s="7"/>
      <c r="L472" s="7"/>
      <c r="M472" s="7"/>
      <c r="N472" s="7"/>
      <c r="O472" s="7"/>
      <c r="P472" s="7"/>
      <c r="Q472" s="7"/>
      <c r="R472" s="7"/>
      <c r="S472" s="7"/>
      <c r="T472" s="7"/>
      <c r="U472" s="7"/>
      <c r="V472" s="7"/>
      <c r="W472" s="7"/>
      <c r="X472" s="7"/>
      <c r="Y472" s="7"/>
      <c r="Z472" s="7"/>
    </row>
    <row r="473" ht="13.5" customHeight="1">
      <c r="A473" s="7"/>
      <c r="B473" s="7"/>
      <c r="C473" s="7"/>
      <c r="D473" s="7"/>
      <c r="E473" s="7"/>
      <c r="F473" s="7"/>
      <c r="G473" s="7"/>
      <c r="H473" s="7"/>
      <c r="I473" s="7"/>
      <c r="J473" s="7"/>
      <c r="K473" s="7"/>
      <c r="L473" s="7"/>
      <c r="M473" s="7"/>
      <c r="N473" s="7"/>
      <c r="O473" s="7"/>
      <c r="P473" s="7"/>
      <c r="Q473" s="7"/>
      <c r="R473" s="7"/>
      <c r="S473" s="7"/>
      <c r="T473" s="7"/>
      <c r="U473" s="7"/>
      <c r="V473" s="7"/>
      <c r="W473" s="7"/>
      <c r="X473" s="7"/>
      <c r="Y473" s="7"/>
      <c r="Z473" s="7"/>
    </row>
    <row r="474" ht="13.5" customHeight="1">
      <c r="A474" s="7"/>
      <c r="B474" s="7"/>
      <c r="C474" s="7"/>
      <c r="D474" s="7"/>
      <c r="E474" s="7"/>
      <c r="F474" s="7"/>
      <c r="G474" s="7"/>
      <c r="H474" s="7"/>
      <c r="I474" s="7"/>
      <c r="J474" s="7"/>
      <c r="K474" s="7"/>
      <c r="L474" s="7"/>
      <c r="M474" s="7"/>
      <c r="N474" s="7"/>
      <c r="O474" s="7"/>
      <c r="P474" s="7"/>
      <c r="Q474" s="7"/>
      <c r="R474" s="7"/>
      <c r="S474" s="7"/>
      <c r="T474" s="7"/>
      <c r="U474" s="7"/>
      <c r="V474" s="7"/>
      <c r="W474" s="7"/>
      <c r="X474" s="7"/>
      <c r="Y474" s="7"/>
      <c r="Z474" s="7"/>
    </row>
    <row r="475" ht="13.5" customHeight="1">
      <c r="A475" s="7"/>
      <c r="B475" s="7"/>
      <c r="C475" s="7"/>
      <c r="D475" s="7"/>
      <c r="E475" s="7"/>
      <c r="F475" s="7"/>
      <c r="G475" s="7"/>
      <c r="H475" s="7"/>
      <c r="I475" s="7"/>
      <c r="J475" s="7"/>
      <c r="K475" s="7"/>
      <c r="L475" s="7"/>
      <c r="M475" s="7"/>
      <c r="N475" s="7"/>
      <c r="O475" s="7"/>
      <c r="P475" s="7"/>
      <c r="Q475" s="7"/>
      <c r="R475" s="7"/>
      <c r="S475" s="7"/>
      <c r="T475" s="7"/>
      <c r="U475" s="7"/>
      <c r="V475" s="7"/>
      <c r="W475" s="7"/>
      <c r="X475" s="7"/>
      <c r="Y475" s="7"/>
      <c r="Z475" s="7"/>
    </row>
    <row r="476" ht="13.5" customHeight="1">
      <c r="A476" s="7"/>
      <c r="B476" s="7"/>
      <c r="C476" s="7"/>
      <c r="D476" s="7"/>
      <c r="E476" s="7"/>
      <c r="F476" s="7"/>
      <c r="G476" s="7"/>
      <c r="H476" s="7"/>
      <c r="I476" s="7"/>
      <c r="J476" s="7"/>
      <c r="K476" s="7"/>
      <c r="L476" s="7"/>
      <c r="M476" s="7"/>
      <c r="N476" s="7"/>
      <c r="O476" s="7"/>
      <c r="P476" s="7"/>
      <c r="Q476" s="7"/>
      <c r="R476" s="7"/>
      <c r="S476" s="7"/>
      <c r="T476" s="7"/>
      <c r="U476" s="7"/>
      <c r="V476" s="7"/>
      <c r="W476" s="7"/>
      <c r="X476" s="7"/>
      <c r="Y476" s="7"/>
      <c r="Z476" s="7"/>
    </row>
    <row r="477" ht="13.5" customHeight="1">
      <c r="A477" s="7"/>
      <c r="B477" s="7"/>
      <c r="C477" s="7"/>
      <c r="D477" s="7"/>
      <c r="E477" s="7"/>
      <c r="F477" s="7"/>
      <c r="G477" s="7"/>
      <c r="H477" s="7"/>
      <c r="I477" s="7"/>
      <c r="J477" s="7"/>
      <c r="K477" s="7"/>
      <c r="L477" s="7"/>
      <c r="M477" s="7"/>
      <c r="N477" s="7"/>
      <c r="O477" s="7"/>
      <c r="P477" s="7"/>
      <c r="Q477" s="7"/>
      <c r="R477" s="7"/>
      <c r="S477" s="7"/>
      <c r="T477" s="7"/>
      <c r="U477" s="7"/>
      <c r="V477" s="7"/>
      <c r="W477" s="7"/>
      <c r="X477" s="7"/>
      <c r="Y477" s="7"/>
      <c r="Z477" s="7"/>
    </row>
    <row r="478" ht="13.5" customHeight="1">
      <c r="A478" s="7"/>
      <c r="B478" s="7"/>
      <c r="C478" s="7"/>
      <c r="D478" s="7"/>
      <c r="E478" s="7"/>
      <c r="F478" s="7"/>
      <c r="G478" s="7"/>
      <c r="H478" s="7"/>
      <c r="I478" s="7"/>
      <c r="J478" s="7"/>
      <c r="K478" s="7"/>
      <c r="L478" s="7"/>
      <c r="M478" s="7"/>
      <c r="N478" s="7"/>
      <c r="O478" s="7"/>
      <c r="P478" s="7"/>
      <c r="Q478" s="7"/>
      <c r="R478" s="7"/>
      <c r="S478" s="7"/>
      <c r="T478" s="7"/>
      <c r="U478" s="7"/>
      <c r="V478" s="7"/>
      <c r="W478" s="7"/>
      <c r="X478" s="7"/>
      <c r="Y478" s="7"/>
      <c r="Z478" s="7"/>
    </row>
    <row r="479" ht="13.5" customHeight="1">
      <c r="A479" s="7"/>
      <c r="B479" s="7"/>
      <c r="C479" s="7"/>
      <c r="D479" s="7"/>
      <c r="E479" s="7"/>
      <c r="F479" s="7"/>
      <c r="G479" s="7"/>
      <c r="H479" s="7"/>
      <c r="I479" s="7"/>
      <c r="J479" s="7"/>
      <c r="K479" s="7"/>
      <c r="L479" s="7"/>
      <c r="M479" s="7"/>
      <c r="N479" s="7"/>
      <c r="O479" s="7"/>
      <c r="P479" s="7"/>
      <c r="Q479" s="7"/>
      <c r="R479" s="7"/>
      <c r="S479" s="7"/>
      <c r="T479" s="7"/>
      <c r="U479" s="7"/>
      <c r="V479" s="7"/>
      <c r="W479" s="7"/>
      <c r="X479" s="7"/>
      <c r="Y479" s="7"/>
      <c r="Z479" s="7"/>
    </row>
    <row r="480" ht="13.5" customHeight="1">
      <c r="A480" s="7"/>
      <c r="B480" s="7"/>
      <c r="C480" s="7"/>
      <c r="D480" s="7"/>
      <c r="E480" s="7"/>
      <c r="F480" s="7"/>
      <c r="G480" s="7"/>
      <c r="H480" s="7"/>
      <c r="I480" s="7"/>
      <c r="J480" s="7"/>
      <c r="K480" s="7"/>
      <c r="L480" s="7"/>
      <c r="M480" s="7"/>
      <c r="N480" s="7"/>
      <c r="O480" s="7"/>
      <c r="P480" s="7"/>
      <c r="Q480" s="7"/>
      <c r="R480" s="7"/>
      <c r="S480" s="7"/>
      <c r="T480" s="7"/>
      <c r="U480" s="7"/>
      <c r="V480" s="7"/>
      <c r="W480" s="7"/>
      <c r="X480" s="7"/>
      <c r="Y480" s="7"/>
      <c r="Z480" s="7"/>
    </row>
    <row r="481" ht="13.5" customHeight="1">
      <c r="A481" s="7"/>
      <c r="B481" s="7"/>
      <c r="C481" s="7"/>
      <c r="D481" s="7"/>
      <c r="E481" s="7"/>
      <c r="F481" s="7"/>
      <c r="G481" s="7"/>
      <c r="H481" s="7"/>
      <c r="I481" s="7"/>
      <c r="J481" s="7"/>
      <c r="K481" s="7"/>
      <c r="L481" s="7"/>
      <c r="M481" s="7"/>
      <c r="N481" s="7"/>
      <c r="O481" s="7"/>
      <c r="P481" s="7"/>
      <c r="Q481" s="7"/>
      <c r="R481" s="7"/>
      <c r="S481" s="7"/>
      <c r="T481" s="7"/>
      <c r="U481" s="7"/>
      <c r="V481" s="7"/>
      <c r="W481" s="7"/>
      <c r="X481" s="7"/>
      <c r="Y481" s="7"/>
      <c r="Z481" s="7"/>
    </row>
    <row r="482" ht="13.5" customHeight="1">
      <c r="A482" s="7"/>
      <c r="B482" s="7"/>
      <c r="C482" s="7"/>
      <c r="D482" s="7"/>
      <c r="E482" s="7"/>
      <c r="F482" s="7"/>
      <c r="G482" s="7"/>
      <c r="H482" s="7"/>
      <c r="I482" s="7"/>
      <c r="J482" s="7"/>
      <c r="K482" s="7"/>
      <c r="L482" s="7"/>
      <c r="M482" s="7"/>
      <c r="N482" s="7"/>
      <c r="O482" s="7"/>
      <c r="P482" s="7"/>
      <c r="Q482" s="7"/>
      <c r="R482" s="7"/>
      <c r="S482" s="7"/>
      <c r="T482" s="7"/>
      <c r="U482" s="7"/>
      <c r="V482" s="7"/>
      <c r="W482" s="7"/>
      <c r="X482" s="7"/>
      <c r="Y482" s="7"/>
      <c r="Z482" s="7"/>
    </row>
    <row r="483" ht="13.5" customHeight="1">
      <c r="A483" s="7"/>
      <c r="B483" s="7"/>
      <c r="C483" s="7"/>
      <c r="D483" s="7"/>
      <c r="E483" s="7"/>
      <c r="F483" s="7"/>
      <c r="G483" s="7"/>
      <c r="H483" s="7"/>
      <c r="I483" s="7"/>
      <c r="J483" s="7"/>
      <c r="K483" s="7"/>
      <c r="L483" s="7"/>
      <c r="M483" s="7"/>
      <c r="N483" s="7"/>
      <c r="O483" s="7"/>
      <c r="P483" s="7"/>
      <c r="Q483" s="7"/>
      <c r="R483" s="7"/>
      <c r="S483" s="7"/>
      <c r="T483" s="7"/>
      <c r="U483" s="7"/>
      <c r="V483" s="7"/>
      <c r="W483" s="7"/>
      <c r="X483" s="7"/>
      <c r="Y483" s="7"/>
      <c r="Z483" s="7"/>
    </row>
    <row r="484" ht="13.5" customHeight="1">
      <c r="A484" s="7"/>
      <c r="B484" s="7"/>
      <c r="C484" s="7"/>
      <c r="D484" s="7"/>
      <c r="E484" s="7"/>
      <c r="F484" s="7"/>
      <c r="G484" s="7"/>
      <c r="H484" s="7"/>
      <c r="I484" s="7"/>
      <c r="J484" s="7"/>
      <c r="K484" s="7"/>
      <c r="L484" s="7"/>
      <c r="M484" s="7"/>
      <c r="N484" s="7"/>
      <c r="O484" s="7"/>
      <c r="P484" s="7"/>
      <c r="Q484" s="7"/>
      <c r="R484" s="7"/>
      <c r="S484" s="7"/>
      <c r="T484" s="7"/>
      <c r="U484" s="7"/>
      <c r="V484" s="7"/>
      <c r="W484" s="7"/>
      <c r="X484" s="7"/>
      <c r="Y484" s="7"/>
      <c r="Z484" s="7"/>
    </row>
    <row r="485" ht="13.5" customHeight="1">
      <c r="A485" s="7"/>
      <c r="B485" s="7"/>
      <c r="C485" s="7"/>
      <c r="D485" s="7"/>
      <c r="E485" s="7"/>
      <c r="F485" s="7"/>
      <c r="G485" s="7"/>
      <c r="H485" s="7"/>
      <c r="I485" s="7"/>
      <c r="J485" s="7"/>
      <c r="K485" s="7"/>
      <c r="L485" s="7"/>
      <c r="M485" s="7"/>
      <c r="N485" s="7"/>
      <c r="O485" s="7"/>
      <c r="P485" s="7"/>
      <c r="Q485" s="7"/>
      <c r="R485" s="7"/>
      <c r="S485" s="7"/>
      <c r="T485" s="7"/>
      <c r="U485" s="7"/>
      <c r="V485" s="7"/>
      <c r="W485" s="7"/>
      <c r="X485" s="7"/>
      <c r="Y485" s="7"/>
      <c r="Z485" s="7"/>
    </row>
    <row r="486" ht="13.5" customHeight="1">
      <c r="A486" s="7"/>
      <c r="B486" s="7"/>
      <c r="C486" s="7"/>
      <c r="D486" s="7"/>
      <c r="E486" s="7"/>
      <c r="F486" s="7"/>
      <c r="G486" s="7"/>
      <c r="H486" s="7"/>
      <c r="I486" s="7"/>
      <c r="J486" s="7"/>
      <c r="K486" s="7"/>
      <c r="L486" s="7"/>
      <c r="M486" s="7"/>
      <c r="N486" s="7"/>
      <c r="O486" s="7"/>
      <c r="P486" s="7"/>
      <c r="Q486" s="7"/>
      <c r="R486" s="7"/>
      <c r="S486" s="7"/>
      <c r="T486" s="7"/>
      <c r="U486" s="7"/>
      <c r="V486" s="7"/>
      <c r="W486" s="7"/>
      <c r="X486" s="7"/>
      <c r="Y486" s="7"/>
      <c r="Z486" s="7"/>
    </row>
    <row r="487" ht="13.5" customHeight="1">
      <c r="A487" s="7"/>
      <c r="B487" s="7"/>
      <c r="C487" s="7"/>
      <c r="D487" s="7"/>
      <c r="E487" s="7"/>
      <c r="F487" s="7"/>
      <c r="G487" s="7"/>
      <c r="H487" s="7"/>
      <c r="I487" s="7"/>
      <c r="J487" s="7"/>
      <c r="K487" s="7"/>
      <c r="L487" s="7"/>
      <c r="M487" s="7"/>
      <c r="N487" s="7"/>
      <c r="O487" s="7"/>
      <c r="P487" s="7"/>
      <c r="Q487" s="7"/>
      <c r="R487" s="7"/>
      <c r="S487" s="7"/>
      <c r="T487" s="7"/>
      <c r="U487" s="7"/>
      <c r="V487" s="7"/>
      <c r="W487" s="7"/>
      <c r="X487" s="7"/>
      <c r="Y487" s="7"/>
      <c r="Z487" s="7"/>
    </row>
    <row r="488" ht="13.5" customHeight="1">
      <c r="A488" s="7"/>
      <c r="B488" s="7"/>
      <c r="C488" s="7"/>
      <c r="D488" s="7"/>
      <c r="E488" s="7"/>
      <c r="F488" s="7"/>
      <c r="G488" s="7"/>
      <c r="H488" s="7"/>
      <c r="I488" s="7"/>
      <c r="J488" s="7"/>
      <c r="K488" s="7"/>
      <c r="L488" s="7"/>
      <c r="M488" s="7"/>
      <c r="N488" s="7"/>
      <c r="O488" s="7"/>
      <c r="P488" s="7"/>
      <c r="Q488" s="7"/>
      <c r="R488" s="7"/>
      <c r="S488" s="7"/>
      <c r="T488" s="7"/>
      <c r="U488" s="7"/>
      <c r="V488" s="7"/>
      <c r="W488" s="7"/>
      <c r="X488" s="7"/>
      <c r="Y488" s="7"/>
      <c r="Z488" s="7"/>
    </row>
    <row r="489" ht="13.5" customHeight="1">
      <c r="A489" s="7"/>
      <c r="B489" s="7"/>
      <c r="C489" s="7"/>
      <c r="D489" s="7"/>
      <c r="E489" s="7"/>
      <c r="F489" s="7"/>
      <c r="G489" s="7"/>
      <c r="H489" s="7"/>
      <c r="I489" s="7"/>
      <c r="J489" s="7"/>
      <c r="K489" s="7"/>
      <c r="L489" s="7"/>
      <c r="M489" s="7"/>
      <c r="N489" s="7"/>
      <c r="O489" s="7"/>
      <c r="P489" s="7"/>
      <c r="Q489" s="7"/>
      <c r="R489" s="7"/>
      <c r="S489" s="7"/>
      <c r="T489" s="7"/>
      <c r="U489" s="7"/>
      <c r="V489" s="7"/>
      <c r="W489" s="7"/>
      <c r="X489" s="7"/>
      <c r="Y489" s="7"/>
      <c r="Z489" s="7"/>
    </row>
    <row r="490" ht="13.5" customHeight="1">
      <c r="A490" s="7"/>
      <c r="B490" s="7"/>
      <c r="C490" s="7"/>
      <c r="D490" s="7"/>
      <c r="E490" s="7"/>
      <c r="F490" s="7"/>
      <c r="G490" s="7"/>
      <c r="H490" s="7"/>
      <c r="I490" s="7"/>
      <c r="J490" s="7"/>
      <c r="K490" s="7"/>
      <c r="L490" s="7"/>
      <c r="M490" s="7"/>
      <c r="N490" s="7"/>
      <c r="O490" s="7"/>
      <c r="P490" s="7"/>
      <c r="Q490" s="7"/>
      <c r="R490" s="7"/>
      <c r="S490" s="7"/>
      <c r="T490" s="7"/>
      <c r="U490" s="7"/>
      <c r="V490" s="7"/>
      <c r="W490" s="7"/>
      <c r="X490" s="7"/>
      <c r="Y490" s="7"/>
      <c r="Z490" s="7"/>
    </row>
    <row r="491" ht="13.5" customHeight="1">
      <c r="A491" s="7"/>
      <c r="B491" s="7"/>
      <c r="C491" s="7"/>
      <c r="D491" s="7"/>
      <c r="E491" s="7"/>
      <c r="F491" s="7"/>
      <c r="G491" s="7"/>
      <c r="H491" s="7"/>
      <c r="I491" s="7"/>
      <c r="J491" s="7"/>
      <c r="K491" s="7"/>
      <c r="L491" s="7"/>
      <c r="M491" s="7"/>
      <c r="N491" s="7"/>
      <c r="O491" s="7"/>
      <c r="P491" s="7"/>
      <c r="Q491" s="7"/>
      <c r="R491" s="7"/>
      <c r="S491" s="7"/>
      <c r="T491" s="7"/>
      <c r="U491" s="7"/>
      <c r="V491" s="7"/>
      <c r="W491" s="7"/>
      <c r="X491" s="7"/>
      <c r="Y491" s="7"/>
      <c r="Z491" s="7"/>
    </row>
    <row r="492" ht="13.5" customHeight="1">
      <c r="A492" s="7"/>
      <c r="B492" s="7"/>
      <c r="C492" s="7"/>
      <c r="D492" s="7"/>
      <c r="E492" s="7"/>
      <c r="F492" s="7"/>
      <c r="G492" s="7"/>
      <c r="H492" s="7"/>
      <c r="I492" s="7"/>
      <c r="J492" s="7"/>
      <c r="K492" s="7"/>
      <c r="L492" s="7"/>
      <c r="M492" s="7"/>
      <c r="N492" s="7"/>
      <c r="O492" s="7"/>
      <c r="P492" s="7"/>
      <c r="Q492" s="7"/>
      <c r="R492" s="7"/>
      <c r="S492" s="7"/>
      <c r="T492" s="7"/>
      <c r="U492" s="7"/>
      <c r="V492" s="7"/>
      <c r="W492" s="7"/>
      <c r="X492" s="7"/>
      <c r="Y492" s="7"/>
      <c r="Z492" s="7"/>
    </row>
    <row r="493" ht="13.5" customHeight="1">
      <c r="A493" s="7"/>
      <c r="B493" s="7"/>
      <c r="C493" s="7"/>
      <c r="D493" s="7"/>
      <c r="E493" s="7"/>
      <c r="F493" s="7"/>
      <c r="G493" s="7"/>
      <c r="H493" s="7"/>
      <c r="I493" s="7"/>
      <c r="J493" s="7"/>
      <c r="K493" s="7"/>
      <c r="L493" s="7"/>
      <c r="M493" s="7"/>
      <c r="N493" s="7"/>
      <c r="O493" s="7"/>
      <c r="P493" s="7"/>
      <c r="Q493" s="7"/>
      <c r="R493" s="7"/>
      <c r="S493" s="7"/>
      <c r="T493" s="7"/>
      <c r="U493" s="7"/>
      <c r="V493" s="7"/>
      <c r="W493" s="7"/>
      <c r="X493" s="7"/>
      <c r="Y493" s="7"/>
      <c r="Z493" s="7"/>
    </row>
    <row r="494" ht="13.5" customHeight="1">
      <c r="A494" s="7"/>
      <c r="B494" s="7"/>
      <c r="C494" s="7"/>
      <c r="D494" s="7"/>
      <c r="E494" s="7"/>
      <c r="F494" s="7"/>
      <c r="G494" s="7"/>
      <c r="H494" s="7"/>
      <c r="I494" s="7"/>
      <c r="J494" s="7"/>
      <c r="K494" s="7"/>
      <c r="L494" s="7"/>
      <c r="M494" s="7"/>
      <c r="N494" s="7"/>
      <c r="O494" s="7"/>
      <c r="P494" s="7"/>
      <c r="Q494" s="7"/>
      <c r="R494" s="7"/>
      <c r="S494" s="7"/>
      <c r="T494" s="7"/>
      <c r="U494" s="7"/>
      <c r="V494" s="7"/>
      <c r="W494" s="7"/>
      <c r="X494" s="7"/>
      <c r="Y494" s="7"/>
      <c r="Z494" s="7"/>
    </row>
    <row r="495" ht="13.5" customHeight="1">
      <c r="A495" s="7"/>
      <c r="B495" s="7"/>
      <c r="C495" s="7"/>
      <c r="D495" s="7"/>
      <c r="E495" s="7"/>
      <c r="F495" s="7"/>
      <c r="G495" s="7"/>
      <c r="H495" s="7"/>
      <c r="I495" s="7"/>
      <c r="J495" s="7"/>
      <c r="K495" s="7"/>
      <c r="L495" s="7"/>
      <c r="M495" s="7"/>
      <c r="N495" s="7"/>
      <c r="O495" s="7"/>
      <c r="P495" s="7"/>
      <c r="Q495" s="7"/>
      <c r="R495" s="7"/>
      <c r="S495" s="7"/>
      <c r="T495" s="7"/>
      <c r="U495" s="7"/>
      <c r="V495" s="7"/>
      <c r="W495" s="7"/>
      <c r="X495" s="7"/>
      <c r="Y495" s="7"/>
      <c r="Z495" s="7"/>
    </row>
    <row r="496" ht="13.5" customHeight="1">
      <c r="A496" s="7"/>
      <c r="B496" s="7"/>
      <c r="C496" s="7"/>
      <c r="D496" s="7"/>
      <c r="E496" s="7"/>
      <c r="F496" s="7"/>
      <c r="G496" s="7"/>
      <c r="H496" s="7"/>
      <c r="I496" s="7"/>
      <c r="J496" s="7"/>
      <c r="K496" s="7"/>
      <c r="L496" s="7"/>
      <c r="M496" s="7"/>
      <c r="N496" s="7"/>
      <c r="O496" s="7"/>
      <c r="P496" s="7"/>
      <c r="Q496" s="7"/>
      <c r="R496" s="7"/>
      <c r="S496" s="7"/>
      <c r="T496" s="7"/>
      <c r="U496" s="7"/>
      <c r="V496" s="7"/>
      <c r="W496" s="7"/>
      <c r="X496" s="7"/>
      <c r="Y496" s="7"/>
      <c r="Z496" s="7"/>
    </row>
    <row r="497" ht="13.5" customHeight="1">
      <c r="A497" s="7"/>
      <c r="B497" s="7"/>
      <c r="C497" s="7"/>
      <c r="D497" s="7"/>
      <c r="E497" s="7"/>
      <c r="F497" s="7"/>
      <c r="G497" s="7"/>
      <c r="H497" s="7"/>
      <c r="I497" s="7"/>
      <c r="J497" s="7"/>
      <c r="K497" s="7"/>
      <c r="L497" s="7"/>
      <c r="M497" s="7"/>
      <c r="N497" s="7"/>
      <c r="O497" s="7"/>
      <c r="P497" s="7"/>
      <c r="Q497" s="7"/>
      <c r="R497" s="7"/>
      <c r="S497" s="7"/>
      <c r="T497" s="7"/>
      <c r="U497" s="7"/>
      <c r="V497" s="7"/>
      <c r="W497" s="7"/>
      <c r="X497" s="7"/>
      <c r="Y497" s="7"/>
      <c r="Z497" s="7"/>
    </row>
    <row r="498" ht="13.5" customHeight="1">
      <c r="A498" s="7"/>
      <c r="B498" s="7"/>
      <c r="C498" s="7"/>
      <c r="D498" s="7"/>
      <c r="E498" s="7"/>
      <c r="F498" s="7"/>
      <c r="G498" s="7"/>
      <c r="H498" s="7"/>
      <c r="I498" s="7"/>
      <c r="J498" s="7"/>
      <c r="K498" s="7"/>
      <c r="L498" s="7"/>
      <c r="M498" s="7"/>
      <c r="N498" s="7"/>
      <c r="O498" s="7"/>
      <c r="P498" s="7"/>
      <c r="Q498" s="7"/>
      <c r="R498" s="7"/>
      <c r="S498" s="7"/>
      <c r="T498" s="7"/>
      <c r="U498" s="7"/>
      <c r="V498" s="7"/>
      <c r="W498" s="7"/>
      <c r="X498" s="7"/>
      <c r="Y498" s="7"/>
      <c r="Z498" s="7"/>
    </row>
    <row r="499" ht="13.5" customHeight="1">
      <c r="A499" s="7"/>
      <c r="B499" s="7"/>
      <c r="C499" s="7"/>
      <c r="D499" s="7"/>
      <c r="E499" s="7"/>
      <c r="F499" s="7"/>
      <c r="G499" s="7"/>
      <c r="H499" s="7"/>
      <c r="I499" s="7"/>
      <c r="J499" s="7"/>
      <c r="K499" s="7"/>
      <c r="L499" s="7"/>
      <c r="M499" s="7"/>
      <c r="N499" s="7"/>
      <c r="O499" s="7"/>
      <c r="P499" s="7"/>
      <c r="Q499" s="7"/>
      <c r="R499" s="7"/>
      <c r="S499" s="7"/>
      <c r="T499" s="7"/>
      <c r="U499" s="7"/>
      <c r="V499" s="7"/>
      <c r="W499" s="7"/>
      <c r="X499" s="7"/>
      <c r="Y499" s="7"/>
      <c r="Z499" s="7"/>
    </row>
    <row r="500" ht="13.5" customHeight="1">
      <c r="A500" s="7"/>
      <c r="B500" s="7"/>
      <c r="C500" s="7"/>
      <c r="D500" s="7"/>
      <c r="E500" s="7"/>
      <c r="F500" s="7"/>
      <c r="G500" s="7"/>
      <c r="H500" s="7"/>
      <c r="I500" s="7"/>
      <c r="J500" s="7"/>
      <c r="K500" s="7"/>
      <c r="L500" s="7"/>
      <c r="M500" s="7"/>
      <c r="N500" s="7"/>
      <c r="O500" s="7"/>
      <c r="P500" s="7"/>
      <c r="Q500" s="7"/>
      <c r="R500" s="7"/>
      <c r="S500" s="7"/>
      <c r="T500" s="7"/>
      <c r="U500" s="7"/>
      <c r="V500" s="7"/>
      <c r="W500" s="7"/>
      <c r="X500" s="7"/>
      <c r="Y500" s="7"/>
      <c r="Z500" s="7"/>
    </row>
    <row r="501" ht="13.5" customHeight="1">
      <c r="A501" s="7"/>
      <c r="B501" s="7"/>
      <c r="C501" s="7"/>
      <c r="D501" s="7"/>
      <c r="E501" s="7"/>
      <c r="F501" s="7"/>
      <c r="G501" s="7"/>
      <c r="H501" s="7"/>
      <c r="I501" s="7"/>
      <c r="J501" s="7"/>
      <c r="K501" s="7"/>
      <c r="L501" s="7"/>
      <c r="M501" s="7"/>
      <c r="N501" s="7"/>
      <c r="O501" s="7"/>
      <c r="P501" s="7"/>
      <c r="Q501" s="7"/>
      <c r="R501" s="7"/>
      <c r="S501" s="7"/>
      <c r="T501" s="7"/>
      <c r="U501" s="7"/>
      <c r="V501" s="7"/>
      <c r="W501" s="7"/>
      <c r="X501" s="7"/>
      <c r="Y501" s="7"/>
      <c r="Z501" s="7"/>
    </row>
    <row r="502" ht="13.5" customHeight="1">
      <c r="A502" s="7"/>
      <c r="B502" s="7"/>
      <c r="C502" s="7"/>
      <c r="D502" s="7"/>
      <c r="E502" s="7"/>
      <c r="F502" s="7"/>
      <c r="G502" s="7"/>
      <c r="H502" s="7"/>
      <c r="I502" s="7"/>
      <c r="J502" s="7"/>
      <c r="K502" s="7"/>
      <c r="L502" s="7"/>
      <c r="M502" s="7"/>
      <c r="N502" s="7"/>
      <c r="O502" s="7"/>
      <c r="P502" s="7"/>
      <c r="Q502" s="7"/>
      <c r="R502" s="7"/>
      <c r="S502" s="7"/>
      <c r="T502" s="7"/>
      <c r="U502" s="7"/>
      <c r="V502" s="7"/>
      <c r="W502" s="7"/>
      <c r="X502" s="7"/>
      <c r="Y502" s="7"/>
      <c r="Z502" s="7"/>
    </row>
    <row r="503" ht="13.5" customHeight="1">
      <c r="A503" s="7"/>
      <c r="B503" s="7"/>
      <c r="C503" s="7"/>
      <c r="D503" s="7"/>
      <c r="E503" s="7"/>
      <c r="F503" s="7"/>
      <c r="G503" s="7"/>
      <c r="H503" s="7"/>
      <c r="I503" s="7"/>
      <c r="J503" s="7"/>
      <c r="K503" s="7"/>
      <c r="L503" s="7"/>
      <c r="M503" s="7"/>
      <c r="N503" s="7"/>
      <c r="O503" s="7"/>
      <c r="P503" s="7"/>
      <c r="Q503" s="7"/>
      <c r="R503" s="7"/>
      <c r="S503" s="7"/>
      <c r="T503" s="7"/>
      <c r="U503" s="7"/>
      <c r="V503" s="7"/>
      <c r="W503" s="7"/>
      <c r="X503" s="7"/>
      <c r="Y503" s="7"/>
      <c r="Z503" s="7"/>
    </row>
    <row r="504" ht="13.5" customHeight="1">
      <c r="A504" s="7"/>
      <c r="B504" s="7"/>
      <c r="C504" s="7"/>
      <c r="D504" s="7"/>
      <c r="E504" s="7"/>
      <c r="F504" s="7"/>
      <c r="G504" s="7"/>
      <c r="H504" s="7"/>
      <c r="I504" s="7"/>
      <c r="J504" s="7"/>
      <c r="K504" s="7"/>
      <c r="L504" s="7"/>
      <c r="M504" s="7"/>
      <c r="N504" s="7"/>
      <c r="O504" s="7"/>
      <c r="P504" s="7"/>
      <c r="Q504" s="7"/>
      <c r="R504" s="7"/>
      <c r="S504" s="7"/>
      <c r="T504" s="7"/>
      <c r="U504" s="7"/>
      <c r="V504" s="7"/>
      <c r="W504" s="7"/>
      <c r="X504" s="7"/>
      <c r="Y504" s="7"/>
      <c r="Z504" s="7"/>
    </row>
    <row r="505" ht="13.5" customHeight="1">
      <c r="A505" s="7"/>
      <c r="B505" s="7"/>
      <c r="C505" s="7"/>
      <c r="D505" s="7"/>
      <c r="E505" s="7"/>
      <c r="F505" s="7"/>
      <c r="G505" s="7"/>
      <c r="H505" s="7"/>
      <c r="I505" s="7"/>
      <c r="J505" s="7"/>
      <c r="K505" s="7"/>
      <c r="L505" s="7"/>
      <c r="M505" s="7"/>
      <c r="N505" s="7"/>
      <c r="O505" s="7"/>
      <c r="P505" s="7"/>
      <c r="Q505" s="7"/>
      <c r="R505" s="7"/>
      <c r="S505" s="7"/>
      <c r="T505" s="7"/>
      <c r="U505" s="7"/>
      <c r="V505" s="7"/>
      <c r="W505" s="7"/>
      <c r="X505" s="7"/>
      <c r="Y505" s="7"/>
      <c r="Z505" s="7"/>
    </row>
    <row r="506" ht="13.5" customHeight="1">
      <c r="A506" s="7"/>
      <c r="B506" s="7"/>
      <c r="C506" s="7"/>
      <c r="D506" s="7"/>
      <c r="E506" s="7"/>
      <c r="F506" s="7"/>
      <c r="G506" s="7"/>
      <c r="H506" s="7"/>
      <c r="I506" s="7"/>
      <c r="J506" s="7"/>
      <c r="K506" s="7"/>
      <c r="L506" s="7"/>
      <c r="M506" s="7"/>
      <c r="N506" s="7"/>
      <c r="O506" s="7"/>
      <c r="P506" s="7"/>
      <c r="Q506" s="7"/>
      <c r="R506" s="7"/>
      <c r="S506" s="7"/>
      <c r="T506" s="7"/>
      <c r="U506" s="7"/>
      <c r="V506" s="7"/>
      <c r="W506" s="7"/>
      <c r="X506" s="7"/>
      <c r="Y506" s="7"/>
      <c r="Z506" s="7"/>
    </row>
    <row r="507" ht="13.5" customHeight="1">
      <c r="A507" s="7"/>
      <c r="B507" s="7"/>
      <c r="C507" s="7"/>
      <c r="D507" s="7"/>
      <c r="E507" s="7"/>
      <c r="F507" s="7"/>
      <c r="G507" s="7"/>
      <c r="H507" s="7"/>
      <c r="I507" s="7"/>
      <c r="J507" s="7"/>
      <c r="K507" s="7"/>
      <c r="L507" s="7"/>
      <c r="M507" s="7"/>
      <c r="N507" s="7"/>
      <c r="O507" s="7"/>
      <c r="P507" s="7"/>
      <c r="Q507" s="7"/>
      <c r="R507" s="7"/>
      <c r="S507" s="7"/>
      <c r="T507" s="7"/>
      <c r="U507" s="7"/>
      <c r="V507" s="7"/>
      <c r="W507" s="7"/>
      <c r="X507" s="7"/>
      <c r="Y507" s="7"/>
      <c r="Z507" s="7"/>
    </row>
    <row r="508" ht="13.5" customHeight="1">
      <c r="A508" s="7"/>
      <c r="B508" s="7"/>
      <c r="C508" s="7"/>
      <c r="D508" s="7"/>
      <c r="E508" s="7"/>
      <c r="F508" s="7"/>
      <c r="G508" s="7"/>
      <c r="H508" s="7"/>
      <c r="I508" s="7"/>
      <c r="J508" s="7"/>
      <c r="K508" s="7"/>
      <c r="L508" s="7"/>
      <c r="M508" s="7"/>
      <c r="N508" s="7"/>
      <c r="O508" s="7"/>
      <c r="P508" s="7"/>
      <c r="Q508" s="7"/>
      <c r="R508" s="7"/>
      <c r="S508" s="7"/>
      <c r="T508" s="7"/>
      <c r="U508" s="7"/>
      <c r="V508" s="7"/>
      <c r="W508" s="7"/>
      <c r="X508" s="7"/>
      <c r="Y508" s="7"/>
      <c r="Z508" s="7"/>
    </row>
    <row r="509" ht="13.5" customHeight="1">
      <c r="A509" s="7"/>
      <c r="B509" s="7"/>
      <c r="C509" s="7"/>
      <c r="D509" s="7"/>
      <c r="E509" s="7"/>
      <c r="F509" s="7"/>
      <c r="G509" s="7"/>
      <c r="H509" s="7"/>
      <c r="I509" s="7"/>
      <c r="J509" s="7"/>
      <c r="K509" s="7"/>
      <c r="L509" s="7"/>
      <c r="M509" s="7"/>
      <c r="N509" s="7"/>
      <c r="O509" s="7"/>
      <c r="P509" s="7"/>
      <c r="Q509" s="7"/>
      <c r="R509" s="7"/>
      <c r="S509" s="7"/>
      <c r="T509" s="7"/>
      <c r="U509" s="7"/>
      <c r="V509" s="7"/>
      <c r="W509" s="7"/>
      <c r="X509" s="7"/>
      <c r="Y509" s="7"/>
      <c r="Z509" s="7"/>
    </row>
    <row r="510" ht="13.5" customHeight="1">
      <c r="A510" s="7"/>
      <c r="B510" s="7"/>
      <c r="C510" s="7"/>
      <c r="D510" s="7"/>
      <c r="E510" s="7"/>
      <c r="F510" s="7"/>
      <c r="G510" s="7"/>
      <c r="H510" s="7"/>
      <c r="I510" s="7"/>
      <c r="J510" s="7"/>
      <c r="K510" s="7"/>
      <c r="L510" s="7"/>
      <c r="M510" s="7"/>
      <c r="N510" s="7"/>
      <c r="O510" s="7"/>
      <c r="P510" s="7"/>
      <c r="Q510" s="7"/>
      <c r="R510" s="7"/>
      <c r="S510" s="7"/>
      <c r="T510" s="7"/>
      <c r="U510" s="7"/>
      <c r="V510" s="7"/>
      <c r="W510" s="7"/>
      <c r="X510" s="7"/>
      <c r="Y510" s="7"/>
      <c r="Z510" s="7"/>
    </row>
    <row r="511" ht="13.5" customHeight="1">
      <c r="A511" s="7"/>
      <c r="B511" s="7"/>
      <c r="C511" s="7"/>
      <c r="D511" s="7"/>
      <c r="E511" s="7"/>
      <c r="F511" s="7"/>
      <c r="G511" s="7"/>
      <c r="H511" s="7"/>
      <c r="I511" s="7"/>
      <c r="J511" s="7"/>
      <c r="K511" s="7"/>
      <c r="L511" s="7"/>
      <c r="M511" s="7"/>
      <c r="N511" s="7"/>
      <c r="O511" s="7"/>
      <c r="P511" s="7"/>
      <c r="Q511" s="7"/>
      <c r="R511" s="7"/>
      <c r="S511" s="7"/>
      <c r="T511" s="7"/>
      <c r="U511" s="7"/>
      <c r="V511" s="7"/>
      <c r="W511" s="7"/>
      <c r="X511" s="7"/>
      <c r="Y511" s="7"/>
      <c r="Z511" s="7"/>
    </row>
    <row r="512" ht="13.5" customHeight="1">
      <c r="A512" s="7"/>
      <c r="B512" s="7"/>
      <c r="C512" s="7"/>
      <c r="D512" s="7"/>
      <c r="E512" s="7"/>
      <c r="F512" s="7"/>
      <c r="G512" s="7"/>
      <c r="H512" s="7"/>
      <c r="I512" s="7"/>
      <c r="J512" s="7"/>
      <c r="K512" s="7"/>
      <c r="L512" s="7"/>
      <c r="M512" s="7"/>
      <c r="N512" s="7"/>
      <c r="O512" s="7"/>
      <c r="P512" s="7"/>
      <c r="Q512" s="7"/>
      <c r="R512" s="7"/>
      <c r="S512" s="7"/>
      <c r="T512" s="7"/>
      <c r="U512" s="7"/>
      <c r="V512" s="7"/>
      <c r="W512" s="7"/>
      <c r="X512" s="7"/>
      <c r="Y512" s="7"/>
      <c r="Z512" s="7"/>
    </row>
    <row r="513" ht="13.5" customHeight="1">
      <c r="A513" s="7"/>
      <c r="B513" s="7"/>
      <c r="C513" s="7"/>
      <c r="D513" s="7"/>
      <c r="E513" s="7"/>
      <c r="F513" s="7"/>
      <c r="G513" s="7"/>
      <c r="H513" s="7"/>
      <c r="I513" s="7"/>
      <c r="J513" s="7"/>
      <c r="K513" s="7"/>
      <c r="L513" s="7"/>
      <c r="M513" s="7"/>
      <c r="N513" s="7"/>
      <c r="O513" s="7"/>
      <c r="P513" s="7"/>
      <c r="Q513" s="7"/>
      <c r="R513" s="7"/>
      <c r="S513" s="7"/>
      <c r="T513" s="7"/>
      <c r="U513" s="7"/>
      <c r="V513" s="7"/>
      <c r="W513" s="7"/>
      <c r="X513" s="7"/>
      <c r="Y513" s="7"/>
      <c r="Z513" s="7"/>
    </row>
    <row r="514" ht="13.5" customHeight="1">
      <c r="A514" s="7"/>
      <c r="B514" s="7"/>
      <c r="C514" s="7"/>
      <c r="D514" s="7"/>
      <c r="E514" s="7"/>
      <c r="F514" s="7"/>
      <c r="G514" s="7"/>
      <c r="H514" s="7"/>
      <c r="I514" s="7"/>
      <c r="J514" s="7"/>
      <c r="K514" s="7"/>
      <c r="L514" s="7"/>
      <c r="M514" s="7"/>
      <c r="N514" s="7"/>
      <c r="O514" s="7"/>
      <c r="P514" s="7"/>
      <c r="Q514" s="7"/>
      <c r="R514" s="7"/>
      <c r="S514" s="7"/>
      <c r="T514" s="7"/>
      <c r="U514" s="7"/>
      <c r="V514" s="7"/>
      <c r="W514" s="7"/>
      <c r="X514" s="7"/>
      <c r="Y514" s="7"/>
      <c r="Z514" s="7"/>
    </row>
    <row r="515" ht="13.5" customHeight="1">
      <c r="A515" s="7"/>
      <c r="B515" s="7"/>
      <c r="C515" s="7"/>
      <c r="D515" s="7"/>
      <c r="E515" s="7"/>
      <c r="F515" s="7"/>
      <c r="G515" s="7"/>
      <c r="H515" s="7"/>
      <c r="I515" s="7"/>
      <c r="J515" s="7"/>
      <c r="K515" s="7"/>
      <c r="L515" s="7"/>
      <c r="M515" s="7"/>
      <c r="N515" s="7"/>
      <c r="O515" s="7"/>
      <c r="P515" s="7"/>
      <c r="Q515" s="7"/>
      <c r="R515" s="7"/>
      <c r="S515" s="7"/>
      <c r="T515" s="7"/>
      <c r="U515" s="7"/>
      <c r="V515" s="7"/>
      <c r="W515" s="7"/>
      <c r="X515" s="7"/>
      <c r="Y515" s="7"/>
      <c r="Z515" s="7"/>
    </row>
    <row r="516" ht="13.5" customHeight="1">
      <c r="A516" s="7"/>
      <c r="B516" s="7"/>
      <c r="C516" s="7"/>
      <c r="D516" s="7"/>
      <c r="E516" s="7"/>
      <c r="F516" s="7"/>
      <c r="G516" s="7"/>
      <c r="H516" s="7"/>
      <c r="I516" s="7"/>
      <c r="J516" s="7"/>
      <c r="K516" s="7"/>
      <c r="L516" s="7"/>
      <c r="M516" s="7"/>
      <c r="N516" s="7"/>
      <c r="O516" s="7"/>
      <c r="P516" s="7"/>
      <c r="Q516" s="7"/>
      <c r="R516" s="7"/>
      <c r="S516" s="7"/>
      <c r="T516" s="7"/>
      <c r="U516" s="7"/>
      <c r="V516" s="7"/>
      <c r="W516" s="7"/>
      <c r="X516" s="7"/>
      <c r="Y516" s="7"/>
      <c r="Z516" s="7"/>
    </row>
    <row r="517" ht="13.5" customHeight="1">
      <c r="A517" s="7"/>
      <c r="B517" s="7"/>
      <c r="C517" s="7"/>
      <c r="D517" s="7"/>
      <c r="E517" s="7"/>
      <c r="F517" s="7"/>
      <c r="G517" s="7"/>
      <c r="H517" s="7"/>
      <c r="I517" s="7"/>
      <c r="J517" s="7"/>
      <c r="K517" s="7"/>
      <c r="L517" s="7"/>
      <c r="M517" s="7"/>
      <c r="N517" s="7"/>
      <c r="O517" s="7"/>
      <c r="P517" s="7"/>
      <c r="Q517" s="7"/>
      <c r="R517" s="7"/>
      <c r="S517" s="7"/>
      <c r="T517" s="7"/>
      <c r="U517" s="7"/>
      <c r="V517" s="7"/>
      <c r="W517" s="7"/>
      <c r="X517" s="7"/>
      <c r="Y517" s="7"/>
      <c r="Z517" s="7"/>
    </row>
    <row r="518" ht="13.5" customHeight="1">
      <c r="A518" s="7"/>
      <c r="B518" s="7"/>
      <c r="C518" s="7"/>
      <c r="D518" s="7"/>
      <c r="E518" s="7"/>
      <c r="F518" s="7"/>
      <c r="G518" s="7"/>
      <c r="H518" s="7"/>
      <c r="I518" s="7"/>
      <c r="J518" s="7"/>
      <c r="K518" s="7"/>
      <c r="L518" s="7"/>
      <c r="M518" s="7"/>
      <c r="N518" s="7"/>
      <c r="O518" s="7"/>
      <c r="P518" s="7"/>
      <c r="Q518" s="7"/>
      <c r="R518" s="7"/>
      <c r="S518" s="7"/>
      <c r="T518" s="7"/>
      <c r="U518" s="7"/>
      <c r="V518" s="7"/>
      <c r="W518" s="7"/>
      <c r="X518" s="7"/>
      <c r="Y518" s="7"/>
      <c r="Z518" s="7"/>
    </row>
    <row r="519" ht="13.5" customHeight="1">
      <c r="A519" s="7"/>
      <c r="B519" s="7"/>
      <c r="C519" s="7"/>
      <c r="D519" s="7"/>
      <c r="E519" s="7"/>
      <c r="F519" s="7"/>
      <c r="G519" s="7"/>
      <c r="H519" s="7"/>
      <c r="I519" s="7"/>
      <c r="J519" s="7"/>
      <c r="K519" s="7"/>
      <c r="L519" s="7"/>
      <c r="M519" s="7"/>
      <c r="N519" s="7"/>
      <c r="O519" s="7"/>
      <c r="P519" s="7"/>
      <c r="Q519" s="7"/>
      <c r="R519" s="7"/>
      <c r="S519" s="7"/>
      <c r="T519" s="7"/>
      <c r="U519" s="7"/>
      <c r="V519" s="7"/>
      <c r="W519" s="7"/>
      <c r="X519" s="7"/>
      <c r="Y519" s="7"/>
      <c r="Z519" s="7"/>
    </row>
    <row r="520" ht="13.5" customHeight="1">
      <c r="A520" s="7"/>
      <c r="B520" s="7"/>
      <c r="C520" s="7"/>
      <c r="D520" s="7"/>
      <c r="E520" s="7"/>
      <c r="F520" s="7"/>
      <c r="G520" s="7"/>
      <c r="H520" s="7"/>
      <c r="I520" s="7"/>
      <c r="J520" s="7"/>
      <c r="K520" s="7"/>
      <c r="L520" s="7"/>
      <c r="M520" s="7"/>
      <c r="N520" s="7"/>
      <c r="O520" s="7"/>
      <c r="P520" s="7"/>
      <c r="Q520" s="7"/>
      <c r="R520" s="7"/>
      <c r="S520" s="7"/>
      <c r="T520" s="7"/>
      <c r="U520" s="7"/>
      <c r="V520" s="7"/>
      <c r="W520" s="7"/>
      <c r="X520" s="7"/>
      <c r="Y520" s="7"/>
      <c r="Z520" s="7"/>
    </row>
    <row r="521" ht="13.5" customHeight="1">
      <c r="A521" s="7"/>
      <c r="B521" s="7"/>
      <c r="C521" s="7"/>
      <c r="D521" s="7"/>
      <c r="E521" s="7"/>
      <c r="F521" s="7"/>
      <c r="G521" s="7"/>
      <c r="H521" s="7"/>
      <c r="I521" s="7"/>
      <c r="J521" s="7"/>
      <c r="K521" s="7"/>
      <c r="L521" s="7"/>
      <c r="M521" s="7"/>
      <c r="N521" s="7"/>
      <c r="O521" s="7"/>
      <c r="P521" s="7"/>
      <c r="Q521" s="7"/>
      <c r="R521" s="7"/>
      <c r="S521" s="7"/>
      <c r="T521" s="7"/>
      <c r="U521" s="7"/>
      <c r="V521" s="7"/>
      <c r="W521" s="7"/>
      <c r="X521" s="7"/>
      <c r="Y521" s="7"/>
      <c r="Z521" s="7"/>
    </row>
    <row r="522" ht="13.5" customHeight="1">
      <c r="A522" s="7"/>
      <c r="B522" s="7"/>
      <c r="C522" s="7"/>
      <c r="D522" s="7"/>
      <c r="E522" s="7"/>
      <c r="F522" s="7"/>
      <c r="G522" s="7"/>
      <c r="H522" s="7"/>
      <c r="I522" s="7"/>
      <c r="J522" s="7"/>
      <c r="K522" s="7"/>
      <c r="L522" s="7"/>
      <c r="M522" s="7"/>
      <c r="N522" s="7"/>
      <c r="O522" s="7"/>
      <c r="P522" s="7"/>
      <c r="Q522" s="7"/>
      <c r="R522" s="7"/>
      <c r="S522" s="7"/>
      <c r="T522" s="7"/>
      <c r="U522" s="7"/>
      <c r="V522" s="7"/>
      <c r="W522" s="7"/>
      <c r="X522" s="7"/>
      <c r="Y522" s="7"/>
      <c r="Z522" s="7"/>
    </row>
    <row r="523" ht="13.5" customHeight="1">
      <c r="A523" s="7"/>
      <c r="B523" s="7"/>
      <c r="C523" s="7"/>
      <c r="D523" s="7"/>
      <c r="E523" s="7"/>
      <c r="F523" s="7"/>
      <c r="G523" s="7"/>
      <c r="H523" s="7"/>
      <c r="I523" s="7"/>
      <c r="J523" s="7"/>
      <c r="K523" s="7"/>
      <c r="L523" s="7"/>
      <c r="M523" s="7"/>
      <c r="N523" s="7"/>
      <c r="O523" s="7"/>
      <c r="P523" s="7"/>
      <c r="Q523" s="7"/>
      <c r="R523" s="7"/>
      <c r="S523" s="7"/>
      <c r="T523" s="7"/>
      <c r="U523" s="7"/>
      <c r="V523" s="7"/>
      <c r="W523" s="7"/>
      <c r="X523" s="7"/>
      <c r="Y523" s="7"/>
      <c r="Z523" s="7"/>
    </row>
    <row r="524" ht="13.5" customHeight="1">
      <c r="A524" s="7"/>
      <c r="B524" s="7"/>
      <c r="C524" s="7"/>
      <c r="D524" s="7"/>
      <c r="E524" s="7"/>
      <c r="F524" s="7"/>
      <c r="G524" s="7"/>
      <c r="H524" s="7"/>
      <c r="I524" s="7"/>
      <c r="J524" s="7"/>
      <c r="K524" s="7"/>
      <c r="L524" s="7"/>
      <c r="M524" s="7"/>
      <c r="N524" s="7"/>
      <c r="O524" s="7"/>
      <c r="P524" s="7"/>
      <c r="Q524" s="7"/>
      <c r="R524" s="7"/>
      <c r="S524" s="7"/>
      <c r="T524" s="7"/>
      <c r="U524" s="7"/>
      <c r="V524" s="7"/>
      <c r="W524" s="7"/>
      <c r="X524" s="7"/>
      <c r="Y524" s="7"/>
      <c r="Z524" s="7"/>
    </row>
    <row r="525" ht="13.5" customHeight="1">
      <c r="A525" s="7"/>
      <c r="B525" s="7"/>
      <c r="C525" s="7"/>
      <c r="D525" s="7"/>
      <c r="E525" s="7"/>
      <c r="F525" s="7"/>
      <c r="G525" s="7"/>
      <c r="H525" s="7"/>
      <c r="I525" s="7"/>
      <c r="J525" s="7"/>
      <c r="K525" s="7"/>
      <c r="L525" s="7"/>
      <c r="M525" s="7"/>
      <c r="N525" s="7"/>
      <c r="O525" s="7"/>
      <c r="P525" s="7"/>
      <c r="Q525" s="7"/>
      <c r="R525" s="7"/>
      <c r="S525" s="7"/>
      <c r="T525" s="7"/>
      <c r="U525" s="7"/>
      <c r="V525" s="7"/>
      <c r="W525" s="7"/>
      <c r="X525" s="7"/>
      <c r="Y525" s="7"/>
      <c r="Z525" s="7"/>
    </row>
    <row r="526" ht="13.5" customHeight="1">
      <c r="A526" s="7"/>
      <c r="B526" s="7"/>
      <c r="C526" s="7"/>
      <c r="D526" s="7"/>
      <c r="E526" s="7"/>
      <c r="F526" s="7"/>
      <c r="G526" s="7"/>
      <c r="H526" s="7"/>
      <c r="I526" s="7"/>
      <c r="J526" s="7"/>
      <c r="K526" s="7"/>
      <c r="L526" s="7"/>
      <c r="M526" s="7"/>
      <c r="N526" s="7"/>
      <c r="O526" s="7"/>
      <c r="P526" s="7"/>
      <c r="Q526" s="7"/>
      <c r="R526" s="7"/>
      <c r="S526" s="7"/>
      <c r="T526" s="7"/>
      <c r="U526" s="7"/>
      <c r="V526" s="7"/>
      <c r="W526" s="7"/>
      <c r="X526" s="7"/>
      <c r="Y526" s="7"/>
      <c r="Z526" s="7"/>
    </row>
    <row r="527" ht="13.5" customHeight="1">
      <c r="A527" s="7"/>
      <c r="B527" s="7"/>
      <c r="C527" s="7"/>
      <c r="D527" s="7"/>
      <c r="E527" s="7"/>
      <c r="F527" s="7"/>
      <c r="G527" s="7"/>
      <c r="H527" s="7"/>
      <c r="I527" s="7"/>
      <c r="J527" s="7"/>
      <c r="K527" s="7"/>
      <c r="L527" s="7"/>
      <c r="M527" s="7"/>
      <c r="N527" s="7"/>
      <c r="O527" s="7"/>
      <c r="P527" s="7"/>
      <c r="Q527" s="7"/>
      <c r="R527" s="7"/>
      <c r="S527" s="7"/>
      <c r="T527" s="7"/>
      <c r="U527" s="7"/>
      <c r="V527" s="7"/>
      <c r="W527" s="7"/>
      <c r="X527" s="7"/>
      <c r="Y527" s="7"/>
      <c r="Z527" s="7"/>
    </row>
    <row r="528" ht="13.5" customHeight="1">
      <c r="A528" s="7"/>
      <c r="B528" s="7"/>
      <c r="C528" s="7"/>
      <c r="D528" s="7"/>
      <c r="E528" s="7"/>
      <c r="F528" s="7"/>
      <c r="G528" s="7"/>
      <c r="H528" s="7"/>
      <c r="I528" s="7"/>
      <c r="J528" s="7"/>
      <c r="K528" s="7"/>
      <c r="L528" s="7"/>
      <c r="M528" s="7"/>
      <c r="N528" s="7"/>
      <c r="O528" s="7"/>
      <c r="P528" s="7"/>
      <c r="Q528" s="7"/>
      <c r="R528" s="7"/>
      <c r="S528" s="7"/>
      <c r="T528" s="7"/>
      <c r="U528" s="7"/>
      <c r="V528" s="7"/>
      <c r="W528" s="7"/>
      <c r="X528" s="7"/>
      <c r="Y528" s="7"/>
      <c r="Z528" s="7"/>
    </row>
    <row r="529" ht="13.5" customHeight="1">
      <c r="A529" s="7"/>
      <c r="B529" s="7"/>
      <c r="C529" s="7"/>
      <c r="D529" s="7"/>
      <c r="E529" s="7"/>
      <c r="F529" s="7"/>
      <c r="G529" s="7"/>
      <c r="H529" s="7"/>
      <c r="I529" s="7"/>
      <c r="J529" s="7"/>
      <c r="K529" s="7"/>
      <c r="L529" s="7"/>
      <c r="M529" s="7"/>
      <c r="N529" s="7"/>
      <c r="O529" s="7"/>
      <c r="P529" s="7"/>
      <c r="Q529" s="7"/>
      <c r="R529" s="7"/>
      <c r="S529" s="7"/>
      <c r="T529" s="7"/>
      <c r="U529" s="7"/>
      <c r="V529" s="7"/>
      <c r="W529" s="7"/>
      <c r="X529" s="7"/>
      <c r="Y529" s="7"/>
      <c r="Z529" s="7"/>
    </row>
    <row r="530" ht="13.5" customHeight="1">
      <c r="A530" s="7"/>
      <c r="B530" s="7"/>
      <c r="C530" s="7"/>
      <c r="D530" s="7"/>
      <c r="E530" s="7"/>
      <c r="F530" s="7"/>
      <c r="G530" s="7"/>
      <c r="H530" s="7"/>
      <c r="I530" s="7"/>
      <c r="J530" s="7"/>
      <c r="K530" s="7"/>
      <c r="L530" s="7"/>
      <c r="M530" s="7"/>
      <c r="N530" s="7"/>
      <c r="O530" s="7"/>
      <c r="P530" s="7"/>
      <c r="Q530" s="7"/>
      <c r="R530" s="7"/>
      <c r="S530" s="7"/>
      <c r="T530" s="7"/>
      <c r="U530" s="7"/>
      <c r="V530" s="7"/>
      <c r="W530" s="7"/>
      <c r="X530" s="7"/>
      <c r="Y530" s="7"/>
      <c r="Z530" s="7"/>
    </row>
    <row r="531" ht="13.5" customHeight="1">
      <c r="A531" s="7"/>
      <c r="B531" s="7"/>
      <c r="C531" s="7"/>
      <c r="D531" s="7"/>
      <c r="E531" s="7"/>
      <c r="F531" s="7"/>
      <c r="G531" s="7"/>
      <c r="H531" s="7"/>
      <c r="I531" s="7"/>
      <c r="J531" s="7"/>
      <c r="K531" s="7"/>
      <c r="L531" s="7"/>
      <c r="M531" s="7"/>
      <c r="N531" s="7"/>
      <c r="O531" s="7"/>
      <c r="P531" s="7"/>
      <c r="Q531" s="7"/>
      <c r="R531" s="7"/>
      <c r="S531" s="7"/>
      <c r="T531" s="7"/>
      <c r="U531" s="7"/>
      <c r="V531" s="7"/>
      <c r="W531" s="7"/>
      <c r="X531" s="7"/>
      <c r="Y531" s="7"/>
      <c r="Z531" s="7"/>
    </row>
    <row r="532" ht="13.5" customHeight="1">
      <c r="A532" s="7"/>
      <c r="B532" s="7"/>
      <c r="C532" s="7"/>
      <c r="D532" s="7"/>
      <c r="E532" s="7"/>
      <c r="F532" s="7"/>
      <c r="G532" s="7"/>
      <c r="H532" s="7"/>
      <c r="I532" s="7"/>
      <c r="J532" s="7"/>
      <c r="K532" s="7"/>
      <c r="L532" s="7"/>
      <c r="M532" s="7"/>
      <c r="N532" s="7"/>
      <c r="O532" s="7"/>
      <c r="P532" s="7"/>
      <c r="Q532" s="7"/>
      <c r="R532" s="7"/>
      <c r="S532" s="7"/>
      <c r="T532" s="7"/>
      <c r="U532" s="7"/>
      <c r="V532" s="7"/>
      <c r="W532" s="7"/>
      <c r="X532" s="7"/>
      <c r="Y532" s="7"/>
      <c r="Z532" s="7"/>
    </row>
    <row r="533" ht="13.5" customHeight="1">
      <c r="A533" s="7"/>
      <c r="B533" s="7"/>
      <c r="C533" s="7"/>
      <c r="D533" s="7"/>
      <c r="E533" s="7"/>
      <c r="F533" s="7"/>
      <c r="G533" s="7"/>
      <c r="H533" s="7"/>
      <c r="I533" s="7"/>
      <c r="J533" s="7"/>
      <c r="K533" s="7"/>
      <c r="L533" s="7"/>
      <c r="M533" s="7"/>
      <c r="N533" s="7"/>
      <c r="O533" s="7"/>
      <c r="P533" s="7"/>
      <c r="Q533" s="7"/>
      <c r="R533" s="7"/>
      <c r="S533" s="7"/>
      <c r="T533" s="7"/>
      <c r="U533" s="7"/>
      <c r="V533" s="7"/>
      <c r="W533" s="7"/>
      <c r="X533" s="7"/>
      <c r="Y533" s="7"/>
      <c r="Z533" s="7"/>
    </row>
    <row r="534" ht="13.5" customHeight="1">
      <c r="A534" s="7"/>
      <c r="B534" s="7"/>
      <c r="C534" s="7"/>
      <c r="D534" s="7"/>
      <c r="E534" s="7"/>
      <c r="F534" s="7"/>
      <c r="G534" s="7"/>
      <c r="H534" s="7"/>
      <c r="I534" s="7"/>
      <c r="J534" s="7"/>
      <c r="K534" s="7"/>
      <c r="L534" s="7"/>
      <c r="M534" s="7"/>
      <c r="N534" s="7"/>
      <c r="O534" s="7"/>
      <c r="P534" s="7"/>
      <c r="Q534" s="7"/>
      <c r="R534" s="7"/>
      <c r="S534" s="7"/>
      <c r="T534" s="7"/>
      <c r="U534" s="7"/>
      <c r="V534" s="7"/>
      <c r="W534" s="7"/>
      <c r="X534" s="7"/>
      <c r="Y534" s="7"/>
      <c r="Z534" s="7"/>
    </row>
    <row r="535" ht="13.5" customHeight="1">
      <c r="A535" s="7"/>
      <c r="B535" s="7"/>
      <c r="C535" s="7"/>
      <c r="D535" s="7"/>
      <c r="E535" s="7"/>
      <c r="F535" s="7"/>
      <c r="G535" s="7"/>
      <c r="H535" s="7"/>
      <c r="I535" s="7"/>
      <c r="J535" s="7"/>
      <c r="K535" s="7"/>
      <c r="L535" s="7"/>
      <c r="M535" s="7"/>
      <c r="N535" s="7"/>
      <c r="O535" s="7"/>
      <c r="P535" s="7"/>
      <c r="Q535" s="7"/>
      <c r="R535" s="7"/>
      <c r="S535" s="7"/>
      <c r="T535" s="7"/>
      <c r="U535" s="7"/>
      <c r="V535" s="7"/>
      <c r="W535" s="7"/>
      <c r="X535" s="7"/>
      <c r="Y535" s="7"/>
      <c r="Z535" s="7"/>
    </row>
    <row r="536" ht="13.5" customHeight="1">
      <c r="A536" s="7"/>
      <c r="B536" s="7"/>
      <c r="C536" s="7"/>
      <c r="D536" s="7"/>
      <c r="E536" s="7"/>
      <c r="F536" s="7"/>
      <c r="G536" s="7"/>
      <c r="H536" s="7"/>
      <c r="I536" s="7"/>
      <c r="J536" s="7"/>
      <c r="K536" s="7"/>
      <c r="L536" s="7"/>
      <c r="M536" s="7"/>
      <c r="N536" s="7"/>
      <c r="O536" s="7"/>
      <c r="P536" s="7"/>
      <c r="Q536" s="7"/>
      <c r="R536" s="7"/>
      <c r="S536" s="7"/>
      <c r="T536" s="7"/>
      <c r="U536" s="7"/>
      <c r="V536" s="7"/>
      <c r="W536" s="7"/>
      <c r="X536" s="7"/>
      <c r="Y536" s="7"/>
      <c r="Z536" s="7"/>
    </row>
    <row r="537" ht="13.5" customHeight="1">
      <c r="A537" s="7"/>
      <c r="B537" s="7"/>
      <c r="C537" s="7"/>
      <c r="D537" s="7"/>
      <c r="E537" s="7"/>
      <c r="F537" s="7"/>
      <c r="G537" s="7"/>
      <c r="H537" s="7"/>
      <c r="I537" s="7"/>
      <c r="J537" s="7"/>
      <c r="K537" s="7"/>
      <c r="L537" s="7"/>
      <c r="M537" s="7"/>
      <c r="N537" s="7"/>
      <c r="O537" s="7"/>
      <c r="P537" s="7"/>
      <c r="Q537" s="7"/>
      <c r="R537" s="7"/>
      <c r="S537" s="7"/>
      <c r="T537" s="7"/>
      <c r="U537" s="7"/>
      <c r="V537" s="7"/>
      <c r="W537" s="7"/>
      <c r="X537" s="7"/>
      <c r="Y537" s="7"/>
      <c r="Z537" s="7"/>
    </row>
    <row r="538" ht="13.5" customHeight="1">
      <c r="A538" s="7"/>
      <c r="B538" s="7"/>
      <c r="C538" s="7"/>
      <c r="D538" s="7"/>
      <c r="E538" s="7"/>
      <c r="F538" s="7"/>
      <c r="G538" s="7"/>
      <c r="H538" s="7"/>
      <c r="I538" s="7"/>
      <c r="J538" s="7"/>
      <c r="K538" s="7"/>
      <c r="L538" s="7"/>
      <c r="M538" s="7"/>
      <c r="N538" s="7"/>
      <c r="O538" s="7"/>
      <c r="P538" s="7"/>
      <c r="Q538" s="7"/>
      <c r="R538" s="7"/>
      <c r="S538" s="7"/>
      <c r="T538" s="7"/>
      <c r="U538" s="7"/>
      <c r="V538" s="7"/>
      <c r="W538" s="7"/>
      <c r="X538" s="7"/>
      <c r="Y538" s="7"/>
      <c r="Z538" s="7"/>
    </row>
    <row r="539" ht="13.5" customHeight="1">
      <c r="A539" s="7"/>
      <c r="B539" s="7"/>
      <c r="C539" s="7"/>
      <c r="D539" s="7"/>
      <c r="E539" s="7"/>
      <c r="F539" s="7"/>
      <c r="G539" s="7"/>
      <c r="H539" s="7"/>
      <c r="I539" s="7"/>
      <c r="J539" s="7"/>
      <c r="K539" s="7"/>
      <c r="L539" s="7"/>
      <c r="M539" s="7"/>
      <c r="N539" s="7"/>
      <c r="O539" s="7"/>
      <c r="P539" s="7"/>
      <c r="Q539" s="7"/>
      <c r="R539" s="7"/>
      <c r="S539" s="7"/>
      <c r="T539" s="7"/>
      <c r="U539" s="7"/>
      <c r="V539" s="7"/>
      <c r="W539" s="7"/>
      <c r="X539" s="7"/>
      <c r="Y539" s="7"/>
      <c r="Z539" s="7"/>
    </row>
    <row r="540" ht="13.5" customHeight="1">
      <c r="A540" s="7"/>
      <c r="B540" s="7"/>
      <c r="C540" s="7"/>
      <c r="D540" s="7"/>
      <c r="E540" s="7"/>
      <c r="F540" s="7"/>
      <c r="G540" s="7"/>
      <c r="H540" s="7"/>
      <c r="I540" s="7"/>
      <c r="J540" s="7"/>
      <c r="K540" s="7"/>
      <c r="L540" s="7"/>
      <c r="M540" s="7"/>
      <c r="N540" s="7"/>
      <c r="O540" s="7"/>
      <c r="P540" s="7"/>
      <c r="Q540" s="7"/>
      <c r="R540" s="7"/>
      <c r="S540" s="7"/>
      <c r="T540" s="7"/>
      <c r="U540" s="7"/>
      <c r="V540" s="7"/>
      <c r="W540" s="7"/>
      <c r="X540" s="7"/>
      <c r="Y540" s="7"/>
      <c r="Z540" s="7"/>
    </row>
    <row r="541" ht="13.5" customHeight="1">
      <c r="A541" s="7"/>
      <c r="B541" s="7"/>
      <c r="C541" s="7"/>
      <c r="D541" s="7"/>
      <c r="E541" s="7"/>
      <c r="F541" s="7"/>
      <c r="G541" s="7"/>
      <c r="H541" s="7"/>
      <c r="I541" s="7"/>
      <c r="J541" s="7"/>
      <c r="K541" s="7"/>
      <c r="L541" s="7"/>
      <c r="M541" s="7"/>
      <c r="N541" s="7"/>
      <c r="O541" s="7"/>
      <c r="P541" s="7"/>
      <c r="Q541" s="7"/>
      <c r="R541" s="7"/>
      <c r="S541" s="7"/>
      <c r="T541" s="7"/>
      <c r="U541" s="7"/>
      <c r="V541" s="7"/>
      <c r="W541" s="7"/>
      <c r="X541" s="7"/>
      <c r="Y541" s="7"/>
      <c r="Z541" s="7"/>
    </row>
    <row r="542" ht="13.5" customHeight="1">
      <c r="A542" s="7"/>
      <c r="B542" s="7"/>
      <c r="C542" s="7"/>
      <c r="D542" s="7"/>
      <c r="E542" s="7"/>
      <c r="F542" s="7"/>
      <c r="G542" s="7"/>
      <c r="H542" s="7"/>
      <c r="I542" s="7"/>
      <c r="J542" s="7"/>
      <c r="K542" s="7"/>
      <c r="L542" s="7"/>
      <c r="M542" s="7"/>
      <c r="N542" s="7"/>
      <c r="O542" s="7"/>
      <c r="P542" s="7"/>
      <c r="Q542" s="7"/>
      <c r="R542" s="7"/>
      <c r="S542" s="7"/>
      <c r="T542" s="7"/>
      <c r="U542" s="7"/>
      <c r="V542" s="7"/>
      <c r="W542" s="7"/>
      <c r="X542" s="7"/>
      <c r="Y542" s="7"/>
      <c r="Z542" s="7"/>
    </row>
    <row r="543" ht="13.5" customHeight="1">
      <c r="A543" s="7"/>
      <c r="B543" s="7"/>
      <c r="C543" s="7"/>
      <c r="D543" s="7"/>
      <c r="E543" s="7"/>
      <c r="F543" s="7"/>
      <c r="G543" s="7"/>
      <c r="H543" s="7"/>
      <c r="I543" s="7"/>
      <c r="J543" s="7"/>
      <c r="K543" s="7"/>
      <c r="L543" s="7"/>
      <c r="M543" s="7"/>
      <c r="N543" s="7"/>
      <c r="O543" s="7"/>
      <c r="P543" s="7"/>
      <c r="Q543" s="7"/>
      <c r="R543" s="7"/>
      <c r="S543" s="7"/>
      <c r="T543" s="7"/>
      <c r="U543" s="7"/>
      <c r="V543" s="7"/>
      <c r="W543" s="7"/>
      <c r="X543" s="7"/>
      <c r="Y543" s="7"/>
      <c r="Z543" s="7"/>
    </row>
    <row r="544" ht="13.5" customHeight="1">
      <c r="A544" s="7"/>
      <c r="B544" s="7"/>
      <c r="C544" s="7"/>
      <c r="D544" s="7"/>
      <c r="E544" s="7"/>
      <c r="F544" s="7"/>
      <c r="G544" s="7"/>
      <c r="H544" s="7"/>
      <c r="I544" s="7"/>
      <c r="J544" s="7"/>
      <c r="K544" s="7"/>
      <c r="L544" s="7"/>
      <c r="M544" s="7"/>
      <c r="N544" s="7"/>
      <c r="O544" s="7"/>
      <c r="P544" s="7"/>
      <c r="Q544" s="7"/>
      <c r="R544" s="7"/>
      <c r="S544" s="7"/>
      <c r="T544" s="7"/>
      <c r="U544" s="7"/>
      <c r="V544" s="7"/>
      <c r="W544" s="7"/>
      <c r="X544" s="7"/>
      <c r="Y544" s="7"/>
      <c r="Z544" s="7"/>
    </row>
    <row r="545" ht="13.5" customHeight="1">
      <c r="A545" s="7"/>
      <c r="B545" s="7"/>
      <c r="C545" s="7"/>
      <c r="D545" s="7"/>
      <c r="E545" s="7"/>
      <c r="F545" s="7"/>
      <c r="G545" s="7"/>
      <c r="H545" s="7"/>
      <c r="I545" s="7"/>
      <c r="J545" s="7"/>
      <c r="K545" s="7"/>
      <c r="L545" s="7"/>
      <c r="M545" s="7"/>
      <c r="N545" s="7"/>
      <c r="O545" s="7"/>
      <c r="P545" s="7"/>
      <c r="Q545" s="7"/>
      <c r="R545" s="7"/>
      <c r="S545" s="7"/>
      <c r="T545" s="7"/>
      <c r="U545" s="7"/>
      <c r="V545" s="7"/>
      <c r="W545" s="7"/>
      <c r="X545" s="7"/>
      <c r="Y545" s="7"/>
      <c r="Z545" s="7"/>
    </row>
    <row r="546" ht="13.5" customHeight="1">
      <c r="A546" s="7"/>
      <c r="B546" s="7"/>
      <c r="C546" s="7"/>
      <c r="D546" s="7"/>
      <c r="E546" s="7"/>
      <c r="F546" s="7"/>
      <c r="G546" s="7"/>
      <c r="H546" s="7"/>
      <c r="I546" s="7"/>
      <c r="J546" s="7"/>
      <c r="K546" s="7"/>
      <c r="L546" s="7"/>
      <c r="M546" s="7"/>
      <c r="N546" s="7"/>
      <c r="O546" s="7"/>
      <c r="P546" s="7"/>
      <c r="Q546" s="7"/>
      <c r="R546" s="7"/>
      <c r="S546" s="7"/>
      <c r="T546" s="7"/>
      <c r="U546" s="7"/>
      <c r="V546" s="7"/>
      <c r="W546" s="7"/>
      <c r="X546" s="7"/>
      <c r="Y546" s="7"/>
      <c r="Z546" s="7"/>
    </row>
    <row r="547" ht="13.5" customHeight="1">
      <c r="A547" s="7"/>
      <c r="B547" s="7"/>
      <c r="C547" s="7"/>
      <c r="D547" s="7"/>
      <c r="E547" s="7"/>
      <c r="F547" s="7"/>
      <c r="G547" s="7"/>
      <c r="H547" s="7"/>
      <c r="I547" s="7"/>
      <c r="J547" s="7"/>
      <c r="K547" s="7"/>
      <c r="L547" s="7"/>
      <c r="M547" s="7"/>
      <c r="N547" s="7"/>
      <c r="O547" s="7"/>
      <c r="P547" s="7"/>
      <c r="Q547" s="7"/>
      <c r="R547" s="7"/>
      <c r="S547" s="7"/>
      <c r="T547" s="7"/>
      <c r="U547" s="7"/>
      <c r="V547" s="7"/>
      <c r="W547" s="7"/>
      <c r="X547" s="7"/>
      <c r="Y547" s="7"/>
      <c r="Z547" s="7"/>
    </row>
    <row r="548" ht="13.5" customHeight="1">
      <c r="A548" s="7"/>
      <c r="B548" s="7"/>
      <c r="C548" s="7"/>
      <c r="D548" s="7"/>
      <c r="E548" s="7"/>
      <c r="F548" s="7"/>
      <c r="G548" s="7"/>
      <c r="H548" s="7"/>
      <c r="I548" s="7"/>
      <c r="J548" s="7"/>
      <c r="K548" s="7"/>
      <c r="L548" s="7"/>
      <c r="M548" s="7"/>
      <c r="N548" s="7"/>
      <c r="O548" s="7"/>
      <c r="P548" s="7"/>
      <c r="Q548" s="7"/>
      <c r="R548" s="7"/>
      <c r="S548" s="7"/>
      <c r="T548" s="7"/>
      <c r="U548" s="7"/>
      <c r="V548" s="7"/>
      <c r="W548" s="7"/>
      <c r="X548" s="7"/>
      <c r="Y548" s="7"/>
      <c r="Z548" s="7"/>
    </row>
    <row r="549" ht="13.5" customHeight="1">
      <c r="A549" s="7"/>
      <c r="B549" s="7"/>
      <c r="C549" s="7"/>
      <c r="D549" s="7"/>
      <c r="E549" s="7"/>
      <c r="F549" s="7"/>
      <c r="G549" s="7"/>
      <c r="H549" s="7"/>
      <c r="I549" s="7"/>
      <c r="J549" s="7"/>
      <c r="K549" s="7"/>
      <c r="L549" s="7"/>
      <c r="M549" s="7"/>
      <c r="N549" s="7"/>
      <c r="O549" s="7"/>
      <c r="P549" s="7"/>
      <c r="Q549" s="7"/>
      <c r="R549" s="7"/>
      <c r="S549" s="7"/>
      <c r="T549" s="7"/>
      <c r="U549" s="7"/>
      <c r="V549" s="7"/>
      <c r="W549" s="7"/>
      <c r="X549" s="7"/>
      <c r="Y549" s="7"/>
      <c r="Z549" s="7"/>
    </row>
    <row r="550" ht="13.5" customHeight="1">
      <c r="A550" s="7"/>
      <c r="B550" s="7"/>
      <c r="C550" s="7"/>
      <c r="D550" s="7"/>
      <c r="E550" s="7"/>
      <c r="F550" s="7"/>
      <c r="G550" s="7"/>
      <c r="H550" s="7"/>
      <c r="I550" s="7"/>
      <c r="J550" s="7"/>
      <c r="K550" s="7"/>
      <c r="L550" s="7"/>
      <c r="M550" s="7"/>
      <c r="N550" s="7"/>
      <c r="O550" s="7"/>
      <c r="P550" s="7"/>
      <c r="Q550" s="7"/>
      <c r="R550" s="7"/>
      <c r="S550" s="7"/>
      <c r="T550" s="7"/>
      <c r="U550" s="7"/>
      <c r="V550" s="7"/>
      <c r="W550" s="7"/>
      <c r="X550" s="7"/>
      <c r="Y550" s="7"/>
      <c r="Z550" s="7"/>
    </row>
    <row r="551" ht="13.5" customHeight="1">
      <c r="A551" s="7"/>
      <c r="B551" s="7"/>
      <c r="C551" s="7"/>
      <c r="D551" s="7"/>
      <c r="E551" s="7"/>
      <c r="F551" s="7"/>
      <c r="G551" s="7"/>
      <c r="H551" s="7"/>
      <c r="I551" s="7"/>
      <c r="J551" s="7"/>
      <c r="K551" s="7"/>
      <c r="L551" s="7"/>
      <c r="M551" s="7"/>
      <c r="N551" s="7"/>
      <c r="O551" s="7"/>
      <c r="P551" s="7"/>
      <c r="Q551" s="7"/>
      <c r="R551" s="7"/>
      <c r="S551" s="7"/>
      <c r="T551" s="7"/>
      <c r="U551" s="7"/>
      <c r="V551" s="7"/>
      <c r="W551" s="7"/>
      <c r="X551" s="7"/>
      <c r="Y551" s="7"/>
      <c r="Z551" s="7"/>
    </row>
    <row r="552" ht="13.5" customHeight="1">
      <c r="A552" s="7"/>
      <c r="B552" s="7"/>
      <c r="C552" s="7"/>
      <c r="D552" s="7"/>
      <c r="E552" s="7"/>
      <c r="F552" s="7"/>
      <c r="G552" s="7"/>
      <c r="H552" s="7"/>
      <c r="I552" s="7"/>
      <c r="J552" s="7"/>
      <c r="K552" s="7"/>
      <c r="L552" s="7"/>
      <c r="M552" s="7"/>
      <c r="N552" s="7"/>
      <c r="O552" s="7"/>
      <c r="P552" s="7"/>
      <c r="Q552" s="7"/>
      <c r="R552" s="7"/>
      <c r="S552" s="7"/>
      <c r="T552" s="7"/>
      <c r="U552" s="7"/>
      <c r="V552" s="7"/>
      <c r="W552" s="7"/>
      <c r="X552" s="7"/>
      <c r="Y552" s="7"/>
      <c r="Z552" s="7"/>
    </row>
    <row r="553" ht="13.5" customHeight="1">
      <c r="A553" s="7"/>
      <c r="B553" s="7"/>
      <c r="C553" s="7"/>
      <c r="D553" s="7"/>
      <c r="E553" s="7"/>
      <c r="F553" s="7"/>
      <c r="G553" s="7"/>
      <c r="H553" s="7"/>
      <c r="I553" s="7"/>
      <c r="J553" s="7"/>
      <c r="K553" s="7"/>
      <c r="L553" s="7"/>
      <c r="M553" s="7"/>
      <c r="N553" s="7"/>
      <c r="O553" s="7"/>
      <c r="P553" s="7"/>
      <c r="Q553" s="7"/>
      <c r="R553" s="7"/>
      <c r="S553" s="7"/>
      <c r="T553" s="7"/>
      <c r="U553" s="7"/>
      <c r="V553" s="7"/>
      <c r="W553" s="7"/>
      <c r="X553" s="7"/>
      <c r="Y553" s="7"/>
      <c r="Z553" s="7"/>
    </row>
    <row r="554" ht="13.5" customHeight="1">
      <c r="A554" s="7"/>
      <c r="B554" s="7"/>
      <c r="C554" s="7"/>
      <c r="D554" s="7"/>
      <c r="E554" s="7"/>
      <c r="F554" s="7"/>
      <c r="G554" s="7"/>
      <c r="H554" s="7"/>
      <c r="I554" s="7"/>
      <c r="J554" s="7"/>
      <c r="K554" s="7"/>
      <c r="L554" s="7"/>
      <c r="M554" s="7"/>
      <c r="N554" s="7"/>
      <c r="O554" s="7"/>
      <c r="P554" s="7"/>
      <c r="Q554" s="7"/>
      <c r="R554" s="7"/>
      <c r="S554" s="7"/>
      <c r="T554" s="7"/>
      <c r="U554" s="7"/>
      <c r="V554" s="7"/>
      <c r="W554" s="7"/>
      <c r="X554" s="7"/>
      <c r="Y554" s="7"/>
      <c r="Z554" s="7"/>
    </row>
    <row r="555" ht="13.5" customHeight="1">
      <c r="A555" s="7"/>
      <c r="B555" s="7"/>
      <c r="C555" s="7"/>
      <c r="D555" s="7"/>
      <c r="E555" s="7"/>
      <c r="F555" s="7"/>
      <c r="G555" s="7"/>
      <c r="H555" s="7"/>
      <c r="I555" s="7"/>
      <c r="J555" s="7"/>
      <c r="K555" s="7"/>
      <c r="L555" s="7"/>
      <c r="M555" s="7"/>
      <c r="N555" s="7"/>
      <c r="O555" s="7"/>
      <c r="P555" s="7"/>
      <c r="Q555" s="7"/>
      <c r="R555" s="7"/>
      <c r="S555" s="7"/>
      <c r="T555" s="7"/>
      <c r="U555" s="7"/>
      <c r="V555" s="7"/>
      <c r="W555" s="7"/>
      <c r="X555" s="7"/>
      <c r="Y555" s="7"/>
      <c r="Z555" s="7"/>
    </row>
    <row r="556" ht="13.5" customHeight="1">
      <c r="A556" s="7"/>
      <c r="B556" s="7"/>
      <c r="C556" s="7"/>
      <c r="D556" s="7"/>
      <c r="E556" s="7"/>
      <c r="F556" s="7"/>
      <c r="G556" s="7"/>
      <c r="H556" s="7"/>
      <c r="I556" s="7"/>
      <c r="J556" s="7"/>
      <c r="K556" s="7"/>
      <c r="L556" s="7"/>
      <c r="M556" s="7"/>
      <c r="N556" s="7"/>
      <c r="O556" s="7"/>
      <c r="P556" s="7"/>
      <c r="Q556" s="7"/>
      <c r="R556" s="7"/>
      <c r="S556" s="7"/>
      <c r="T556" s="7"/>
      <c r="U556" s="7"/>
      <c r="V556" s="7"/>
      <c r="W556" s="7"/>
      <c r="X556" s="7"/>
      <c r="Y556" s="7"/>
      <c r="Z556" s="7"/>
    </row>
    <row r="557" ht="13.5" customHeight="1">
      <c r="A557" s="7"/>
      <c r="B557" s="7"/>
      <c r="C557" s="7"/>
      <c r="D557" s="7"/>
      <c r="E557" s="7"/>
      <c r="F557" s="7"/>
      <c r="G557" s="7"/>
      <c r="H557" s="7"/>
      <c r="I557" s="7"/>
      <c r="J557" s="7"/>
      <c r="K557" s="7"/>
      <c r="L557" s="7"/>
      <c r="M557" s="7"/>
      <c r="N557" s="7"/>
      <c r="O557" s="7"/>
      <c r="P557" s="7"/>
      <c r="Q557" s="7"/>
      <c r="R557" s="7"/>
      <c r="S557" s="7"/>
      <c r="T557" s="7"/>
      <c r="U557" s="7"/>
      <c r="V557" s="7"/>
      <c r="W557" s="7"/>
      <c r="X557" s="7"/>
      <c r="Y557" s="7"/>
      <c r="Z557" s="7"/>
    </row>
    <row r="558" ht="13.5" customHeight="1">
      <c r="A558" s="7"/>
      <c r="B558" s="7"/>
      <c r="C558" s="7"/>
      <c r="D558" s="7"/>
      <c r="E558" s="7"/>
      <c r="F558" s="7"/>
      <c r="G558" s="7"/>
      <c r="H558" s="7"/>
      <c r="I558" s="7"/>
      <c r="J558" s="7"/>
      <c r="K558" s="7"/>
      <c r="L558" s="7"/>
      <c r="M558" s="7"/>
      <c r="N558" s="7"/>
      <c r="O558" s="7"/>
      <c r="P558" s="7"/>
      <c r="Q558" s="7"/>
      <c r="R558" s="7"/>
      <c r="S558" s="7"/>
      <c r="T558" s="7"/>
      <c r="U558" s="7"/>
      <c r="V558" s="7"/>
      <c r="W558" s="7"/>
      <c r="X558" s="7"/>
      <c r="Y558" s="7"/>
      <c r="Z558" s="7"/>
    </row>
    <row r="559" ht="13.5" customHeight="1">
      <c r="A559" s="7"/>
      <c r="B559" s="7"/>
      <c r="C559" s="7"/>
      <c r="D559" s="7"/>
      <c r="E559" s="7"/>
      <c r="F559" s="7"/>
      <c r="G559" s="7"/>
      <c r="H559" s="7"/>
      <c r="I559" s="7"/>
      <c r="J559" s="7"/>
      <c r="K559" s="7"/>
      <c r="L559" s="7"/>
      <c r="M559" s="7"/>
      <c r="N559" s="7"/>
      <c r="O559" s="7"/>
      <c r="P559" s="7"/>
      <c r="Q559" s="7"/>
      <c r="R559" s="7"/>
      <c r="S559" s="7"/>
      <c r="T559" s="7"/>
      <c r="U559" s="7"/>
      <c r="V559" s="7"/>
      <c r="W559" s="7"/>
      <c r="X559" s="7"/>
      <c r="Y559" s="7"/>
      <c r="Z559" s="7"/>
    </row>
    <row r="560" ht="13.5" customHeight="1">
      <c r="A560" s="7"/>
      <c r="B560" s="7"/>
      <c r="C560" s="7"/>
      <c r="D560" s="7"/>
      <c r="E560" s="7"/>
      <c r="F560" s="7"/>
      <c r="G560" s="7"/>
      <c r="H560" s="7"/>
      <c r="I560" s="7"/>
      <c r="J560" s="7"/>
      <c r="K560" s="7"/>
      <c r="L560" s="7"/>
      <c r="M560" s="7"/>
      <c r="N560" s="7"/>
      <c r="O560" s="7"/>
      <c r="P560" s="7"/>
      <c r="Q560" s="7"/>
      <c r="R560" s="7"/>
      <c r="S560" s="7"/>
      <c r="T560" s="7"/>
      <c r="U560" s="7"/>
      <c r="V560" s="7"/>
      <c r="W560" s="7"/>
      <c r="X560" s="7"/>
      <c r="Y560" s="7"/>
      <c r="Z560" s="7"/>
    </row>
    <row r="561" ht="13.5" customHeight="1">
      <c r="A561" s="7"/>
      <c r="B561" s="7"/>
      <c r="C561" s="7"/>
      <c r="D561" s="7"/>
      <c r="E561" s="7"/>
      <c r="F561" s="7"/>
      <c r="G561" s="7"/>
      <c r="H561" s="7"/>
      <c r="I561" s="7"/>
      <c r="J561" s="7"/>
      <c r="K561" s="7"/>
      <c r="L561" s="7"/>
      <c r="M561" s="7"/>
      <c r="N561" s="7"/>
      <c r="O561" s="7"/>
      <c r="P561" s="7"/>
      <c r="Q561" s="7"/>
      <c r="R561" s="7"/>
      <c r="S561" s="7"/>
      <c r="T561" s="7"/>
      <c r="U561" s="7"/>
      <c r="V561" s="7"/>
      <c r="W561" s="7"/>
      <c r="X561" s="7"/>
      <c r="Y561" s="7"/>
      <c r="Z561" s="7"/>
    </row>
    <row r="562" ht="13.5" customHeight="1">
      <c r="A562" s="7"/>
      <c r="B562" s="7"/>
      <c r="C562" s="7"/>
      <c r="D562" s="7"/>
      <c r="E562" s="7"/>
      <c r="F562" s="7"/>
      <c r="G562" s="7"/>
      <c r="H562" s="7"/>
      <c r="I562" s="7"/>
      <c r="J562" s="7"/>
      <c r="K562" s="7"/>
      <c r="L562" s="7"/>
      <c r="M562" s="7"/>
      <c r="N562" s="7"/>
      <c r="O562" s="7"/>
      <c r="P562" s="7"/>
      <c r="Q562" s="7"/>
      <c r="R562" s="7"/>
      <c r="S562" s="7"/>
      <c r="T562" s="7"/>
      <c r="U562" s="7"/>
      <c r="V562" s="7"/>
      <c r="W562" s="7"/>
      <c r="X562" s="7"/>
      <c r="Y562" s="7"/>
      <c r="Z562" s="7"/>
    </row>
    <row r="563" ht="13.5" customHeight="1">
      <c r="A563" s="7"/>
      <c r="B563" s="7"/>
      <c r="C563" s="7"/>
      <c r="D563" s="7"/>
      <c r="E563" s="7"/>
      <c r="F563" s="7"/>
      <c r="G563" s="7"/>
      <c r="H563" s="7"/>
      <c r="I563" s="7"/>
      <c r="J563" s="7"/>
      <c r="K563" s="7"/>
      <c r="L563" s="7"/>
      <c r="M563" s="7"/>
      <c r="N563" s="7"/>
      <c r="O563" s="7"/>
      <c r="P563" s="7"/>
      <c r="Q563" s="7"/>
      <c r="R563" s="7"/>
      <c r="S563" s="7"/>
      <c r="T563" s="7"/>
      <c r="U563" s="7"/>
      <c r="V563" s="7"/>
      <c r="W563" s="7"/>
      <c r="X563" s="7"/>
      <c r="Y563" s="7"/>
      <c r="Z563" s="7"/>
    </row>
    <row r="564" ht="13.5" customHeight="1">
      <c r="A564" s="7"/>
      <c r="B564" s="7"/>
      <c r="C564" s="7"/>
      <c r="D564" s="7"/>
      <c r="E564" s="7"/>
      <c r="F564" s="7"/>
      <c r="G564" s="7"/>
      <c r="H564" s="7"/>
      <c r="I564" s="7"/>
      <c r="J564" s="7"/>
      <c r="K564" s="7"/>
      <c r="L564" s="7"/>
      <c r="M564" s="7"/>
      <c r="N564" s="7"/>
      <c r="O564" s="7"/>
      <c r="P564" s="7"/>
      <c r="Q564" s="7"/>
      <c r="R564" s="7"/>
      <c r="S564" s="7"/>
      <c r="T564" s="7"/>
      <c r="U564" s="7"/>
      <c r="V564" s="7"/>
      <c r="W564" s="7"/>
      <c r="X564" s="7"/>
      <c r="Y564" s="7"/>
      <c r="Z564" s="7"/>
    </row>
    <row r="565" ht="13.5" customHeight="1">
      <c r="A565" s="7"/>
      <c r="B565" s="7"/>
      <c r="C565" s="7"/>
      <c r="D565" s="7"/>
      <c r="E565" s="7"/>
      <c r="F565" s="7"/>
      <c r="G565" s="7"/>
      <c r="H565" s="7"/>
      <c r="I565" s="7"/>
      <c r="J565" s="7"/>
      <c r="K565" s="7"/>
      <c r="L565" s="7"/>
      <c r="M565" s="7"/>
      <c r="N565" s="7"/>
      <c r="O565" s="7"/>
      <c r="P565" s="7"/>
      <c r="Q565" s="7"/>
      <c r="R565" s="7"/>
      <c r="S565" s="7"/>
      <c r="T565" s="7"/>
      <c r="U565" s="7"/>
      <c r="V565" s="7"/>
      <c r="W565" s="7"/>
      <c r="X565" s="7"/>
      <c r="Y565" s="7"/>
      <c r="Z565" s="7"/>
    </row>
    <row r="566" ht="13.5" customHeight="1">
      <c r="A566" s="7"/>
      <c r="B566" s="7"/>
      <c r="C566" s="7"/>
      <c r="D566" s="7"/>
      <c r="E566" s="7"/>
      <c r="F566" s="7"/>
      <c r="G566" s="7"/>
      <c r="H566" s="7"/>
      <c r="I566" s="7"/>
      <c r="J566" s="7"/>
      <c r="K566" s="7"/>
      <c r="L566" s="7"/>
      <c r="M566" s="7"/>
      <c r="N566" s="7"/>
      <c r="O566" s="7"/>
      <c r="P566" s="7"/>
      <c r="Q566" s="7"/>
      <c r="R566" s="7"/>
      <c r="S566" s="7"/>
      <c r="T566" s="7"/>
      <c r="U566" s="7"/>
      <c r="V566" s="7"/>
      <c r="W566" s="7"/>
      <c r="X566" s="7"/>
      <c r="Y566" s="7"/>
      <c r="Z566" s="7"/>
    </row>
    <row r="567" ht="13.5" customHeight="1">
      <c r="A567" s="7"/>
      <c r="B567" s="7"/>
      <c r="C567" s="7"/>
      <c r="D567" s="7"/>
      <c r="E567" s="7"/>
      <c r="F567" s="7"/>
      <c r="G567" s="7"/>
      <c r="H567" s="7"/>
      <c r="I567" s="7"/>
      <c r="J567" s="7"/>
      <c r="K567" s="7"/>
      <c r="L567" s="7"/>
      <c r="M567" s="7"/>
      <c r="N567" s="7"/>
      <c r="O567" s="7"/>
      <c r="P567" s="7"/>
      <c r="Q567" s="7"/>
      <c r="R567" s="7"/>
      <c r="S567" s="7"/>
      <c r="T567" s="7"/>
      <c r="U567" s="7"/>
      <c r="V567" s="7"/>
      <c r="W567" s="7"/>
      <c r="X567" s="7"/>
      <c r="Y567" s="7"/>
      <c r="Z567" s="7"/>
    </row>
    <row r="568" ht="13.5" customHeight="1">
      <c r="A568" s="7"/>
      <c r="B568" s="7"/>
      <c r="C568" s="7"/>
      <c r="D568" s="7"/>
      <c r="E568" s="7"/>
      <c r="F568" s="7"/>
      <c r="G568" s="7"/>
      <c r="H568" s="7"/>
      <c r="I568" s="7"/>
      <c r="J568" s="7"/>
      <c r="K568" s="7"/>
      <c r="L568" s="7"/>
      <c r="M568" s="7"/>
      <c r="N568" s="7"/>
      <c r="O568" s="7"/>
      <c r="P568" s="7"/>
      <c r="Q568" s="7"/>
      <c r="R568" s="7"/>
      <c r="S568" s="7"/>
      <c r="T568" s="7"/>
      <c r="U568" s="7"/>
      <c r="V568" s="7"/>
      <c r="W568" s="7"/>
      <c r="X568" s="7"/>
      <c r="Y568" s="7"/>
      <c r="Z568" s="7"/>
    </row>
    <row r="569" ht="13.5" customHeight="1">
      <c r="A569" s="7"/>
      <c r="B569" s="7"/>
      <c r="C569" s="7"/>
      <c r="D569" s="7"/>
      <c r="E569" s="7"/>
      <c r="F569" s="7"/>
      <c r="G569" s="7"/>
      <c r="H569" s="7"/>
      <c r="I569" s="7"/>
      <c r="J569" s="7"/>
      <c r="K569" s="7"/>
      <c r="L569" s="7"/>
      <c r="M569" s="7"/>
      <c r="N569" s="7"/>
      <c r="O569" s="7"/>
      <c r="P569" s="7"/>
      <c r="Q569" s="7"/>
      <c r="R569" s="7"/>
      <c r="S569" s="7"/>
      <c r="T569" s="7"/>
      <c r="U569" s="7"/>
      <c r="V569" s="7"/>
      <c r="W569" s="7"/>
      <c r="X569" s="7"/>
      <c r="Y569" s="7"/>
      <c r="Z569" s="7"/>
    </row>
    <row r="570" ht="13.5" customHeight="1">
      <c r="A570" s="7"/>
      <c r="B570" s="7"/>
      <c r="C570" s="7"/>
      <c r="D570" s="7"/>
      <c r="E570" s="7"/>
      <c r="F570" s="7"/>
      <c r="G570" s="7"/>
      <c r="H570" s="7"/>
      <c r="I570" s="7"/>
      <c r="J570" s="7"/>
      <c r="K570" s="7"/>
      <c r="L570" s="7"/>
      <c r="M570" s="7"/>
      <c r="N570" s="7"/>
      <c r="O570" s="7"/>
      <c r="P570" s="7"/>
      <c r="Q570" s="7"/>
      <c r="R570" s="7"/>
      <c r="S570" s="7"/>
      <c r="T570" s="7"/>
      <c r="U570" s="7"/>
      <c r="V570" s="7"/>
      <c r="W570" s="7"/>
      <c r="X570" s="7"/>
      <c r="Y570" s="7"/>
      <c r="Z570" s="7"/>
    </row>
    <row r="571" ht="13.5" customHeight="1">
      <c r="A571" s="7"/>
      <c r="B571" s="7"/>
      <c r="C571" s="7"/>
      <c r="D571" s="7"/>
      <c r="E571" s="7"/>
      <c r="F571" s="7"/>
      <c r="G571" s="7"/>
      <c r="H571" s="7"/>
      <c r="I571" s="7"/>
      <c r="J571" s="7"/>
      <c r="K571" s="7"/>
      <c r="L571" s="7"/>
      <c r="M571" s="7"/>
      <c r="N571" s="7"/>
      <c r="O571" s="7"/>
      <c r="P571" s="7"/>
      <c r="Q571" s="7"/>
      <c r="R571" s="7"/>
      <c r="S571" s="7"/>
      <c r="T571" s="7"/>
      <c r="U571" s="7"/>
      <c r="V571" s="7"/>
      <c r="W571" s="7"/>
      <c r="X571" s="7"/>
      <c r="Y571" s="7"/>
      <c r="Z571" s="7"/>
    </row>
    <row r="572" ht="13.5" customHeight="1">
      <c r="A572" s="7"/>
      <c r="B572" s="7"/>
      <c r="C572" s="7"/>
      <c r="D572" s="7"/>
      <c r="E572" s="7"/>
      <c r="F572" s="7"/>
      <c r="G572" s="7"/>
      <c r="H572" s="7"/>
      <c r="I572" s="7"/>
      <c r="J572" s="7"/>
      <c r="K572" s="7"/>
      <c r="L572" s="7"/>
      <c r="M572" s="7"/>
      <c r="N572" s="7"/>
      <c r="O572" s="7"/>
      <c r="P572" s="7"/>
      <c r="Q572" s="7"/>
      <c r="R572" s="7"/>
      <c r="S572" s="7"/>
      <c r="T572" s="7"/>
      <c r="U572" s="7"/>
      <c r="V572" s="7"/>
      <c r="W572" s="7"/>
      <c r="X572" s="7"/>
      <c r="Y572" s="7"/>
      <c r="Z572" s="7"/>
    </row>
    <row r="573" ht="13.5" customHeight="1">
      <c r="A573" s="7"/>
      <c r="B573" s="7"/>
      <c r="C573" s="7"/>
      <c r="D573" s="7"/>
      <c r="E573" s="7"/>
      <c r="F573" s="7"/>
      <c r="G573" s="7"/>
      <c r="H573" s="7"/>
      <c r="I573" s="7"/>
      <c r="J573" s="7"/>
      <c r="K573" s="7"/>
      <c r="L573" s="7"/>
      <c r="M573" s="7"/>
      <c r="N573" s="7"/>
      <c r="O573" s="7"/>
      <c r="P573" s="7"/>
      <c r="Q573" s="7"/>
      <c r="R573" s="7"/>
      <c r="S573" s="7"/>
      <c r="T573" s="7"/>
      <c r="U573" s="7"/>
      <c r="V573" s="7"/>
      <c r="W573" s="7"/>
      <c r="X573" s="7"/>
      <c r="Y573" s="7"/>
      <c r="Z573" s="7"/>
    </row>
    <row r="574" ht="13.5" customHeight="1">
      <c r="A574" s="7"/>
      <c r="B574" s="7"/>
      <c r="C574" s="7"/>
      <c r="D574" s="7"/>
      <c r="E574" s="7"/>
      <c r="F574" s="7"/>
      <c r="G574" s="7"/>
      <c r="H574" s="7"/>
      <c r="I574" s="7"/>
      <c r="J574" s="7"/>
      <c r="K574" s="7"/>
      <c r="L574" s="7"/>
      <c r="M574" s="7"/>
      <c r="N574" s="7"/>
      <c r="O574" s="7"/>
      <c r="P574" s="7"/>
      <c r="Q574" s="7"/>
      <c r="R574" s="7"/>
      <c r="S574" s="7"/>
      <c r="T574" s="7"/>
      <c r="U574" s="7"/>
      <c r="V574" s="7"/>
      <c r="W574" s="7"/>
      <c r="X574" s="7"/>
      <c r="Y574" s="7"/>
      <c r="Z574" s="7"/>
    </row>
    <row r="575" ht="13.5" customHeight="1">
      <c r="A575" s="7"/>
      <c r="B575" s="7"/>
      <c r="C575" s="7"/>
      <c r="D575" s="7"/>
      <c r="E575" s="7"/>
      <c r="F575" s="7"/>
      <c r="G575" s="7"/>
      <c r="H575" s="7"/>
      <c r="I575" s="7"/>
      <c r="J575" s="7"/>
      <c r="K575" s="7"/>
      <c r="L575" s="7"/>
      <c r="M575" s="7"/>
      <c r="N575" s="7"/>
      <c r="O575" s="7"/>
      <c r="P575" s="7"/>
      <c r="Q575" s="7"/>
      <c r="R575" s="7"/>
      <c r="S575" s="7"/>
      <c r="T575" s="7"/>
      <c r="U575" s="7"/>
      <c r="V575" s="7"/>
      <c r="W575" s="7"/>
      <c r="X575" s="7"/>
      <c r="Y575" s="7"/>
      <c r="Z575" s="7"/>
    </row>
    <row r="576" ht="13.5" customHeight="1">
      <c r="A576" s="7"/>
      <c r="B576" s="7"/>
      <c r="C576" s="7"/>
      <c r="D576" s="7"/>
      <c r="E576" s="7"/>
      <c r="F576" s="7"/>
      <c r="G576" s="7"/>
      <c r="H576" s="7"/>
      <c r="I576" s="7"/>
      <c r="J576" s="7"/>
      <c r="K576" s="7"/>
      <c r="L576" s="7"/>
      <c r="M576" s="7"/>
      <c r="N576" s="7"/>
      <c r="O576" s="7"/>
      <c r="P576" s="7"/>
      <c r="Q576" s="7"/>
      <c r="R576" s="7"/>
      <c r="S576" s="7"/>
      <c r="T576" s="7"/>
      <c r="U576" s="7"/>
      <c r="V576" s="7"/>
      <c r="W576" s="7"/>
      <c r="X576" s="7"/>
      <c r="Y576" s="7"/>
      <c r="Z576" s="7"/>
    </row>
    <row r="577" ht="13.5" customHeight="1">
      <c r="A577" s="7"/>
      <c r="B577" s="7"/>
      <c r="C577" s="7"/>
      <c r="D577" s="7"/>
      <c r="E577" s="7"/>
      <c r="F577" s="7"/>
      <c r="G577" s="7"/>
      <c r="H577" s="7"/>
      <c r="I577" s="7"/>
      <c r="J577" s="7"/>
      <c r="K577" s="7"/>
      <c r="L577" s="7"/>
      <c r="M577" s="7"/>
      <c r="N577" s="7"/>
      <c r="O577" s="7"/>
      <c r="P577" s="7"/>
      <c r="Q577" s="7"/>
      <c r="R577" s="7"/>
      <c r="S577" s="7"/>
      <c r="T577" s="7"/>
      <c r="U577" s="7"/>
      <c r="V577" s="7"/>
      <c r="W577" s="7"/>
      <c r="X577" s="7"/>
      <c r="Y577" s="7"/>
      <c r="Z577" s="7"/>
    </row>
    <row r="578" ht="13.5" customHeight="1">
      <c r="A578" s="7"/>
      <c r="B578" s="7"/>
      <c r="C578" s="7"/>
      <c r="D578" s="7"/>
      <c r="E578" s="7"/>
      <c r="F578" s="7"/>
      <c r="G578" s="7"/>
      <c r="H578" s="7"/>
      <c r="I578" s="7"/>
      <c r="J578" s="7"/>
      <c r="K578" s="7"/>
      <c r="L578" s="7"/>
      <c r="M578" s="7"/>
      <c r="N578" s="7"/>
      <c r="O578" s="7"/>
      <c r="P578" s="7"/>
      <c r="Q578" s="7"/>
      <c r="R578" s="7"/>
      <c r="S578" s="7"/>
      <c r="T578" s="7"/>
      <c r="U578" s="7"/>
      <c r="V578" s="7"/>
      <c r="W578" s="7"/>
      <c r="X578" s="7"/>
      <c r="Y578" s="7"/>
      <c r="Z578" s="7"/>
    </row>
    <row r="579" ht="13.5" customHeight="1">
      <c r="A579" s="7"/>
      <c r="B579" s="7"/>
      <c r="C579" s="7"/>
      <c r="D579" s="7"/>
      <c r="E579" s="7"/>
      <c r="F579" s="7"/>
      <c r="G579" s="7"/>
      <c r="H579" s="7"/>
      <c r="I579" s="7"/>
      <c r="J579" s="7"/>
      <c r="K579" s="7"/>
      <c r="L579" s="7"/>
      <c r="M579" s="7"/>
      <c r="N579" s="7"/>
      <c r="O579" s="7"/>
      <c r="P579" s="7"/>
      <c r="Q579" s="7"/>
      <c r="R579" s="7"/>
      <c r="S579" s="7"/>
      <c r="T579" s="7"/>
      <c r="U579" s="7"/>
      <c r="V579" s="7"/>
      <c r="W579" s="7"/>
      <c r="X579" s="7"/>
      <c r="Y579" s="7"/>
      <c r="Z579" s="7"/>
    </row>
    <row r="580" ht="13.5" customHeight="1">
      <c r="A580" s="7"/>
      <c r="B580" s="7"/>
      <c r="C580" s="7"/>
      <c r="D580" s="7"/>
      <c r="E580" s="7"/>
      <c r="F580" s="7"/>
      <c r="G580" s="7"/>
      <c r="H580" s="7"/>
      <c r="I580" s="7"/>
      <c r="J580" s="7"/>
      <c r="K580" s="7"/>
      <c r="L580" s="7"/>
      <c r="M580" s="7"/>
      <c r="N580" s="7"/>
      <c r="O580" s="7"/>
      <c r="P580" s="7"/>
      <c r="Q580" s="7"/>
      <c r="R580" s="7"/>
      <c r="S580" s="7"/>
      <c r="T580" s="7"/>
      <c r="U580" s="7"/>
      <c r="V580" s="7"/>
      <c r="W580" s="7"/>
      <c r="X580" s="7"/>
      <c r="Y580" s="7"/>
      <c r="Z580" s="7"/>
    </row>
    <row r="581" ht="13.5" customHeight="1">
      <c r="A581" s="7"/>
      <c r="B581" s="7"/>
      <c r="C581" s="7"/>
      <c r="D581" s="7"/>
      <c r="E581" s="7"/>
      <c r="F581" s="7"/>
      <c r="G581" s="7"/>
      <c r="H581" s="7"/>
      <c r="I581" s="7"/>
      <c r="J581" s="7"/>
      <c r="K581" s="7"/>
      <c r="L581" s="7"/>
      <c r="M581" s="7"/>
      <c r="N581" s="7"/>
      <c r="O581" s="7"/>
      <c r="P581" s="7"/>
      <c r="Q581" s="7"/>
      <c r="R581" s="7"/>
      <c r="S581" s="7"/>
      <c r="T581" s="7"/>
      <c r="U581" s="7"/>
      <c r="V581" s="7"/>
      <c r="W581" s="7"/>
      <c r="X581" s="7"/>
      <c r="Y581" s="7"/>
      <c r="Z581" s="7"/>
    </row>
    <row r="582" ht="13.5" customHeight="1">
      <c r="A582" s="7"/>
      <c r="B582" s="7"/>
      <c r="C582" s="7"/>
      <c r="D582" s="7"/>
      <c r="E582" s="7"/>
      <c r="F582" s="7"/>
      <c r="G582" s="7"/>
      <c r="H582" s="7"/>
      <c r="I582" s="7"/>
      <c r="J582" s="7"/>
      <c r="K582" s="7"/>
      <c r="L582" s="7"/>
      <c r="M582" s="7"/>
      <c r="N582" s="7"/>
      <c r="O582" s="7"/>
      <c r="P582" s="7"/>
      <c r="Q582" s="7"/>
      <c r="R582" s="7"/>
      <c r="S582" s="7"/>
      <c r="T582" s="7"/>
      <c r="U582" s="7"/>
      <c r="V582" s="7"/>
      <c r="W582" s="7"/>
      <c r="X582" s="7"/>
      <c r="Y582" s="7"/>
      <c r="Z582" s="7"/>
    </row>
    <row r="583" ht="13.5" customHeight="1">
      <c r="A583" s="7"/>
      <c r="B583" s="7"/>
      <c r="C583" s="7"/>
      <c r="D583" s="7"/>
      <c r="E583" s="7"/>
      <c r="F583" s="7"/>
      <c r="G583" s="7"/>
      <c r="H583" s="7"/>
      <c r="I583" s="7"/>
      <c r="J583" s="7"/>
      <c r="K583" s="7"/>
      <c r="L583" s="7"/>
      <c r="M583" s="7"/>
      <c r="N583" s="7"/>
      <c r="O583" s="7"/>
      <c r="P583" s="7"/>
      <c r="Q583" s="7"/>
      <c r="R583" s="7"/>
      <c r="S583" s="7"/>
      <c r="T583" s="7"/>
      <c r="U583" s="7"/>
      <c r="V583" s="7"/>
      <c r="W583" s="7"/>
      <c r="X583" s="7"/>
      <c r="Y583" s="7"/>
      <c r="Z583" s="7"/>
    </row>
    <row r="584" ht="13.5" customHeight="1">
      <c r="A584" s="7"/>
      <c r="B584" s="7"/>
      <c r="C584" s="7"/>
      <c r="D584" s="7"/>
      <c r="E584" s="7"/>
      <c r="F584" s="7"/>
      <c r="G584" s="7"/>
      <c r="H584" s="7"/>
      <c r="I584" s="7"/>
      <c r="J584" s="7"/>
      <c r="K584" s="7"/>
      <c r="L584" s="7"/>
      <c r="M584" s="7"/>
      <c r="N584" s="7"/>
      <c r="O584" s="7"/>
      <c r="P584" s="7"/>
      <c r="Q584" s="7"/>
      <c r="R584" s="7"/>
      <c r="S584" s="7"/>
      <c r="T584" s="7"/>
      <c r="U584" s="7"/>
      <c r="V584" s="7"/>
      <c r="W584" s="7"/>
      <c r="X584" s="7"/>
      <c r="Y584" s="7"/>
      <c r="Z584" s="7"/>
    </row>
    <row r="585" ht="13.5" customHeight="1">
      <c r="A585" s="7"/>
      <c r="B585" s="7"/>
      <c r="C585" s="7"/>
      <c r="D585" s="7"/>
      <c r="E585" s="7"/>
      <c r="F585" s="7"/>
      <c r="G585" s="7"/>
      <c r="H585" s="7"/>
      <c r="I585" s="7"/>
      <c r="J585" s="7"/>
      <c r="K585" s="7"/>
      <c r="L585" s="7"/>
      <c r="M585" s="7"/>
      <c r="N585" s="7"/>
      <c r="O585" s="7"/>
      <c r="P585" s="7"/>
      <c r="Q585" s="7"/>
      <c r="R585" s="7"/>
      <c r="S585" s="7"/>
      <c r="T585" s="7"/>
      <c r="U585" s="7"/>
      <c r="V585" s="7"/>
      <c r="W585" s="7"/>
      <c r="X585" s="7"/>
      <c r="Y585" s="7"/>
      <c r="Z585" s="7"/>
    </row>
    <row r="586" ht="13.5" customHeight="1">
      <c r="A586" s="7"/>
      <c r="B586" s="7"/>
      <c r="C586" s="7"/>
      <c r="D586" s="7"/>
      <c r="E586" s="7"/>
      <c r="F586" s="7"/>
      <c r="G586" s="7"/>
      <c r="H586" s="7"/>
      <c r="I586" s="7"/>
      <c r="J586" s="7"/>
      <c r="K586" s="7"/>
      <c r="L586" s="7"/>
      <c r="M586" s="7"/>
      <c r="N586" s="7"/>
      <c r="O586" s="7"/>
      <c r="P586" s="7"/>
      <c r="Q586" s="7"/>
      <c r="R586" s="7"/>
      <c r="S586" s="7"/>
      <c r="T586" s="7"/>
      <c r="U586" s="7"/>
      <c r="V586" s="7"/>
      <c r="W586" s="7"/>
      <c r="X586" s="7"/>
      <c r="Y586" s="7"/>
      <c r="Z586" s="7"/>
    </row>
    <row r="587" ht="13.5" customHeight="1">
      <c r="A587" s="7"/>
      <c r="B587" s="7"/>
      <c r="C587" s="7"/>
      <c r="D587" s="7"/>
      <c r="E587" s="7"/>
      <c r="F587" s="7"/>
      <c r="G587" s="7"/>
      <c r="H587" s="7"/>
      <c r="I587" s="7"/>
      <c r="J587" s="7"/>
      <c r="K587" s="7"/>
      <c r="L587" s="7"/>
      <c r="M587" s="7"/>
      <c r="N587" s="7"/>
      <c r="O587" s="7"/>
      <c r="P587" s="7"/>
      <c r="Q587" s="7"/>
      <c r="R587" s="7"/>
      <c r="S587" s="7"/>
      <c r="T587" s="7"/>
      <c r="U587" s="7"/>
      <c r="V587" s="7"/>
      <c r="W587" s="7"/>
      <c r="X587" s="7"/>
      <c r="Y587" s="7"/>
      <c r="Z587" s="7"/>
    </row>
    <row r="588" ht="13.5" customHeight="1">
      <c r="A588" s="7"/>
      <c r="B588" s="7"/>
      <c r="C588" s="7"/>
      <c r="D588" s="7"/>
      <c r="E588" s="7"/>
      <c r="F588" s="7"/>
      <c r="G588" s="7"/>
      <c r="H588" s="7"/>
      <c r="I588" s="7"/>
      <c r="J588" s="7"/>
      <c r="K588" s="7"/>
      <c r="L588" s="7"/>
      <c r="M588" s="7"/>
      <c r="N588" s="7"/>
      <c r="O588" s="7"/>
      <c r="P588" s="7"/>
      <c r="Q588" s="7"/>
      <c r="R588" s="7"/>
      <c r="S588" s="7"/>
      <c r="T588" s="7"/>
      <c r="U588" s="7"/>
      <c r="V588" s="7"/>
      <c r="W588" s="7"/>
      <c r="X588" s="7"/>
      <c r="Y588" s="7"/>
      <c r="Z588" s="7"/>
    </row>
    <row r="589" ht="13.5" customHeight="1">
      <c r="A589" s="7"/>
      <c r="B589" s="7"/>
      <c r="C589" s="7"/>
      <c r="D589" s="7"/>
      <c r="E589" s="7"/>
      <c r="F589" s="7"/>
      <c r="G589" s="7"/>
      <c r="H589" s="7"/>
      <c r="I589" s="7"/>
      <c r="J589" s="7"/>
      <c r="K589" s="7"/>
      <c r="L589" s="7"/>
      <c r="M589" s="7"/>
      <c r="N589" s="7"/>
      <c r="O589" s="7"/>
      <c r="P589" s="7"/>
      <c r="Q589" s="7"/>
      <c r="R589" s="7"/>
      <c r="S589" s="7"/>
      <c r="T589" s="7"/>
      <c r="U589" s="7"/>
      <c r="V589" s="7"/>
      <c r="W589" s="7"/>
      <c r="X589" s="7"/>
      <c r="Y589" s="7"/>
      <c r="Z589" s="7"/>
    </row>
    <row r="590" ht="13.5" customHeight="1">
      <c r="A590" s="7"/>
      <c r="B590" s="7"/>
      <c r="C590" s="7"/>
      <c r="D590" s="7"/>
      <c r="E590" s="7"/>
      <c r="F590" s="7"/>
      <c r="G590" s="7"/>
      <c r="H590" s="7"/>
      <c r="I590" s="7"/>
      <c r="J590" s="7"/>
      <c r="K590" s="7"/>
      <c r="L590" s="7"/>
      <c r="M590" s="7"/>
      <c r="N590" s="7"/>
      <c r="O590" s="7"/>
      <c r="P590" s="7"/>
      <c r="Q590" s="7"/>
      <c r="R590" s="7"/>
      <c r="S590" s="7"/>
      <c r="T590" s="7"/>
      <c r="U590" s="7"/>
      <c r="V590" s="7"/>
      <c r="W590" s="7"/>
      <c r="X590" s="7"/>
      <c r="Y590" s="7"/>
      <c r="Z590" s="7"/>
    </row>
    <row r="591" ht="13.5" customHeight="1">
      <c r="A591" s="7"/>
      <c r="B591" s="7"/>
      <c r="C591" s="7"/>
      <c r="D591" s="7"/>
      <c r="E591" s="7"/>
      <c r="F591" s="7"/>
      <c r="G591" s="7"/>
      <c r="H591" s="7"/>
      <c r="I591" s="7"/>
      <c r="J591" s="7"/>
      <c r="K591" s="7"/>
      <c r="L591" s="7"/>
      <c r="M591" s="7"/>
      <c r="N591" s="7"/>
      <c r="O591" s="7"/>
      <c r="P591" s="7"/>
      <c r="Q591" s="7"/>
      <c r="R591" s="7"/>
      <c r="S591" s="7"/>
      <c r="T591" s="7"/>
      <c r="U591" s="7"/>
      <c r="V591" s="7"/>
      <c r="W591" s="7"/>
      <c r="X591" s="7"/>
      <c r="Y591" s="7"/>
      <c r="Z591" s="7"/>
    </row>
    <row r="592" ht="13.5" customHeight="1">
      <c r="A592" s="7"/>
      <c r="B592" s="7"/>
      <c r="C592" s="7"/>
      <c r="D592" s="7"/>
      <c r="E592" s="7"/>
      <c r="F592" s="7"/>
      <c r="G592" s="7"/>
      <c r="H592" s="7"/>
      <c r="I592" s="7"/>
      <c r="J592" s="7"/>
      <c r="K592" s="7"/>
      <c r="L592" s="7"/>
      <c r="M592" s="7"/>
      <c r="N592" s="7"/>
      <c r="O592" s="7"/>
      <c r="P592" s="7"/>
      <c r="Q592" s="7"/>
      <c r="R592" s="7"/>
      <c r="S592" s="7"/>
      <c r="T592" s="7"/>
      <c r="U592" s="7"/>
      <c r="V592" s="7"/>
      <c r="W592" s="7"/>
      <c r="X592" s="7"/>
      <c r="Y592" s="7"/>
      <c r="Z592" s="7"/>
    </row>
    <row r="593" ht="13.5" customHeight="1">
      <c r="A593" s="7"/>
      <c r="B593" s="7"/>
      <c r="C593" s="7"/>
      <c r="D593" s="7"/>
      <c r="E593" s="7"/>
      <c r="F593" s="7"/>
      <c r="G593" s="7"/>
      <c r="H593" s="7"/>
      <c r="I593" s="7"/>
      <c r="J593" s="7"/>
      <c r="K593" s="7"/>
      <c r="L593" s="7"/>
      <c r="M593" s="7"/>
      <c r="N593" s="7"/>
      <c r="O593" s="7"/>
      <c r="P593" s="7"/>
      <c r="Q593" s="7"/>
      <c r="R593" s="7"/>
      <c r="S593" s="7"/>
      <c r="T593" s="7"/>
      <c r="U593" s="7"/>
      <c r="V593" s="7"/>
      <c r="W593" s="7"/>
      <c r="X593" s="7"/>
      <c r="Y593" s="7"/>
      <c r="Z593" s="7"/>
    </row>
    <row r="594" ht="13.5" customHeight="1">
      <c r="A594" s="7"/>
      <c r="B594" s="7"/>
      <c r="C594" s="7"/>
      <c r="D594" s="7"/>
      <c r="E594" s="7"/>
      <c r="F594" s="7"/>
      <c r="G594" s="7"/>
      <c r="H594" s="7"/>
      <c r="I594" s="7"/>
      <c r="J594" s="7"/>
      <c r="K594" s="7"/>
      <c r="L594" s="7"/>
      <c r="M594" s="7"/>
      <c r="N594" s="7"/>
      <c r="O594" s="7"/>
      <c r="P594" s="7"/>
      <c r="Q594" s="7"/>
      <c r="R594" s="7"/>
      <c r="S594" s="7"/>
      <c r="T594" s="7"/>
      <c r="U594" s="7"/>
      <c r="V594" s="7"/>
      <c r="W594" s="7"/>
      <c r="X594" s="7"/>
      <c r="Y594" s="7"/>
      <c r="Z594" s="7"/>
    </row>
    <row r="595" ht="13.5" customHeight="1">
      <c r="A595" s="7"/>
      <c r="B595" s="7"/>
      <c r="C595" s="7"/>
      <c r="D595" s="7"/>
      <c r="E595" s="7"/>
      <c r="F595" s="7"/>
      <c r="G595" s="7"/>
      <c r="H595" s="7"/>
      <c r="I595" s="7"/>
      <c r="J595" s="7"/>
      <c r="K595" s="7"/>
      <c r="L595" s="7"/>
      <c r="M595" s="7"/>
      <c r="N595" s="7"/>
      <c r="O595" s="7"/>
      <c r="P595" s="7"/>
      <c r="Q595" s="7"/>
      <c r="R595" s="7"/>
      <c r="S595" s="7"/>
      <c r="T595" s="7"/>
      <c r="U595" s="7"/>
      <c r="V595" s="7"/>
      <c r="W595" s="7"/>
      <c r="X595" s="7"/>
      <c r="Y595" s="7"/>
      <c r="Z595" s="7"/>
    </row>
    <row r="596" ht="13.5" customHeight="1">
      <c r="A596" s="7"/>
      <c r="B596" s="7"/>
      <c r="C596" s="7"/>
      <c r="D596" s="7"/>
      <c r="E596" s="7"/>
      <c r="F596" s="7"/>
      <c r="G596" s="7"/>
      <c r="H596" s="7"/>
      <c r="I596" s="7"/>
      <c r="J596" s="7"/>
      <c r="K596" s="7"/>
      <c r="L596" s="7"/>
      <c r="M596" s="7"/>
      <c r="N596" s="7"/>
      <c r="O596" s="7"/>
      <c r="P596" s="7"/>
      <c r="Q596" s="7"/>
      <c r="R596" s="7"/>
      <c r="S596" s="7"/>
      <c r="T596" s="7"/>
      <c r="U596" s="7"/>
      <c r="V596" s="7"/>
      <c r="W596" s="7"/>
      <c r="X596" s="7"/>
      <c r="Y596" s="7"/>
      <c r="Z596" s="7"/>
    </row>
    <row r="597" ht="13.5" customHeight="1">
      <c r="A597" s="7"/>
      <c r="B597" s="7"/>
      <c r="C597" s="7"/>
      <c r="D597" s="7"/>
      <c r="E597" s="7"/>
      <c r="F597" s="7"/>
      <c r="G597" s="7"/>
      <c r="H597" s="7"/>
      <c r="I597" s="7"/>
      <c r="J597" s="7"/>
      <c r="K597" s="7"/>
      <c r="L597" s="7"/>
      <c r="M597" s="7"/>
      <c r="N597" s="7"/>
      <c r="O597" s="7"/>
      <c r="P597" s="7"/>
      <c r="Q597" s="7"/>
      <c r="R597" s="7"/>
      <c r="S597" s="7"/>
      <c r="T597" s="7"/>
      <c r="U597" s="7"/>
      <c r="V597" s="7"/>
      <c r="W597" s="7"/>
      <c r="X597" s="7"/>
      <c r="Y597" s="7"/>
      <c r="Z597" s="7"/>
    </row>
    <row r="598" ht="13.5" customHeight="1">
      <c r="A598" s="7"/>
      <c r="B598" s="7"/>
      <c r="C598" s="7"/>
      <c r="D598" s="7"/>
      <c r="E598" s="7"/>
      <c r="F598" s="7"/>
      <c r="G598" s="7"/>
      <c r="H598" s="7"/>
      <c r="I598" s="7"/>
      <c r="J598" s="7"/>
      <c r="K598" s="7"/>
      <c r="L598" s="7"/>
      <c r="M598" s="7"/>
      <c r="N598" s="7"/>
      <c r="O598" s="7"/>
      <c r="P598" s="7"/>
      <c r="Q598" s="7"/>
      <c r="R598" s="7"/>
      <c r="S598" s="7"/>
      <c r="T598" s="7"/>
      <c r="U598" s="7"/>
      <c r="V598" s="7"/>
      <c r="W598" s="7"/>
      <c r="X598" s="7"/>
      <c r="Y598" s="7"/>
      <c r="Z598" s="7"/>
    </row>
    <row r="599" ht="13.5" customHeight="1">
      <c r="A599" s="7"/>
      <c r="B599" s="7"/>
      <c r="C599" s="7"/>
      <c r="D599" s="7"/>
      <c r="E599" s="7"/>
      <c r="F599" s="7"/>
      <c r="G599" s="7"/>
      <c r="H599" s="7"/>
      <c r="I599" s="7"/>
      <c r="J599" s="7"/>
      <c r="K599" s="7"/>
      <c r="L599" s="7"/>
      <c r="M599" s="7"/>
      <c r="N599" s="7"/>
      <c r="O599" s="7"/>
      <c r="P599" s="7"/>
      <c r="Q599" s="7"/>
      <c r="R599" s="7"/>
      <c r="S599" s="7"/>
      <c r="T599" s="7"/>
      <c r="U599" s="7"/>
      <c r="V599" s="7"/>
      <c r="W599" s="7"/>
      <c r="X599" s="7"/>
      <c r="Y599" s="7"/>
      <c r="Z599" s="7"/>
    </row>
    <row r="600" ht="13.5" customHeight="1">
      <c r="A600" s="7"/>
      <c r="B600" s="7"/>
      <c r="C600" s="7"/>
      <c r="D600" s="7"/>
      <c r="E600" s="7"/>
      <c r="F600" s="7"/>
      <c r="G600" s="7"/>
      <c r="H600" s="7"/>
      <c r="I600" s="7"/>
      <c r="J600" s="7"/>
      <c r="K600" s="7"/>
      <c r="L600" s="7"/>
      <c r="M600" s="7"/>
      <c r="N600" s="7"/>
      <c r="O600" s="7"/>
      <c r="P600" s="7"/>
      <c r="Q600" s="7"/>
      <c r="R600" s="7"/>
      <c r="S600" s="7"/>
      <c r="T600" s="7"/>
      <c r="U600" s="7"/>
      <c r="V600" s="7"/>
      <c r="W600" s="7"/>
      <c r="X600" s="7"/>
      <c r="Y600" s="7"/>
      <c r="Z600" s="7"/>
    </row>
    <row r="601" ht="13.5" customHeight="1">
      <c r="A601" s="7"/>
      <c r="B601" s="7"/>
      <c r="C601" s="7"/>
      <c r="D601" s="7"/>
      <c r="E601" s="7"/>
      <c r="F601" s="7"/>
      <c r="G601" s="7"/>
      <c r="H601" s="7"/>
      <c r="I601" s="7"/>
      <c r="J601" s="7"/>
      <c r="K601" s="7"/>
      <c r="L601" s="7"/>
      <c r="M601" s="7"/>
      <c r="N601" s="7"/>
      <c r="O601" s="7"/>
      <c r="P601" s="7"/>
      <c r="Q601" s="7"/>
      <c r="R601" s="7"/>
      <c r="S601" s="7"/>
      <c r="T601" s="7"/>
      <c r="U601" s="7"/>
      <c r="V601" s="7"/>
      <c r="W601" s="7"/>
      <c r="X601" s="7"/>
      <c r="Y601" s="7"/>
      <c r="Z601" s="7"/>
    </row>
    <row r="602" ht="13.5" customHeight="1">
      <c r="A602" s="7"/>
      <c r="B602" s="7"/>
      <c r="C602" s="7"/>
      <c r="D602" s="7"/>
      <c r="E602" s="7"/>
      <c r="F602" s="7"/>
      <c r="G602" s="7"/>
      <c r="H602" s="7"/>
      <c r="I602" s="7"/>
      <c r="J602" s="7"/>
      <c r="K602" s="7"/>
      <c r="L602" s="7"/>
      <c r="M602" s="7"/>
      <c r="N602" s="7"/>
      <c r="O602" s="7"/>
      <c r="P602" s="7"/>
      <c r="Q602" s="7"/>
      <c r="R602" s="7"/>
      <c r="S602" s="7"/>
      <c r="T602" s="7"/>
      <c r="U602" s="7"/>
      <c r="V602" s="7"/>
      <c r="W602" s="7"/>
      <c r="X602" s="7"/>
      <c r="Y602" s="7"/>
      <c r="Z602" s="7"/>
    </row>
    <row r="603" ht="13.5" customHeight="1">
      <c r="A603" s="7"/>
      <c r="B603" s="7"/>
      <c r="C603" s="7"/>
      <c r="D603" s="7"/>
      <c r="E603" s="7"/>
      <c r="F603" s="7"/>
      <c r="G603" s="7"/>
      <c r="H603" s="7"/>
      <c r="I603" s="7"/>
      <c r="J603" s="7"/>
      <c r="K603" s="7"/>
      <c r="L603" s="7"/>
      <c r="M603" s="7"/>
      <c r="N603" s="7"/>
      <c r="O603" s="7"/>
      <c r="P603" s="7"/>
      <c r="Q603" s="7"/>
      <c r="R603" s="7"/>
      <c r="S603" s="7"/>
      <c r="T603" s="7"/>
      <c r="U603" s="7"/>
      <c r="V603" s="7"/>
      <c r="W603" s="7"/>
      <c r="X603" s="7"/>
      <c r="Y603" s="7"/>
      <c r="Z603" s="7"/>
    </row>
    <row r="604" ht="13.5" customHeight="1">
      <c r="A604" s="7"/>
      <c r="B604" s="7"/>
      <c r="C604" s="7"/>
      <c r="D604" s="7"/>
      <c r="E604" s="7"/>
      <c r="F604" s="7"/>
      <c r="G604" s="7"/>
      <c r="H604" s="7"/>
      <c r="I604" s="7"/>
      <c r="J604" s="7"/>
      <c r="K604" s="7"/>
      <c r="L604" s="7"/>
      <c r="M604" s="7"/>
      <c r="N604" s="7"/>
      <c r="O604" s="7"/>
      <c r="P604" s="7"/>
      <c r="Q604" s="7"/>
      <c r="R604" s="7"/>
      <c r="S604" s="7"/>
      <c r="T604" s="7"/>
      <c r="U604" s="7"/>
      <c r="V604" s="7"/>
      <c r="W604" s="7"/>
      <c r="X604" s="7"/>
      <c r="Y604" s="7"/>
      <c r="Z604" s="7"/>
    </row>
    <row r="605" ht="13.5" customHeight="1">
      <c r="A605" s="7"/>
      <c r="B605" s="7"/>
      <c r="C605" s="7"/>
      <c r="D605" s="7"/>
      <c r="E605" s="7"/>
      <c r="F605" s="7"/>
      <c r="G605" s="7"/>
      <c r="H605" s="7"/>
      <c r="I605" s="7"/>
      <c r="J605" s="7"/>
      <c r="K605" s="7"/>
      <c r="L605" s="7"/>
      <c r="M605" s="7"/>
      <c r="N605" s="7"/>
      <c r="O605" s="7"/>
      <c r="P605" s="7"/>
      <c r="Q605" s="7"/>
      <c r="R605" s="7"/>
      <c r="S605" s="7"/>
      <c r="T605" s="7"/>
      <c r="U605" s="7"/>
      <c r="V605" s="7"/>
      <c r="W605" s="7"/>
      <c r="X605" s="7"/>
      <c r="Y605" s="7"/>
      <c r="Z605" s="7"/>
    </row>
    <row r="606" ht="13.5" customHeight="1">
      <c r="A606" s="7"/>
      <c r="B606" s="7"/>
      <c r="C606" s="7"/>
      <c r="D606" s="7"/>
      <c r="E606" s="7"/>
      <c r="F606" s="7"/>
      <c r="G606" s="7"/>
      <c r="H606" s="7"/>
      <c r="I606" s="7"/>
      <c r="J606" s="7"/>
      <c r="K606" s="7"/>
      <c r="L606" s="7"/>
      <c r="M606" s="7"/>
      <c r="N606" s="7"/>
      <c r="O606" s="7"/>
      <c r="P606" s="7"/>
      <c r="Q606" s="7"/>
      <c r="R606" s="7"/>
      <c r="S606" s="7"/>
      <c r="T606" s="7"/>
      <c r="U606" s="7"/>
      <c r="V606" s="7"/>
      <c r="W606" s="7"/>
      <c r="X606" s="7"/>
      <c r="Y606" s="7"/>
      <c r="Z606" s="7"/>
    </row>
    <row r="607" ht="13.5" customHeight="1">
      <c r="A607" s="7"/>
      <c r="B607" s="7"/>
      <c r="C607" s="7"/>
      <c r="D607" s="7"/>
      <c r="E607" s="7"/>
      <c r="F607" s="7"/>
      <c r="G607" s="7"/>
      <c r="H607" s="7"/>
      <c r="I607" s="7"/>
      <c r="J607" s="7"/>
      <c r="K607" s="7"/>
      <c r="L607" s="7"/>
      <c r="M607" s="7"/>
      <c r="N607" s="7"/>
      <c r="O607" s="7"/>
      <c r="P607" s="7"/>
      <c r="Q607" s="7"/>
      <c r="R607" s="7"/>
      <c r="S607" s="7"/>
      <c r="T607" s="7"/>
      <c r="U607" s="7"/>
      <c r="V607" s="7"/>
      <c r="W607" s="7"/>
      <c r="X607" s="7"/>
      <c r="Y607" s="7"/>
      <c r="Z607" s="7"/>
    </row>
    <row r="608" ht="13.5" customHeight="1">
      <c r="A608" s="7"/>
      <c r="B608" s="7"/>
      <c r="C608" s="7"/>
      <c r="D608" s="7"/>
      <c r="E608" s="7"/>
      <c r="F608" s="7"/>
      <c r="G608" s="7"/>
      <c r="H608" s="7"/>
      <c r="I608" s="7"/>
      <c r="J608" s="7"/>
      <c r="K608" s="7"/>
      <c r="L608" s="7"/>
      <c r="M608" s="7"/>
      <c r="N608" s="7"/>
      <c r="O608" s="7"/>
      <c r="P608" s="7"/>
      <c r="Q608" s="7"/>
      <c r="R608" s="7"/>
      <c r="S608" s="7"/>
      <c r="T608" s="7"/>
      <c r="U608" s="7"/>
      <c r="V608" s="7"/>
      <c r="W608" s="7"/>
      <c r="X608" s="7"/>
      <c r="Y608" s="7"/>
      <c r="Z608" s="7"/>
    </row>
    <row r="609" ht="13.5" customHeight="1">
      <c r="A609" s="7"/>
      <c r="B609" s="7"/>
      <c r="C609" s="7"/>
      <c r="D609" s="7"/>
      <c r="E609" s="7"/>
      <c r="F609" s="7"/>
      <c r="G609" s="7"/>
      <c r="H609" s="7"/>
      <c r="I609" s="7"/>
      <c r="J609" s="7"/>
      <c r="K609" s="7"/>
      <c r="L609" s="7"/>
      <c r="M609" s="7"/>
      <c r="N609" s="7"/>
      <c r="O609" s="7"/>
      <c r="P609" s="7"/>
      <c r="Q609" s="7"/>
      <c r="R609" s="7"/>
      <c r="S609" s="7"/>
      <c r="T609" s="7"/>
      <c r="U609" s="7"/>
      <c r="V609" s="7"/>
      <c r="W609" s="7"/>
      <c r="X609" s="7"/>
      <c r="Y609" s="7"/>
      <c r="Z609" s="7"/>
    </row>
    <row r="610" ht="13.5" customHeight="1">
      <c r="A610" s="7"/>
      <c r="B610" s="7"/>
      <c r="C610" s="7"/>
      <c r="D610" s="7"/>
      <c r="E610" s="7"/>
      <c r="F610" s="7"/>
      <c r="G610" s="7"/>
      <c r="H610" s="7"/>
      <c r="I610" s="7"/>
      <c r="J610" s="7"/>
      <c r="K610" s="7"/>
      <c r="L610" s="7"/>
      <c r="M610" s="7"/>
      <c r="N610" s="7"/>
      <c r="O610" s="7"/>
      <c r="P610" s="7"/>
      <c r="Q610" s="7"/>
      <c r="R610" s="7"/>
      <c r="S610" s="7"/>
      <c r="T610" s="7"/>
      <c r="U610" s="7"/>
      <c r="V610" s="7"/>
      <c r="W610" s="7"/>
      <c r="X610" s="7"/>
      <c r="Y610" s="7"/>
      <c r="Z610" s="7"/>
    </row>
    <row r="611" ht="13.5" customHeight="1">
      <c r="A611" s="7"/>
      <c r="B611" s="7"/>
      <c r="C611" s="7"/>
      <c r="D611" s="7"/>
      <c r="E611" s="7"/>
      <c r="F611" s="7"/>
      <c r="G611" s="7"/>
      <c r="H611" s="7"/>
      <c r="I611" s="7"/>
      <c r="J611" s="7"/>
      <c r="K611" s="7"/>
      <c r="L611" s="7"/>
      <c r="M611" s="7"/>
      <c r="N611" s="7"/>
      <c r="O611" s="7"/>
      <c r="P611" s="7"/>
      <c r="Q611" s="7"/>
      <c r="R611" s="7"/>
      <c r="S611" s="7"/>
      <c r="T611" s="7"/>
      <c r="U611" s="7"/>
      <c r="V611" s="7"/>
      <c r="W611" s="7"/>
      <c r="X611" s="7"/>
      <c r="Y611" s="7"/>
      <c r="Z611" s="7"/>
    </row>
    <row r="612" ht="13.5" customHeight="1">
      <c r="A612" s="7"/>
      <c r="B612" s="7"/>
      <c r="C612" s="7"/>
      <c r="D612" s="7"/>
      <c r="E612" s="7"/>
      <c r="F612" s="7"/>
      <c r="G612" s="7"/>
      <c r="H612" s="7"/>
      <c r="I612" s="7"/>
      <c r="J612" s="7"/>
      <c r="K612" s="7"/>
      <c r="L612" s="7"/>
      <c r="M612" s="7"/>
      <c r="N612" s="7"/>
      <c r="O612" s="7"/>
      <c r="P612" s="7"/>
      <c r="Q612" s="7"/>
      <c r="R612" s="7"/>
      <c r="S612" s="7"/>
      <c r="T612" s="7"/>
      <c r="U612" s="7"/>
      <c r="V612" s="7"/>
      <c r="W612" s="7"/>
      <c r="X612" s="7"/>
      <c r="Y612" s="7"/>
      <c r="Z612" s="7"/>
    </row>
    <row r="613" ht="13.5" customHeight="1">
      <c r="A613" s="7"/>
      <c r="B613" s="7"/>
      <c r="C613" s="7"/>
      <c r="D613" s="7"/>
      <c r="E613" s="7"/>
      <c r="F613" s="7"/>
      <c r="G613" s="7"/>
      <c r="H613" s="7"/>
      <c r="I613" s="7"/>
      <c r="J613" s="7"/>
      <c r="K613" s="7"/>
      <c r="L613" s="7"/>
      <c r="M613" s="7"/>
      <c r="N613" s="7"/>
      <c r="O613" s="7"/>
      <c r="P613" s="7"/>
      <c r="Q613" s="7"/>
      <c r="R613" s="7"/>
      <c r="S613" s="7"/>
      <c r="T613" s="7"/>
      <c r="U613" s="7"/>
      <c r="V613" s="7"/>
      <c r="W613" s="7"/>
      <c r="X613" s="7"/>
      <c r="Y613" s="7"/>
      <c r="Z613" s="7"/>
    </row>
    <row r="614" ht="13.5" customHeight="1">
      <c r="A614" s="7"/>
      <c r="B614" s="7"/>
      <c r="C614" s="7"/>
      <c r="D614" s="7"/>
      <c r="E614" s="7"/>
      <c r="F614" s="7"/>
      <c r="G614" s="7"/>
      <c r="H614" s="7"/>
      <c r="I614" s="7"/>
      <c r="J614" s="7"/>
      <c r="K614" s="7"/>
      <c r="L614" s="7"/>
      <c r="M614" s="7"/>
      <c r="N614" s="7"/>
      <c r="O614" s="7"/>
      <c r="P614" s="7"/>
      <c r="Q614" s="7"/>
      <c r="R614" s="7"/>
      <c r="S614" s="7"/>
      <c r="T614" s="7"/>
      <c r="U614" s="7"/>
      <c r="V614" s="7"/>
      <c r="W614" s="7"/>
      <c r="X614" s="7"/>
      <c r="Y614" s="7"/>
      <c r="Z614" s="7"/>
    </row>
    <row r="615" ht="13.5" customHeight="1">
      <c r="A615" s="7"/>
      <c r="B615" s="7"/>
      <c r="C615" s="7"/>
      <c r="D615" s="7"/>
      <c r="E615" s="7"/>
      <c r="F615" s="7"/>
      <c r="G615" s="7"/>
      <c r="H615" s="7"/>
      <c r="I615" s="7"/>
      <c r="J615" s="7"/>
      <c r="K615" s="7"/>
      <c r="L615" s="7"/>
      <c r="M615" s="7"/>
      <c r="N615" s="7"/>
      <c r="O615" s="7"/>
      <c r="P615" s="7"/>
      <c r="Q615" s="7"/>
      <c r="R615" s="7"/>
      <c r="S615" s="7"/>
      <c r="T615" s="7"/>
      <c r="U615" s="7"/>
      <c r="V615" s="7"/>
      <c r="W615" s="7"/>
      <c r="X615" s="7"/>
      <c r="Y615" s="7"/>
      <c r="Z615" s="7"/>
    </row>
    <row r="616" ht="13.5" customHeight="1">
      <c r="A616" s="7"/>
      <c r="B616" s="7"/>
      <c r="C616" s="7"/>
      <c r="D616" s="7"/>
      <c r="E616" s="7"/>
      <c r="F616" s="7"/>
      <c r="G616" s="7"/>
      <c r="H616" s="7"/>
      <c r="I616" s="7"/>
      <c r="J616" s="7"/>
      <c r="K616" s="7"/>
      <c r="L616" s="7"/>
      <c r="M616" s="7"/>
      <c r="N616" s="7"/>
      <c r="O616" s="7"/>
      <c r="P616" s="7"/>
      <c r="Q616" s="7"/>
      <c r="R616" s="7"/>
      <c r="S616" s="7"/>
      <c r="T616" s="7"/>
      <c r="U616" s="7"/>
      <c r="V616" s="7"/>
      <c r="W616" s="7"/>
      <c r="X616" s="7"/>
      <c r="Y616" s="7"/>
      <c r="Z616" s="7"/>
    </row>
    <row r="617" ht="13.5" customHeight="1">
      <c r="A617" s="7"/>
      <c r="B617" s="7"/>
      <c r="C617" s="7"/>
      <c r="D617" s="7"/>
      <c r="E617" s="7"/>
      <c r="F617" s="7"/>
      <c r="G617" s="7"/>
      <c r="H617" s="7"/>
      <c r="I617" s="7"/>
      <c r="J617" s="7"/>
      <c r="K617" s="7"/>
      <c r="L617" s="7"/>
      <c r="M617" s="7"/>
      <c r="N617" s="7"/>
      <c r="O617" s="7"/>
      <c r="P617" s="7"/>
      <c r="Q617" s="7"/>
      <c r="R617" s="7"/>
      <c r="S617" s="7"/>
      <c r="T617" s="7"/>
      <c r="U617" s="7"/>
      <c r="V617" s="7"/>
      <c r="W617" s="7"/>
      <c r="X617" s="7"/>
      <c r="Y617" s="7"/>
      <c r="Z617" s="7"/>
    </row>
    <row r="618" ht="13.5" customHeight="1">
      <c r="A618" s="7"/>
      <c r="B618" s="7"/>
      <c r="C618" s="7"/>
      <c r="D618" s="7"/>
      <c r="E618" s="7"/>
      <c r="F618" s="7"/>
      <c r="G618" s="7"/>
      <c r="H618" s="7"/>
      <c r="I618" s="7"/>
      <c r="J618" s="7"/>
      <c r="K618" s="7"/>
      <c r="L618" s="7"/>
      <c r="M618" s="7"/>
      <c r="N618" s="7"/>
      <c r="O618" s="7"/>
      <c r="P618" s="7"/>
      <c r="Q618" s="7"/>
      <c r="R618" s="7"/>
      <c r="S618" s="7"/>
      <c r="T618" s="7"/>
      <c r="U618" s="7"/>
      <c r="V618" s="7"/>
      <c r="W618" s="7"/>
      <c r="X618" s="7"/>
      <c r="Y618" s="7"/>
      <c r="Z618" s="7"/>
    </row>
    <row r="619" ht="13.5" customHeight="1">
      <c r="A619" s="7"/>
      <c r="B619" s="7"/>
      <c r="C619" s="7"/>
      <c r="D619" s="7"/>
      <c r="E619" s="7"/>
      <c r="F619" s="7"/>
      <c r="G619" s="7"/>
      <c r="H619" s="7"/>
      <c r="I619" s="7"/>
      <c r="J619" s="7"/>
      <c r="K619" s="7"/>
      <c r="L619" s="7"/>
      <c r="M619" s="7"/>
      <c r="N619" s="7"/>
      <c r="O619" s="7"/>
      <c r="P619" s="7"/>
      <c r="Q619" s="7"/>
      <c r="R619" s="7"/>
      <c r="S619" s="7"/>
      <c r="T619" s="7"/>
      <c r="U619" s="7"/>
      <c r="V619" s="7"/>
      <c r="W619" s="7"/>
      <c r="X619" s="7"/>
      <c r="Y619" s="7"/>
      <c r="Z619" s="7"/>
    </row>
    <row r="620" ht="13.5" customHeight="1">
      <c r="A620" s="7"/>
      <c r="B620" s="7"/>
      <c r="C620" s="7"/>
      <c r="D620" s="7"/>
      <c r="E620" s="7"/>
      <c r="F620" s="7"/>
      <c r="G620" s="7"/>
      <c r="H620" s="7"/>
      <c r="I620" s="7"/>
      <c r="J620" s="7"/>
      <c r="K620" s="7"/>
      <c r="L620" s="7"/>
      <c r="M620" s="7"/>
      <c r="N620" s="7"/>
      <c r="O620" s="7"/>
      <c r="P620" s="7"/>
      <c r="Q620" s="7"/>
      <c r="R620" s="7"/>
      <c r="S620" s="7"/>
      <c r="T620" s="7"/>
      <c r="U620" s="7"/>
      <c r="V620" s="7"/>
      <c r="W620" s="7"/>
      <c r="X620" s="7"/>
      <c r="Y620" s="7"/>
      <c r="Z620" s="7"/>
    </row>
    <row r="621" ht="13.5" customHeight="1">
      <c r="A621" s="7"/>
      <c r="B621" s="7"/>
      <c r="C621" s="7"/>
      <c r="D621" s="7"/>
      <c r="E621" s="7"/>
      <c r="F621" s="7"/>
      <c r="G621" s="7"/>
      <c r="H621" s="7"/>
      <c r="I621" s="7"/>
      <c r="J621" s="7"/>
      <c r="K621" s="7"/>
      <c r="L621" s="7"/>
      <c r="M621" s="7"/>
      <c r="N621" s="7"/>
      <c r="O621" s="7"/>
      <c r="P621" s="7"/>
      <c r="Q621" s="7"/>
      <c r="R621" s="7"/>
      <c r="S621" s="7"/>
      <c r="T621" s="7"/>
      <c r="U621" s="7"/>
      <c r="V621" s="7"/>
      <c r="W621" s="7"/>
      <c r="X621" s="7"/>
      <c r="Y621" s="7"/>
      <c r="Z621" s="7"/>
    </row>
    <row r="622" ht="13.5" customHeight="1">
      <c r="A622" s="7"/>
      <c r="B622" s="7"/>
      <c r="C622" s="7"/>
      <c r="D622" s="7"/>
      <c r="E622" s="7"/>
      <c r="F622" s="7"/>
      <c r="G622" s="7"/>
      <c r="H622" s="7"/>
      <c r="I622" s="7"/>
      <c r="J622" s="7"/>
      <c r="K622" s="7"/>
      <c r="L622" s="7"/>
      <c r="M622" s="7"/>
      <c r="N622" s="7"/>
      <c r="O622" s="7"/>
      <c r="P622" s="7"/>
      <c r="Q622" s="7"/>
      <c r="R622" s="7"/>
      <c r="S622" s="7"/>
      <c r="T622" s="7"/>
      <c r="U622" s="7"/>
      <c r="V622" s="7"/>
      <c r="W622" s="7"/>
      <c r="X622" s="7"/>
      <c r="Y622" s="7"/>
      <c r="Z622" s="7"/>
    </row>
    <row r="623" ht="13.5" customHeight="1">
      <c r="A623" s="7"/>
      <c r="B623" s="7"/>
      <c r="C623" s="7"/>
      <c r="D623" s="7"/>
      <c r="E623" s="7"/>
      <c r="F623" s="7"/>
      <c r="G623" s="7"/>
      <c r="H623" s="7"/>
      <c r="I623" s="7"/>
      <c r="J623" s="7"/>
      <c r="K623" s="7"/>
      <c r="L623" s="7"/>
      <c r="M623" s="7"/>
      <c r="N623" s="7"/>
      <c r="O623" s="7"/>
      <c r="P623" s="7"/>
      <c r="Q623" s="7"/>
      <c r="R623" s="7"/>
      <c r="S623" s="7"/>
      <c r="T623" s="7"/>
      <c r="U623" s="7"/>
      <c r="V623" s="7"/>
      <c r="W623" s="7"/>
      <c r="X623" s="7"/>
      <c r="Y623" s="7"/>
      <c r="Z623" s="7"/>
    </row>
    <row r="624" ht="13.5" customHeight="1">
      <c r="A624" s="7"/>
      <c r="B624" s="7"/>
      <c r="C624" s="7"/>
      <c r="D624" s="7"/>
      <c r="E624" s="7"/>
      <c r="F624" s="7"/>
      <c r="G624" s="7"/>
      <c r="H624" s="7"/>
      <c r="I624" s="7"/>
      <c r="J624" s="7"/>
      <c r="K624" s="7"/>
      <c r="L624" s="7"/>
      <c r="M624" s="7"/>
      <c r="N624" s="7"/>
      <c r="O624" s="7"/>
      <c r="P624" s="7"/>
      <c r="Q624" s="7"/>
      <c r="R624" s="7"/>
      <c r="S624" s="7"/>
      <c r="T624" s="7"/>
      <c r="U624" s="7"/>
      <c r="V624" s="7"/>
      <c r="W624" s="7"/>
      <c r="X624" s="7"/>
      <c r="Y624" s="7"/>
      <c r="Z624" s="7"/>
    </row>
    <row r="625" ht="13.5" customHeight="1">
      <c r="A625" s="7"/>
      <c r="B625" s="7"/>
      <c r="C625" s="7"/>
      <c r="D625" s="7"/>
      <c r="E625" s="7"/>
      <c r="F625" s="7"/>
      <c r="G625" s="7"/>
      <c r="H625" s="7"/>
      <c r="I625" s="7"/>
      <c r="J625" s="7"/>
      <c r="K625" s="7"/>
      <c r="L625" s="7"/>
      <c r="M625" s="7"/>
      <c r="N625" s="7"/>
      <c r="O625" s="7"/>
      <c r="P625" s="7"/>
      <c r="Q625" s="7"/>
      <c r="R625" s="7"/>
      <c r="S625" s="7"/>
      <c r="T625" s="7"/>
      <c r="U625" s="7"/>
      <c r="V625" s="7"/>
      <c r="W625" s="7"/>
      <c r="X625" s="7"/>
      <c r="Y625" s="7"/>
      <c r="Z625" s="7"/>
    </row>
    <row r="626" ht="13.5" customHeight="1">
      <c r="A626" s="7"/>
      <c r="B626" s="7"/>
      <c r="C626" s="7"/>
      <c r="D626" s="7"/>
      <c r="E626" s="7"/>
      <c r="F626" s="7"/>
      <c r="G626" s="7"/>
      <c r="H626" s="7"/>
      <c r="I626" s="7"/>
      <c r="J626" s="7"/>
      <c r="K626" s="7"/>
      <c r="L626" s="7"/>
      <c r="M626" s="7"/>
      <c r="N626" s="7"/>
      <c r="O626" s="7"/>
      <c r="P626" s="7"/>
      <c r="Q626" s="7"/>
      <c r="R626" s="7"/>
      <c r="S626" s="7"/>
      <c r="T626" s="7"/>
      <c r="U626" s="7"/>
      <c r="V626" s="7"/>
      <c r="W626" s="7"/>
      <c r="X626" s="7"/>
      <c r="Y626" s="7"/>
      <c r="Z626" s="7"/>
    </row>
    <row r="627" ht="13.5" customHeight="1">
      <c r="A627" s="7"/>
      <c r="B627" s="7"/>
      <c r="C627" s="7"/>
      <c r="D627" s="7"/>
      <c r="E627" s="7"/>
      <c r="F627" s="7"/>
      <c r="G627" s="7"/>
      <c r="H627" s="7"/>
      <c r="I627" s="7"/>
      <c r="J627" s="7"/>
      <c r="K627" s="7"/>
      <c r="L627" s="7"/>
      <c r="M627" s="7"/>
      <c r="N627" s="7"/>
      <c r="O627" s="7"/>
      <c r="P627" s="7"/>
      <c r="Q627" s="7"/>
      <c r="R627" s="7"/>
      <c r="S627" s="7"/>
      <c r="T627" s="7"/>
      <c r="U627" s="7"/>
      <c r="V627" s="7"/>
      <c r="W627" s="7"/>
      <c r="X627" s="7"/>
      <c r="Y627" s="7"/>
      <c r="Z627" s="7"/>
    </row>
    <row r="628" ht="13.5" customHeight="1">
      <c r="A628" s="7"/>
      <c r="B628" s="7"/>
      <c r="C628" s="7"/>
      <c r="D628" s="7"/>
      <c r="E628" s="7"/>
      <c r="F628" s="7"/>
      <c r="G628" s="7"/>
      <c r="H628" s="7"/>
      <c r="I628" s="7"/>
      <c r="J628" s="7"/>
      <c r="K628" s="7"/>
      <c r="L628" s="7"/>
      <c r="M628" s="7"/>
      <c r="N628" s="7"/>
      <c r="O628" s="7"/>
      <c r="P628" s="7"/>
      <c r="Q628" s="7"/>
      <c r="R628" s="7"/>
      <c r="S628" s="7"/>
      <c r="T628" s="7"/>
      <c r="U628" s="7"/>
      <c r="V628" s="7"/>
      <c r="W628" s="7"/>
      <c r="X628" s="7"/>
      <c r="Y628" s="7"/>
      <c r="Z628" s="7"/>
    </row>
    <row r="629" ht="13.5" customHeight="1">
      <c r="A629" s="7"/>
      <c r="B629" s="7"/>
      <c r="C629" s="7"/>
      <c r="D629" s="7"/>
      <c r="E629" s="7"/>
      <c r="F629" s="7"/>
      <c r="G629" s="7"/>
      <c r="H629" s="7"/>
      <c r="I629" s="7"/>
      <c r="J629" s="7"/>
      <c r="K629" s="7"/>
      <c r="L629" s="7"/>
      <c r="M629" s="7"/>
      <c r="N629" s="7"/>
      <c r="O629" s="7"/>
      <c r="P629" s="7"/>
      <c r="Q629" s="7"/>
      <c r="R629" s="7"/>
      <c r="S629" s="7"/>
      <c r="T629" s="7"/>
      <c r="U629" s="7"/>
      <c r="V629" s="7"/>
      <c r="W629" s="7"/>
      <c r="X629" s="7"/>
      <c r="Y629" s="7"/>
      <c r="Z629" s="7"/>
    </row>
    <row r="630" ht="13.5" customHeight="1">
      <c r="A630" s="7"/>
      <c r="B630" s="7"/>
      <c r="C630" s="7"/>
      <c r="D630" s="7"/>
      <c r="E630" s="7"/>
      <c r="F630" s="7"/>
      <c r="G630" s="7"/>
      <c r="H630" s="7"/>
      <c r="I630" s="7"/>
      <c r="J630" s="7"/>
      <c r="K630" s="7"/>
      <c r="L630" s="7"/>
      <c r="M630" s="7"/>
      <c r="N630" s="7"/>
      <c r="O630" s="7"/>
      <c r="P630" s="7"/>
      <c r="Q630" s="7"/>
      <c r="R630" s="7"/>
      <c r="S630" s="7"/>
      <c r="T630" s="7"/>
      <c r="U630" s="7"/>
      <c r="V630" s="7"/>
      <c r="W630" s="7"/>
      <c r="X630" s="7"/>
      <c r="Y630" s="7"/>
      <c r="Z630" s="7"/>
    </row>
    <row r="631" ht="13.5" customHeight="1">
      <c r="A631" s="7"/>
      <c r="B631" s="7"/>
      <c r="C631" s="7"/>
      <c r="D631" s="7"/>
      <c r="E631" s="7"/>
      <c r="F631" s="7"/>
      <c r="G631" s="7"/>
      <c r="H631" s="7"/>
      <c r="I631" s="7"/>
      <c r="J631" s="7"/>
      <c r="K631" s="7"/>
      <c r="L631" s="7"/>
      <c r="M631" s="7"/>
      <c r="N631" s="7"/>
      <c r="O631" s="7"/>
      <c r="P631" s="7"/>
      <c r="Q631" s="7"/>
      <c r="R631" s="7"/>
      <c r="S631" s="7"/>
      <c r="T631" s="7"/>
      <c r="U631" s="7"/>
      <c r="V631" s="7"/>
      <c r="W631" s="7"/>
      <c r="X631" s="7"/>
      <c r="Y631" s="7"/>
      <c r="Z631" s="7"/>
    </row>
    <row r="632" ht="13.5" customHeight="1">
      <c r="A632" s="7"/>
      <c r="B632" s="7"/>
      <c r="C632" s="7"/>
      <c r="D632" s="7"/>
      <c r="E632" s="7"/>
      <c r="F632" s="7"/>
      <c r="G632" s="7"/>
      <c r="H632" s="7"/>
      <c r="I632" s="7"/>
      <c r="J632" s="7"/>
      <c r="K632" s="7"/>
      <c r="L632" s="7"/>
      <c r="M632" s="7"/>
      <c r="N632" s="7"/>
      <c r="O632" s="7"/>
      <c r="P632" s="7"/>
      <c r="Q632" s="7"/>
      <c r="R632" s="7"/>
      <c r="S632" s="7"/>
      <c r="T632" s="7"/>
      <c r="U632" s="7"/>
      <c r="V632" s="7"/>
      <c r="W632" s="7"/>
      <c r="X632" s="7"/>
      <c r="Y632" s="7"/>
      <c r="Z632" s="7"/>
    </row>
    <row r="633" ht="13.5" customHeight="1">
      <c r="A633" s="7"/>
      <c r="B633" s="7"/>
      <c r="C633" s="7"/>
      <c r="D633" s="7"/>
      <c r="E633" s="7"/>
      <c r="F633" s="7"/>
      <c r="G633" s="7"/>
      <c r="H633" s="7"/>
      <c r="I633" s="7"/>
      <c r="J633" s="7"/>
      <c r="K633" s="7"/>
      <c r="L633" s="7"/>
      <c r="M633" s="7"/>
      <c r="N633" s="7"/>
      <c r="O633" s="7"/>
      <c r="P633" s="7"/>
      <c r="Q633" s="7"/>
      <c r="R633" s="7"/>
      <c r="S633" s="7"/>
      <c r="T633" s="7"/>
      <c r="U633" s="7"/>
      <c r="V633" s="7"/>
      <c r="W633" s="7"/>
      <c r="X633" s="7"/>
      <c r="Y633" s="7"/>
      <c r="Z633" s="7"/>
    </row>
    <row r="634" ht="13.5" customHeight="1">
      <c r="A634" s="7"/>
      <c r="B634" s="7"/>
      <c r="C634" s="7"/>
      <c r="D634" s="7"/>
      <c r="E634" s="7"/>
      <c r="F634" s="7"/>
      <c r="G634" s="7"/>
      <c r="H634" s="7"/>
      <c r="I634" s="7"/>
      <c r="J634" s="7"/>
      <c r="K634" s="7"/>
      <c r="L634" s="7"/>
      <c r="M634" s="7"/>
      <c r="N634" s="7"/>
      <c r="O634" s="7"/>
      <c r="P634" s="7"/>
      <c r="Q634" s="7"/>
      <c r="R634" s="7"/>
      <c r="S634" s="7"/>
      <c r="T634" s="7"/>
      <c r="U634" s="7"/>
      <c r="V634" s="7"/>
      <c r="W634" s="7"/>
      <c r="X634" s="7"/>
      <c r="Y634" s="7"/>
      <c r="Z634" s="7"/>
    </row>
    <row r="635" ht="13.5" customHeight="1">
      <c r="A635" s="7"/>
      <c r="B635" s="7"/>
      <c r="C635" s="7"/>
      <c r="D635" s="7"/>
      <c r="E635" s="7"/>
      <c r="F635" s="7"/>
      <c r="G635" s="7"/>
      <c r="H635" s="7"/>
      <c r="I635" s="7"/>
      <c r="J635" s="7"/>
      <c r="K635" s="7"/>
      <c r="L635" s="7"/>
      <c r="M635" s="7"/>
      <c r="N635" s="7"/>
      <c r="O635" s="7"/>
      <c r="P635" s="7"/>
      <c r="Q635" s="7"/>
      <c r="R635" s="7"/>
      <c r="S635" s="7"/>
      <c r="T635" s="7"/>
      <c r="U635" s="7"/>
      <c r="V635" s="7"/>
      <c r="W635" s="7"/>
      <c r="X635" s="7"/>
      <c r="Y635" s="7"/>
      <c r="Z635" s="7"/>
    </row>
    <row r="636" ht="13.5" customHeight="1">
      <c r="A636" s="7"/>
      <c r="B636" s="7"/>
      <c r="C636" s="7"/>
      <c r="D636" s="7"/>
      <c r="E636" s="7"/>
      <c r="F636" s="7"/>
      <c r="G636" s="7"/>
      <c r="H636" s="7"/>
      <c r="I636" s="7"/>
      <c r="J636" s="7"/>
      <c r="K636" s="7"/>
      <c r="L636" s="7"/>
      <c r="M636" s="7"/>
      <c r="N636" s="7"/>
      <c r="O636" s="7"/>
      <c r="P636" s="7"/>
      <c r="Q636" s="7"/>
      <c r="R636" s="7"/>
      <c r="S636" s="7"/>
      <c r="T636" s="7"/>
      <c r="U636" s="7"/>
      <c r="V636" s="7"/>
      <c r="W636" s="7"/>
      <c r="X636" s="7"/>
      <c r="Y636" s="7"/>
      <c r="Z636" s="7"/>
    </row>
    <row r="637" ht="13.5" customHeight="1">
      <c r="A637" s="7"/>
      <c r="B637" s="7"/>
      <c r="C637" s="7"/>
      <c r="D637" s="7"/>
      <c r="E637" s="7"/>
      <c r="F637" s="7"/>
      <c r="G637" s="7"/>
      <c r="H637" s="7"/>
      <c r="I637" s="7"/>
      <c r="J637" s="7"/>
      <c r="K637" s="7"/>
      <c r="L637" s="7"/>
      <c r="M637" s="7"/>
      <c r="N637" s="7"/>
      <c r="O637" s="7"/>
      <c r="P637" s="7"/>
      <c r="Q637" s="7"/>
      <c r="R637" s="7"/>
      <c r="S637" s="7"/>
      <c r="T637" s="7"/>
      <c r="U637" s="7"/>
      <c r="V637" s="7"/>
      <c r="W637" s="7"/>
      <c r="X637" s="7"/>
      <c r="Y637" s="7"/>
      <c r="Z637" s="7"/>
    </row>
    <row r="638" ht="13.5" customHeight="1">
      <c r="A638" s="7"/>
      <c r="B638" s="7"/>
      <c r="C638" s="7"/>
      <c r="D638" s="7"/>
      <c r="E638" s="7"/>
      <c r="F638" s="7"/>
      <c r="G638" s="7"/>
      <c r="H638" s="7"/>
      <c r="I638" s="7"/>
      <c r="J638" s="7"/>
      <c r="K638" s="7"/>
      <c r="L638" s="7"/>
      <c r="M638" s="7"/>
      <c r="N638" s="7"/>
      <c r="O638" s="7"/>
      <c r="P638" s="7"/>
      <c r="Q638" s="7"/>
      <c r="R638" s="7"/>
      <c r="S638" s="7"/>
      <c r="T638" s="7"/>
      <c r="U638" s="7"/>
      <c r="V638" s="7"/>
      <c r="W638" s="7"/>
      <c r="X638" s="7"/>
      <c r="Y638" s="7"/>
      <c r="Z638" s="7"/>
    </row>
    <row r="639" ht="13.5" customHeight="1">
      <c r="A639" s="7"/>
      <c r="B639" s="7"/>
      <c r="C639" s="7"/>
      <c r="D639" s="7"/>
      <c r="E639" s="7"/>
      <c r="F639" s="7"/>
      <c r="G639" s="7"/>
      <c r="H639" s="7"/>
      <c r="I639" s="7"/>
      <c r="J639" s="7"/>
      <c r="K639" s="7"/>
      <c r="L639" s="7"/>
      <c r="M639" s="7"/>
      <c r="N639" s="7"/>
      <c r="O639" s="7"/>
      <c r="P639" s="7"/>
      <c r="Q639" s="7"/>
      <c r="R639" s="7"/>
      <c r="S639" s="7"/>
      <c r="T639" s="7"/>
      <c r="U639" s="7"/>
      <c r="V639" s="7"/>
      <c r="W639" s="7"/>
      <c r="X639" s="7"/>
      <c r="Y639" s="7"/>
      <c r="Z639" s="7"/>
    </row>
    <row r="640" ht="13.5" customHeight="1">
      <c r="A640" s="7"/>
      <c r="B640" s="7"/>
      <c r="C640" s="7"/>
      <c r="D640" s="7"/>
      <c r="E640" s="7"/>
      <c r="F640" s="7"/>
      <c r="G640" s="7"/>
      <c r="H640" s="7"/>
      <c r="I640" s="7"/>
      <c r="J640" s="7"/>
      <c r="K640" s="7"/>
      <c r="L640" s="7"/>
      <c r="M640" s="7"/>
      <c r="N640" s="7"/>
      <c r="O640" s="7"/>
      <c r="P640" s="7"/>
      <c r="Q640" s="7"/>
      <c r="R640" s="7"/>
      <c r="S640" s="7"/>
      <c r="T640" s="7"/>
      <c r="U640" s="7"/>
      <c r="V640" s="7"/>
      <c r="W640" s="7"/>
      <c r="X640" s="7"/>
      <c r="Y640" s="7"/>
      <c r="Z640" s="7"/>
    </row>
    <row r="641" ht="13.5" customHeight="1">
      <c r="A641" s="7"/>
      <c r="B641" s="7"/>
      <c r="C641" s="7"/>
      <c r="D641" s="7"/>
      <c r="E641" s="7"/>
      <c r="F641" s="7"/>
      <c r="G641" s="7"/>
      <c r="H641" s="7"/>
      <c r="I641" s="7"/>
      <c r="J641" s="7"/>
      <c r="K641" s="7"/>
      <c r="L641" s="7"/>
      <c r="M641" s="7"/>
      <c r="N641" s="7"/>
      <c r="O641" s="7"/>
      <c r="P641" s="7"/>
      <c r="Q641" s="7"/>
      <c r="R641" s="7"/>
      <c r="S641" s="7"/>
      <c r="T641" s="7"/>
      <c r="U641" s="7"/>
      <c r="V641" s="7"/>
      <c r="W641" s="7"/>
      <c r="X641" s="7"/>
      <c r="Y641" s="7"/>
      <c r="Z641" s="7"/>
    </row>
    <row r="642" ht="13.5" customHeight="1">
      <c r="A642" s="7"/>
      <c r="B642" s="7"/>
      <c r="C642" s="7"/>
      <c r="D642" s="7"/>
      <c r="E642" s="7"/>
      <c r="F642" s="7"/>
      <c r="G642" s="7"/>
      <c r="H642" s="7"/>
      <c r="I642" s="7"/>
      <c r="J642" s="7"/>
      <c r="K642" s="7"/>
      <c r="L642" s="7"/>
      <c r="M642" s="7"/>
      <c r="N642" s="7"/>
      <c r="O642" s="7"/>
      <c r="P642" s="7"/>
      <c r="Q642" s="7"/>
      <c r="R642" s="7"/>
      <c r="S642" s="7"/>
      <c r="T642" s="7"/>
      <c r="U642" s="7"/>
      <c r="V642" s="7"/>
      <c r="W642" s="7"/>
      <c r="X642" s="7"/>
      <c r="Y642" s="7"/>
      <c r="Z642" s="7"/>
    </row>
    <row r="643" ht="13.5" customHeight="1">
      <c r="A643" s="7"/>
      <c r="B643" s="7"/>
      <c r="C643" s="7"/>
      <c r="D643" s="7"/>
      <c r="E643" s="7"/>
      <c r="F643" s="7"/>
      <c r="G643" s="7"/>
      <c r="H643" s="7"/>
      <c r="I643" s="7"/>
      <c r="J643" s="7"/>
      <c r="K643" s="7"/>
      <c r="L643" s="7"/>
      <c r="M643" s="7"/>
      <c r="N643" s="7"/>
      <c r="O643" s="7"/>
      <c r="P643" s="7"/>
      <c r="Q643" s="7"/>
      <c r="R643" s="7"/>
      <c r="S643" s="7"/>
      <c r="T643" s="7"/>
      <c r="U643" s="7"/>
      <c r="V643" s="7"/>
      <c r="W643" s="7"/>
      <c r="X643" s="7"/>
      <c r="Y643" s="7"/>
      <c r="Z643" s="7"/>
    </row>
    <row r="644" ht="13.5" customHeight="1">
      <c r="A644" s="7"/>
      <c r="B644" s="7"/>
      <c r="C644" s="7"/>
      <c r="D644" s="7"/>
      <c r="E644" s="7"/>
      <c r="F644" s="7"/>
      <c r="G644" s="7"/>
      <c r="H644" s="7"/>
      <c r="I644" s="7"/>
      <c r="J644" s="7"/>
      <c r="K644" s="7"/>
      <c r="L644" s="7"/>
      <c r="M644" s="7"/>
      <c r="N644" s="7"/>
      <c r="O644" s="7"/>
      <c r="P644" s="7"/>
      <c r="Q644" s="7"/>
      <c r="R644" s="7"/>
      <c r="S644" s="7"/>
      <c r="T644" s="7"/>
      <c r="U644" s="7"/>
      <c r="V644" s="7"/>
      <c r="W644" s="7"/>
      <c r="X644" s="7"/>
      <c r="Y644" s="7"/>
      <c r="Z644" s="7"/>
    </row>
    <row r="645" ht="13.5" customHeight="1">
      <c r="A645" s="7"/>
      <c r="B645" s="7"/>
      <c r="C645" s="7"/>
      <c r="D645" s="7"/>
      <c r="E645" s="7"/>
      <c r="F645" s="7"/>
      <c r="G645" s="7"/>
      <c r="H645" s="7"/>
      <c r="I645" s="7"/>
      <c r="J645" s="7"/>
      <c r="K645" s="7"/>
      <c r="L645" s="7"/>
      <c r="M645" s="7"/>
      <c r="N645" s="7"/>
      <c r="O645" s="7"/>
      <c r="P645" s="7"/>
      <c r="Q645" s="7"/>
      <c r="R645" s="7"/>
      <c r="S645" s="7"/>
      <c r="T645" s="7"/>
      <c r="U645" s="7"/>
      <c r="V645" s="7"/>
      <c r="W645" s="7"/>
      <c r="X645" s="7"/>
      <c r="Y645" s="7"/>
      <c r="Z645" s="7"/>
    </row>
    <row r="646" ht="13.5" customHeight="1">
      <c r="A646" s="7"/>
      <c r="B646" s="7"/>
      <c r="C646" s="7"/>
      <c r="D646" s="7"/>
      <c r="E646" s="7"/>
      <c r="F646" s="7"/>
      <c r="G646" s="7"/>
      <c r="H646" s="7"/>
      <c r="I646" s="7"/>
      <c r="J646" s="7"/>
      <c r="K646" s="7"/>
      <c r="L646" s="7"/>
      <c r="M646" s="7"/>
      <c r="N646" s="7"/>
      <c r="O646" s="7"/>
      <c r="P646" s="7"/>
      <c r="Q646" s="7"/>
      <c r="R646" s="7"/>
      <c r="S646" s="7"/>
      <c r="T646" s="7"/>
      <c r="U646" s="7"/>
      <c r="V646" s="7"/>
      <c r="W646" s="7"/>
      <c r="X646" s="7"/>
      <c r="Y646" s="7"/>
      <c r="Z646" s="7"/>
    </row>
    <row r="647" ht="13.5" customHeight="1">
      <c r="A647" s="7"/>
      <c r="B647" s="7"/>
      <c r="C647" s="7"/>
      <c r="D647" s="7"/>
      <c r="E647" s="7"/>
      <c r="F647" s="7"/>
      <c r="G647" s="7"/>
      <c r="H647" s="7"/>
      <c r="I647" s="7"/>
      <c r="J647" s="7"/>
      <c r="K647" s="7"/>
      <c r="L647" s="7"/>
      <c r="M647" s="7"/>
      <c r="N647" s="7"/>
      <c r="O647" s="7"/>
      <c r="P647" s="7"/>
      <c r="Q647" s="7"/>
      <c r="R647" s="7"/>
      <c r="S647" s="7"/>
      <c r="T647" s="7"/>
      <c r="U647" s="7"/>
      <c r="V647" s="7"/>
      <c r="W647" s="7"/>
      <c r="X647" s="7"/>
      <c r="Y647" s="7"/>
      <c r="Z647" s="7"/>
    </row>
    <row r="648" ht="13.5" customHeight="1">
      <c r="A648" s="7"/>
      <c r="B648" s="7"/>
      <c r="C648" s="7"/>
      <c r="D648" s="7"/>
      <c r="E648" s="7"/>
      <c r="F648" s="7"/>
      <c r="G648" s="7"/>
      <c r="H648" s="7"/>
      <c r="I648" s="7"/>
      <c r="J648" s="7"/>
      <c r="K648" s="7"/>
      <c r="L648" s="7"/>
      <c r="M648" s="7"/>
      <c r="N648" s="7"/>
      <c r="O648" s="7"/>
      <c r="P648" s="7"/>
      <c r="Q648" s="7"/>
      <c r="R648" s="7"/>
      <c r="S648" s="7"/>
      <c r="T648" s="7"/>
      <c r="U648" s="7"/>
      <c r="V648" s="7"/>
      <c r="W648" s="7"/>
      <c r="X648" s="7"/>
      <c r="Y648" s="7"/>
      <c r="Z648" s="7"/>
    </row>
    <row r="649" ht="13.5" customHeight="1">
      <c r="A649" s="7"/>
      <c r="B649" s="7"/>
      <c r="C649" s="7"/>
      <c r="D649" s="7"/>
      <c r="E649" s="7"/>
      <c r="F649" s="7"/>
      <c r="G649" s="7"/>
      <c r="H649" s="7"/>
      <c r="I649" s="7"/>
      <c r="J649" s="7"/>
      <c r="K649" s="7"/>
      <c r="L649" s="7"/>
      <c r="M649" s="7"/>
      <c r="N649" s="7"/>
      <c r="O649" s="7"/>
      <c r="P649" s="7"/>
      <c r="Q649" s="7"/>
      <c r="R649" s="7"/>
      <c r="S649" s="7"/>
      <c r="T649" s="7"/>
      <c r="U649" s="7"/>
      <c r="V649" s="7"/>
      <c r="W649" s="7"/>
      <c r="X649" s="7"/>
      <c r="Y649" s="7"/>
      <c r="Z649" s="7"/>
    </row>
    <row r="650" ht="13.5" customHeight="1">
      <c r="A650" s="7"/>
      <c r="B650" s="7"/>
      <c r="C650" s="7"/>
      <c r="D650" s="7"/>
      <c r="E650" s="7"/>
      <c r="F650" s="7"/>
      <c r="G650" s="7"/>
      <c r="H650" s="7"/>
      <c r="I650" s="7"/>
      <c r="J650" s="7"/>
      <c r="K650" s="7"/>
      <c r="L650" s="7"/>
      <c r="M650" s="7"/>
      <c r="N650" s="7"/>
      <c r="O650" s="7"/>
      <c r="P650" s="7"/>
      <c r="Q650" s="7"/>
      <c r="R650" s="7"/>
      <c r="S650" s="7"/>
      <c r="T650" s="7"/>
      <c r="U650" s="7"/>
      <c r="V650" s="7"/>
      <c r="W650" s="7"/>
      <c r="X650" s="7"/>
      <c r="Y650" s="7"/>
      <c r="Z650" s="7"/>
    </row>
    <row r="651" ht="13.5" customHeight="1">
      <c r="A651" s="7"/>
      <c r="B651" s="7"/>
      <c r="C651" s="7"/>
      <c r="D651" s="7"/>
      <c r="E651" s="7"/>
      <c r="F651" s="7"/>
      <c r="G651" s="7"/>
      <c r="H651" s="7"/>
      <c r="I651" s="7"/>
      <c r="J651" s="7"/>
      <c r="K651" s="7"/>
      <c r="L651" s="7"/>
      <c r="M651" s="7"/>
      <c r="N651" s="7"/>
      <c r="O651" s="7"/>
      <c r="P651" s="7"/>
      <c r="Q651" s="7"/>
      <c r="R651" s="7"/>
      <c r="S651" s="7"/>
      <c r="T651" s="7"/>
      <c r="U651" s="7"/>
      <c r="V651" s="7"/>
      <c r="W651" s="7"/>
      <c r="X651" s="7"/>
      <c r="Y651" s="7"/>
      <c r="Z651" s="7"/>
    </row>
    <row r="652" ht="13.5" customHeight="1">
      <c r="A652" s="7"/>
      <c r="B652" s="7"/>
      <c r="C652" s="7"/>
      <c r="D652" s="7"/>
      <c r="E652" s="7"/>
      <c r="F652" s="7"/>
      <c r="G652" s="7"/>
      <c r="H652" s="7"/>
      <c r="I652" s="7"/>
      <c r="J652" s="7"/>
      <c r="K652" s="7"/>
      <c r="L652" s="7"/>
      <c r="M652" s="7"/>
      <c r="N652" s="7"/>
      <c r="O652" s="7"/>
      <c r="P652" s="7"/>
      <c r="Q652" s="7"/>
      <c r="R652" s="7"/>
      <c r="S652" s="7"/>
      <c r="T652" s="7"/>
      <c r="U652" s="7"/>
      <c r="V652" s="7"/>
      <c r="W652" s="7"/>
      <c r="X652" s="7"/>
      <c r="Y652" s="7"/>
      <c r="Z652" s="7"/>
    </row>
    <row r="653" ht="13.5" customHeight="1">
      <c r="A653" s="7"/>
      <c r="B653" s="7"/>
      <c r="C653" s="7"/>
      <c r="D653" s="7"/>
      <c r="E653" s="7"/>
      <c r="F653" s="7"/>
      <c r="G653" s="7"/>
      <c r="H653" s="7"/>
      <c r="I653" s="7"/>
      <c r="J653" s="7"/>
      <c r="K653" s="7"/>
      <c r="L653" s="7"/>
      <c r="M653" s="7"/>
      <c r="N653" s="7"/>
      <c r="O653" s="7"/>
      <c r="P653" s="7"/>
      <c r="Q653" s="7"/>
      <c r="R653" s="7"/>
      <c r="S653" s="7"/>
      <c r="T653" s="7"/>
      <c r="U653" s="7"/>
      <c r="V653" s="7"/>
      <c r="W653" s="7"/>
      <c r="X653" s="7"/>
      <c r="Y653" s="7"/>
      <c r="Z653" s="7"/>
    </row>
    <row r="654" ht="13.5" customHeight="1">
      <c r="A654" s="7"/>
      <c r="B654" s="7"/>
      <c r="C654" s="7"/>
      <c r="D654" s="7"/>
      <c r="E654" s="7"/>
      <c r="F654" s="7"/>
      <c r="G654" s="7"/>
      <c r="H654" s="7"/>
      <c r="I654" s="7"/>
      <c r="J654" s="7"/>
      <c r="K654" s="7"/>
      <c r="L654" s="7"/>
      <c r="M654" s="7"/>
      <c r="N654" s="7"/>
      <c r="O654" s="7"/>
      <c r="P654" s="7"/>
      <c r="Q654" s="7"/>
      <c r="R654" s="7"/>
      <c r="S654" s="7"/>
      <c r="T654" s="7"/>
      <c r="U654" s="7"/>
      <c r="V654" s="7"/>
      <c r="W654" s="7"/>
      <c r="X654" s="7"/>
      <c r="Y654" s="7"/>
      <c r="Z654" s="7"/>
    </row>
    <row r="655" ht="13.5" customHeight="1">
      <c r="A655" s="7"/>
      <c r="B655" s="7"/>
      <c r="C655" s="7"/>
      <c r="D655" s="7"/>
      <c r="E655" s="7"/>
      <c r="F655" s="7"/>
      <c r="G655" s="7"/>
      <c r="H655" s="7"/>
      <c r="I655" s="7"/>
      <c r="J655" s="7"/>
      <c r="K655" s="7"/>
      <c r="L655" s="7"/>
      <c r="M655" s="7"/>
      <c r="N655" s="7"/>
      <c r="O655" s="7"/>
      <c r="P655" s="7"/>
      <c r="Q655" s="7"/>
      <c r="R655" s="7"/>
      <c r="S655" s="7"/>
      <c r="T655" s="7"/>
      <c r="U655" s="7"/>
      <c r="V655" s="7"/>
      <c r="W655" s="7"/>
      <c r="X655" s="7"/>
      <c r="Y655" s="7"/>
      <c r="Z655" s="7"/>
    </row>
    <row r="656" ht="13.5" customHeight="1">
      <c r="A656" s="7"/>
      <c r="B656" s="7"/>
      <c r="C656" s="7"/>
      <c r="D656" s="7"/>
      <c r="E656" s="7"/>
      <c r="F656" s="7"/>
      <c r="G656" s="7"/>
      <c r="H656" s="7"/>
      <c r="I656" s="7"/>
      <c r="J656" s="7"/>
      <c r="K656" s="7"/>
      <c r="L656" s="7"/>
      <c r="M656" s="7"/>
      <c r="N656" s="7"/>
      <c r="O656" s="7"/>
      <c r="P656" s="7"/>
      <c r="Q656" s="7"/>
      <c r="R656" s="7"/>
      <c r="S656" s="7"/>
      <c r="T656" s="7"/>
      <c r="U656" s="7"/>
      <c r="V656" s="7"/>
      <c r="W656" s="7"/>
      <c r="X656" s="7"/>
      <c r="Y656" s="7"/>
      <c r="Z656" s="7"/>
    </row>
    <row r="657" ht="13.5" customHeight="1">
      <c r="A657" s="7"/>
      <c r="B657" s="7"/>
      <c r="C657" s="7"/>
      <c r="D657" s="7"/>
      <c r="E657" s="7"/>
      <c r="F657" s="7"/>
      <c r="G657" s="7"/>
      <c r="H657" s="7"/>
      <c r="I657" s="7"/>
      <c r="J657" s="7"/>
      <c r="K657" s="7"/>
      <c r="L657" s="7"/>
      <c r="M657" s="7"/>
      <c r="N657" s="7"/>
      <c r="O657" s="7"/>
      <c r="P657" s="7"/>
      <c r="Q657" s="7"/>
      <c r="R657" s="7"/>
      <c r="S657" s="7"/>
      <c r="T657" s="7"/>
      <c r="U657" s="7"/>
      <c r="V657" s="7"/>
      <c r="W657" s="7"/>
      <c r="X657" s="7"/>
      <c r="Y657" s="7"/>
      <c r="Z657" s="7"/>
    </row>
    <row r="658" ht="13.5" customHeight="1">
      <c r="A658" s="7"/>
      <c r="B658" s="7"/>
      <c r="C658" s="7"/>
      <c r="D658" s="7"/>
      <c r="E658" s="7"/>
      <c r="F658" s="7"/>
      <c r="G658" s="7"/>
      <c r="H658" s="7"/>
      <c r="I658" s="7"/>
      <c r="J658" s="7"/>
      <c r="K658" s="7"/>
      <c r="L658" s="7"/>
      <c r="M658" s="7"/>
      <c r="N658" s="7"/>
      <c r="O658" s="7"/>
      <c r="P658" s="7"/>
      <c r="Q658" s="7"/>
      <c r="R658" s="7"/>
      <c r="S658" s="7"/>
      <c r="T658" s="7"/>
      <c r="U658" s="7"/>
      <c r="V658" s="7"/>
      <c r="W658" s="7"/>
      <c r="X658" s="7"/>
      <c r="Y658" s="7"/>
      <c r="Z658" s="7"/>
    </row>
    <row r="659" ht="13.5" customHeight="1">
      <c r="A659" s="7"/>
      <c r="B659" s="7"/>
      <c r="C659" s="7"/>
      <c r="D659" s="7"/>
      <c r="E659" s="7"/>
      <c r="F659" s="7"/>
      <c r="G659" s="7"/>
      <c r="H659" s="7"/>
      <c r="I659" s="7"/>
      <c r="J659" s="7"/>
      <c r="K659" s="7"/>
      <c r="L659" s="7"/>
      <c r="M659" s="7"/>
      <c r="N659" s="7"/>
      <c r="O659" s="7"/>
      <c r="P659" s="7"/>
      <c r="Q659" s="7"/>
      <c r="R659" s="7"/>
      <c r="S659" s="7"/>
      <c r="T659" s="7"/>
      <c r="U659" s="7"/>
      <c r="V659" s="7"/>
      <c r="W659" s="7"/>
      <c r="X659" s="7"/>
      <c r="Y659" s="7"/>
      <c r="Z659" s="7"/>
    </row>
    <row r="660" ht="13.5" customHeight="1">
      <c r="A660" s="7"/>
      <c r="B660" s="7"/>
      <c r="C660" s="7"/>
      <c r="D660" s="7"/>
      <c r="E660" s="7"/>
      <c r="F660" s="7"/>
      <c r="G660" s="7"/>
      <c r="H660" s="7"/>
      <c r="I660" s="7"/>
      <c r="J660" s="7"/>
      <c r="K660" s="7"/>
      <c r="L660" s="7"/>
      <c r="M660" s="7"/>
      <c r="N660" s="7"/>
      <c r="O660" s="7"/>
      <c r="P660" s="7"/>
      <c r="Q660" s="7"/>
      <c r="R660" s="7"/>
      <c r="S660" s="7"/>
      <c r="T660" s="7"/>
      <c r="U660" s="7"/>
      <c r="V660" s="7"/>
      <c r="W660" s="7"/>
      <c r="X660" s="7"/>
      <c r="Y660" s="7"/>
      <c r="Z660" s="7"/>
    </row>
    <row r="661" ht="13.5" customHeight="1">
      <c r="A661" s="7"/>
      <c r="B661" s="7"/>
      <c r="C661" s="7"/>
      <c r="D661" s="7"/>
      <c r="E661" s="7"/>
      <c r="F661" s="7"/>
      <c r="G661" s="7"/>
      <c r="H661" s="7"/>
      <c r="I661" s="7"/>
      <c r="J661" s="7"/>
      <c r="K661" s="7"/>
      <c r="L661" s="7"/>
      <c r="M661" s="7"/>
      <c r="N661" s="7"/>
      <c r="O661" s="7"/>
      <c r="P661" s="7"/>
      <c r="Q661" s="7"/>
      <c r="R661" s="7"/>
      <c r="S661" s="7"/>
      <c r="T661" s="7"/>
      <c r="U661" s="7"/>
      <c r="V661" s="7"/>
      <c r="W661" s="7"/>
      <c r="X661" s="7"/>
      <c r="Y661" s="7"/>
      <c r="Z661" s="7"/>
    </row>
    <row r="662" ht="13.5" customHeight="1">
      <c r="A662" s="7"/>
      <c r="B662" s="7"/>
      <c r="C662" s="7"/>
      <c r="D662" s="7"/>
      <c r="E662" s="7"/>
      <c r="F662" s="7"/>
      <c r="G662" s="7"/>
      <c r="H662" s="7"/>
      <c r="I662" s="7"/>
      <c r="J662" s="7"/>
      <c r="K662" s="7"/>
      <c r="L662" s="7"/>
      <c r="M662" s="7"/>
      <c r="N662" s="7"/>
      <c r="O662" s="7"/>
      <c r="P662" s="7"/>
      <c r="Q662" s="7"/>
      <c r="R662" s="7"/>
      <c r="S662" s="7"/>
      <c r="T662" s="7"/>
      <c r="U662" s="7"/>
      <c r="V662" s="7"/>
      <c r="W662" s="7"/>
      <c r="X662" s="7"/>
      <c r="Y662" s="7"/>
      <c r="Z662" s="7"/>
    </row>
    <row r="663" ht="13.5" customHeight="1">
      <c r="A663" s="7"/>
      <c r="B663" s="7"/>
      <c r="C663" s="7"/>
      <c r="D663" s="7"/>
      <c r="E663" s="7"/>
      <c r="F663" s="7"/>
      <c r="G663" s="7"/>
      <c r="H663" s="7"/>
      <c r="I663" s="7"/>
      <c r="J663" s="7"/>
      <c r="K663" s="7"/>
      <c r="L663" s="7"/>
      <c r="M663" s="7"/>
      <c r="N663" s="7"/>
      <c r="O663" s="7"/>
      <c r="P663" s="7"/>
      <c r="Q663" s="7"/>
      <c r="R663" s="7"/>
      <c r="S663" s="7"/>
      <c r="T663" s="7"/>
      <c r="U663" s="7"/>
      <c r="V663" s="7"/>
      <c r="W663" s="7"/>
      <c r="X663" s="7"/>
      <c r="Y663" s="7"/>
      <c r="Z663" s="7"/>
    </row>
    <row r="664" ht="13.5" customHeight="1">
      <c r="A664" s="7"/>
      <c r="B664" s="7"/>
      <c r="C664" s="7"/>
      <c r="D664" s="7"/>
      <c r="E664" s="7"/>
      <c r="F664" s="7"/>
      <c r="G664" s="7"/>
      <c r="H664" s="7"/>
      <c r="I664" s="7"/>
      <c r="J664" s="7"/>
      <c r="K664" s="7"/>
      <c r="L664" s="7"/>
      <c r="M664" s="7"/>
      <c r="N664" s="7"/>
      <c r="O664" s="7"/>
      <c r="P664" s="7"/>
      <c r="Q664" s="7"/>
      <c r="R664" s="7"/>
      <c r="S664" s="7"/>
      <c r="T664" s="7"/>
      <c r="U664" s="7"/>
      <c r="V664" s="7"/>
      <c r="W664" s="7"/>
      <c r="X664" s="7"/>
      <c r="Y664" s="7"/>
      <c r="Z664" s="7"/>
    </row>
    <row r="665" ht="13.5" customHeight="1">
      <c r="A665" s="7"/>
      <c r="B665" s="7"/>
      <c r="C665" s="7"/>
      <c r="D665" s="7"/>
      <c r="E665" s="7"/>
      <c r="F665" s="7"/>
      <c r="G665" s="7"/>
      <c r="H665" s="7"/>
      <c r="I665" s="7"/>
      <c r="J665" s="7"/>
      <c r="K665" s="7"/>
      <c r="L665" s="7"/>
      <c r="M665" s="7"/>
      <c r="N665" s="7"/>
      <c r="O665" s="7"/>
      <c r="P665" s="7"/>
      <c r="Q665" s="7"/>
      <c r="R665" s="7"/>
      <c r="S665" s="7"/>
      <c r="T665" s="7"/>
      <c r="U665" s="7"/>
      <c r="V665" s="7"/>
      <c r="W665" s="7"/>
      <c r="X665" s="7"/>
      <c r="Y665" s="7"/>
      <c r="Z665" s="7"/>
    </row>
    <row r="666" ht="13.5" customHeight="1">
      <c r="A666" s="7"/>
      <c r="B666" s="7"/>
      <c r="C666" s="7"/>
      <c r="D666" s="7"/>
      <c r="E666" s="7"/>
      <c r="F666" s="7"/>
      <c r="G666" s="7"/>
      <c r="H666" s="7"/>
      <c r="I666" s="7"/>
      <c r="J666" s="7"/>
      <c r="K666" s="7"/>
      <c r="L666" s="7"/>
      <c r="M666" s="7"/>
      <c r="N666" s="7"/>
      <c r="O666" s="7"/>
      <c r="P666" s="7"/>
      <c r="Q666" s="7"/>
      <c r="R666" s="7"/>
      <c r="S666" s="7"/>
      <c r="T666" s="7"/>
      <c r="U666" s="7"/>
      <c r="V666" s="7"/>
      <c r="W666" s="7"/>
      <c r="X666" s="7"/>
      <c r="Y666" s="7"/>
      <c r="Z666" s="7"/>
    </row>
    <row r="667" ht="13.5" customHeight="1">
      <c r="A667" s="7"/>
      <c r="B667" s="7"/>
      <c r="C667" s="7"/>
      <c r="D667" s="7"/>
      <c r="E667" s="7"/>
      <c r="F667" s="7"/>
      <c r="G667" s="7"/>
      <c r="H667" s="7"/>
      <c r="I667" s="7"/>
      <c r="J667" s="7"/>
      <c r="K667" s="7"/>
      <c r="L667" s="7"/>
      <c r="M667" s="7"/>
      <c r="N667" s="7"/>
      <c r="O667" s="7"/>
      <c r="P667" s="7"/>
      <c r="Q667" s="7"/>
      <c r="R667" s="7"/>
      <c r="S667" s="7"/>
      <c r="T667" s="7"/>
      <c r="U667" s="7"/>
      <c r="V667" s="7"/>
      <c r="W667" s="7"/>
      <c r="X667" s="7"/>
      <c r="Y667" s="7"/>
      <c r="Z667" s="7"/>
    </row>
    <row r="668" ht="13.5" customHeight="1">
      <c r="A668" s="7"/>
      <c r="B668" s="7"/>
      <c r="C668" s="7"/>
      <c r="D668" s="7"/>
      <c r="E668" s="7"/>
      <c r="F668" s="7"/>
      <c r="G668" s="7"/>
      <c r="H668" s="7"/>
      <c r="I668" s="7"/>
      <c r="J668" s="7"/>
      <c r="K668" s="7"/>
      <c r="L668" s="7"/>
      <c r="M668" s="7"/>
      <c r="N668" s="7"/>
      <c r="O668" s="7"/>
      <c r="P668" s="7"/>
      <c r="Q668" s="7"/>
      <c r="R668" s="7"/>
      <c r="S668" s="7"/>
      <c r="T668" s="7"/>
      <c r="U668" s="7"/>
      <c r="V668" s="7"/>
      <c r="W668" s="7"/>
      <c r="X668" s="7"/>
      <c r="Y668" s="7"/>
      <c r="Z668" s="7"/>
    </row>
    <row r="669" ht="13.5" customHeight="1">
      <c r="A669" s="7"/>
      <c r="B669" s="7"/>
      <c r="C669" s="7"/>
      <c r="D669" s="7"/>
      <c r="E669" s="7"/>
      <c r="F669" s="7"/>
      <c r="G669" s="7"/>
      <c r="H669" s="7"/>
      <c r="I669" s="7"/>
      <c r="J669" s="7"/>
      <c r="K669" s="7"/>
      <c r="L669" s="7"/>
      <c r="M669" s="7"/>
      <c r="N669" s="7"/>
      <c r="O669" s="7"/>
      <c r="P669" s="7"/>
      <c r="Q669" s="7"/>
      <c r="R669" s="7"/>
      <c r="S669" s="7"/>
      <c r="T669" s="7"/>
      <c r="U669" s="7"/>
      <c r="V669" s="7"/>
      <c r="W669" s="7"/>
      <c r="X669" s="7"/>
      <c r="Y669" s="7"/>
      <c r="Z669" s="7"/>
    </row>
    <row r="670" ht="13.5" customHeight="1">
      <c r="A670" s="7"/>
      <c r="B670" s="7"/>
      <c r="C670" s="7"/>
      <c r="D670" s="7"/>
      <c r="E670" s="7"/>
      <c r="F670" s="7"/>
      <c r="G670" s="7"/>
      <c r="H670" s="7"/>
      <c r="I670" s="7"/>
      <c r="J670" s="7"/>
      <c r="K670" s="7"/>
      <c r="L670" s="7"/>
      <c r="M670" s="7"/>
      <c r="N670" s="7"/>
      <c r="O670" s="7"/>
      <c r="P670" s="7"/>
      <c r="Q670" s="7"/>
      <c r="R670" s="7"/>
      <c r="S670" s="7"/>
      <c r="T670" s="7"/>
      <c r="U670" s="7"/>
      <c r="V670" s="7"/>
      <c r="W670" s="7"/>
      <c r="X670" s="7"/>
      <c r="Y670" s="7"/>
      <c r="Z670" s="7"/>
    </row>
    <row r="671" ht="13.5" customHeight="1">
      <c r="A671" s="7"/>
      <c r="B671" s="7"/>
      <c r="C671" s="7"/>
      <c r="D671" s="7"/>
      <c r="E671" s="7"/>
      <c r="F671" s="7"/>
      <c r="G671" s="7"/>
      <c r="H671" s="7"/>
      <c r="I671" s="7"/>
      <c r="J671" s="7"/>
      <c r="K671" s="7"/>
      <c r="L671" s="7"/>
      <c r="M671" s="7"/>
      <c r="N671" s="7"/>
      <c r="O671" s="7"/>
      <c r="P671" s="7"/>
      <c r="Q671" s="7"/>
      <c r="R671" s="7"/>
      <c r="S671" s="7"/>
      <c r="T671" s="7"/>
      <c r="U671" s="7"/>
      <c r="V671" s="7"/>
      <c r="W671" s="7"/>
      <c r="X671" s="7"/>
      <c r="Y671" s="7"/>
      <c r="Z671" s="7"/>
    </row>
    <row r="672" ht="13.5" customHeight="1">
      <c r="A672" s="7"/>
      <c r="B672" s="7"/>
      <c r="C672" s="7"/>
      <c r="D672" s="7"/>
      <c r="E672" s="7"/>
      <c r="F672" s="7"/>
      <c r="G672" s="7"/>
      <c r="H672" s="7"/>
      <c r="I672" s="7"/>
      <c r="J672" s="7"/>
      <c r="K672" s="7"/>
      <c r="L672" s="7"/>
      <c r="M672" s="7"/>
      <c r="N672" s="7"/>
      <c r="O672" s="7"/>
      <c r="P672" s="7"/>
      <c r="Q672" s="7"/>
      <c r="R672" s="7"/>
      <c r="S672" s="7"/>
      <c r="T672" s="7"/>
      <c r="U672" s="7"/>
      <c r="V672" s="7"/>
      <c r="W672" s="7"/>
      <c r="X672" s="7"/>
      <c r="Y672" s="7"/>
      <c r="Z672" s="7"/>
    </row>
    <row r="673" ht="13.5" customHeight="1">
      <c r="A673" s="7"/>
      <c r="B673" s="7"/>
      <c r="C673" s="7"/>
      <c r="D673" s="7"/>
      <c r="E673" s="7"/>
      <c r="F673" s="7"/>
      <c r="G673" s="7"/>
      <c r="H673" s="7"/>
      <c r="I673" s="7"/>
      <c r="J673" s="7"/>
      <c r="K673" s="7"/>
      <c r="L673" s="7"/>
      <c r="M673" s="7"/>
      <c r="N673" s="7"/>
      <c r="O673" s="7"/>
      <c r="P673" s="7"/>
      <c r="Q673" s="7"/>
      <c r="R673" s="7"/>
      <c r="S673" s="7"/>
      <c r="T673" s="7"/>
      <c r="U673" s="7"/>
      <c r="V673" s="7"/>
      <c r="W673" s="7"/>
      <c r="X673" s="7"/>
      <c r="Y673" s="7"/>
      <c r="Z673" s="7"/>
    </row>
    <row r="674" ht="13.5" customHeight="1">
      <c r="A674" s="7"/>
      <c r="B674" s="7"/>
      <c r="C674" s="7"/>
      <c r="D674" s="7"/>
      <c r="E674" s="7"/>
      <c r="F674" s="7"/>
      <c r="G674" s="7"/>
      <c r="H674" s="7"/>
      <c r="I674" s="7"/>
      <c r="J674" s="7"/>
      <c r="K674" s="7"/>
      <c r="L674" s="7"/>
      <c r="M674" s="7"/>
      <c r="N674" s="7"/>
      <c r="O674" s="7"/>
      <c r="P674" s="7"/>
      <c r="Q674" s="7"/>
      <c r="R674" s="7"/>
      <c r="S674" s="7"/>
      <c r="T674" s="7"/>
      <c r="U674" s="7"/>
      <c r="V674" s="7"/>
      <c r="W674" s="7"/>
      <c r="X674" s="7"/>
      <c r="Y674" s="7"/>
      <c r="Z674" s="7"/>
    </row>
    <row r="675" ht="13.5" customHeight="1">
      <c r="A675" s="7"/>
      <c r="B675" s="7"/>
      <c r="C675" s="7"/>
      <c r="D675" s="7"/>
      <c r="E675" s="7"/>
      <c r="F675" s="7"/>
      <c r="G675" s="7"/>
      <c r="H675" s="7"/>
      <c r="I675" s="7"/>
      <c r="J675" s="7"/>
      <c r="K675" s="7"/>
      <c r="L675" s="7"/>
      <c r="M675" s="7"/>
      <c r="N675" s="7"/>
      <c r="O675" s="7"/>
      <c r="P675" s="7"/>
      <c r="Q675" s="7"/>
      <c r="R675" s="7"/>
      <c r="S675" s="7"/>
      <c r="T675" s="7"/>
      <c r="U675" s="7"/>
      <c r="V675" s="7"/>
      <c r="W675" s="7"/>
      <c r="X675" s="7"/>
      <c r="Y675" s="7"/>
      <c r="Z675" s="7"/>
    </row>
    <row r="676" ht="13.5" customHeight="1">
      <c r="A676" s="7"/>
      <c r="B676" s="7"/>
      <c r="C676" s="7"/>
      <c r="D676" s="7"/>
      <c r="E676" s="7"/>
      <c r="F676" s="7"/>
      <c r="G676" s="7"/>
      <c r="H676" s="7"/>
      <c r="I676" s="7"/>
      <c r="J676" s="7"/>
      <c r="K676" s="7"/>
      <c r="L676" s="7"/>
      <c r="M676" s="7"/>
      <c r="N676" s="7"/>
      <c r="O676" s="7"/>
      <c r="P676" s="7"/>
      <c r="Q676" s="7"/>
      <c r="R676" s="7"/>
      <c r="S676" s="7"/>
      <c r="T676" s="7"/>
      <c r="U676" s="7"/>
      <c r="V676" s="7"/>
      <c r="W676" s="7"/>
      <c r="X676" s="7"/>
      <c r="Y676" s="7"/>
      <c r="Z676" s="7"/>
    </row>
    <row r="677" ht="13.5" customHeight="1">
      <c r="A677" s="7"/>
      <c r="B677" s="7"/>
      <c r="C677" s="7"/>
      <c r="D677" s="7"/>
      <c r="E677" s="7"/>
      <c r="F677" s="7"/>
      <c r="G677" s="7"/>
      <c r="H677" s="7"/>
      <c r="I677" s="7"/>
      <c r="J677" s="7"/>
      <c r="K677" s="7"/>
      <c r="L677" s="7"/>
      <c r="M677" s="7"/>
      <c r="N677" s="7"/>
      <c r="O677" s="7"/>
      <c r="P677" s="7"/>
      <c r="Q677" s="7"/>
      <c r="R677" s="7"/>
      <c r="S677" s="7"/>
      <c r="T677" s="7"/>
      <c r="U677" s="7"/>
      <c r="V677" s="7"/>
      <c r="W677" s="7"/>
      <c r="X677" s="7"/>
      <c r="Y677" s="7"/>
      <c r="Z677" s="7"/>
    </row>
    <row r="678" ht="13.5" customHeight="1">
      <c r="A678" s="7"/>
      <c r="B678" s="7"/>
      <c r="C678" s="7"/>
      <c r="D678" s="7"/>
      <c r="E678" s="7"/>
      <c r="F678" s="7"/>
      <c r="G678" s="7"/>
      <c r="H678" s="7"/>
      <c r="I678" s="7"/>
      <c r="J678" s="7"/>
      <c r="K678" s="7"/>
      <c r="L678" s="7"/>
      <c r="M678" s="7"/>
      <c r="N678" s="7"/>
      <c r="O678" s="7"/>
      <c r="P678" s="7"/>
      <c r="Q678" s="7"/>
      <c r="R678" s="7"/>
      <c r="S678" s="7"/>
      <c r="T678" s="7"/>
      <c r="U678" s="7"/>
      <c r="V678" s="7"/>
      <c r="W678" s="7"/>
      <c r="X678" s="7"/>
      <c r="Y678" s="7"/>
      <c r="Z678" s="7"/>
    </row>
    <row r="679" ht="13.5" customHeight="1">
      <c r="A679" s="7"/>
      <c r="B679" s="7"/>
      <c r="C679" s="7"/>
      <c r="D679" s="7"/>
      <c r="E679" s="7"/>
      <c r="F679" s="7"/>
      <c r="G679" s="7"/>
      <c r="H679" s="7"/>
      <c r="I679" s="7"/>
      <c r="J679" s="7"/>
      <c r="K679" s="7"/>
      <c r="L679" s="7"/>
      <c r="M679" s="7"/>
      <c r="N679" s="7"/>
      <c r="O679" s="7"/>
      <c r="P679" s="7"/>
      <c r="Q679" s="7"/>
      <c r="R679" s="7"/>
      <c r="S679" s="7"/>
      <c r="T679" s="7"/>
      <c r="U679" s="7"/>
      <c r="V679" s="7"/>
      <c r="W679" s="7"/>
      <c r="X679" s="7"/>
      <c r="Y679" s="7"/>
      <c r="Z679" s="7"/>
    </row>
    <row r="680" ht="13.5" customHeight="1">
      <c r="A680" s="7"/>
      <c r="B680" s="7"/>
      <c r="C680" s="7"/>
      <c r="D680" s="7"/>
      <c r="E680" s="7"/>
      <c r="F680" s="7"/>
      <c r="G680" s="7"/>
      <c r="H680" s="7"/>
      <c r="I680" s="7"/>
      <c r="J680" s="7"/>
      <c r="K680" s="7"/>
      <c r="L680" s="7"/>
      <c r="M680" s="7"/>
      <c r="N680" s="7"/>
      <c r="O680" s="7"/>
      <c r="P680" s="7"/>
      <c r="Q680" s="7"/>
      <c r="R680" s="7"/>
      <c r="S680" s="7"/>
      <c r="T680" s="7"/>
      <c r="U680" s="7"/>
      <c r="V680" s="7"/>
      <c r="W680" s="7"/>
      <c r="X680" s="7"/>
      <c r="Y680" s="7"/>
      <c r="Z680" s="7"/>
    </row>
    <row r="681" ht="13.5" customHeight="1">
      <c r="A681" s="7"/>
      <c r="B681" s="7"/>
      <c r="C681" s="7"/>
      <c r="D681" s="7"/>
      <c r="E681" s="7"/>
      <c r="F681" s="7"/>
      <c r="G681" s="7"/>
      <c r="H681" s="7"/>
      <c r="I681" s="7"/>
      <c r="J681" s="7"/>
      <c r="K681" s="7"/>
      <c r="L681" s="7"/>
      <c r="M681" s="7"/>
      <c r="N681" s="7"/>
      <c r="O681" s="7"/>
      <c r="P681" s="7"/>
      <c r="Q681" s="7"/>
      <c r="R681" s="7"/>
      <c r="S681" s="7"/>
      <c r="T681" s="7"/>
      <c r="U681" s="7"/>
      <c r="V681" s="7"/>
      <c r="W681" s="7"/>
      <c r="X681" s="7"/>
      <c r="Y681" s="7"/>
      <c r="Z681" s="7"/>
    </row>
    <row r="682" ht="13.5" customHeight="1">
      <c r="A682" s="7"/>
      <c r="B682" s="7"/>
      <c r="C682" s="7"/>
      <c r="D682" s="7"/>
      <c r="E682" s="7"/>
      <c r="F682" s="7"/>
      <c r="G682" s="7"/>
      <c r="H682" s="7"/>
      <c r="I682" s="7"/>
      <c r="J682" s="7"/>
      <c r="K682" s="7"/>
      <c r="L682" s="7"/>
      <c r="M682" s="7"/>
      <c r="N682" s="7"/>
      <c r="O682" s="7"/>
      <c r="P682" s="7"/>
      <c r="Q682" s="7"/>
      <c r="R682" s="7"/>
      <c r="S682" s="7"/>
      <c r="T682" s="7"/>
      <c r="U682" s="7"/>
      <c r="V682" s="7"/>
      <c r="W682" s="7"/>
      <c r="X682" s="7"/>
      <c r="Y682" s="7"/>
      <c r="Z682" s="7"/>
    </row>
    <row r="683" ht="13.5" customHeight="1">
      <c r="A683" s="7"/>
      <c r="B683" s="7"/>
      <c r="C683" s="7"/>
      <c r="D683" s="7"/>
      <c r="E683" s="7"/>
      <c r="F683" s="7"/>
      <c r="G683" s="7"/>
      <c r="H683" s="7"/>
      <c r="I683" s="7"/>
      <c r="J683" s="7"/>
      <c r="K683" s="7"/>
      <c r="L683" s="7"/>
      <c r="M683" s="7"/>
      <c r="N683" s="7"/>
      <c r="O683" s="7"/>
      <c r="P683" s="7"/>
      <c r="Q683" s="7"/>
      <c r="R683" s="7"/>
      <c r="S683" s="7"/>
      <c r="T683" s="7"/>
      <c r="U683" s="7"/>
      <c r="V683" s="7"/>
      <c r="W683" s="7"/>
      <c r="X683" s="7"/>
      <c r="Y683" s="7"/>
      <c r="Z683" s="7"/>
    </row>
    <row r="684" ht="13.5" customHeight="1">
      <c r="A684" s="7"/>
      <c r="B684" s="7"/>
      <c r="C684" s="7"/>
      <c r="D684" s="7"/>
      <c r="E684" s="7"/>
      <c r="F684" s="7"/>
      <c r="G684" s="7"/>
      <c r="H684" s="7"/>
      <c r="I684" s="7"/>
      <c r="J684" s="7"/>
      <c r="K684" s="7"/>
      <c r="L684" s="7"/>
      <c r="M684" s="7"/>
      <c r="N684" s="7"/>
      <c r="O684" s="7"/>
      <c r="P684" s="7"/>
      <c r="Q684" s="7"/>
      <c r="R684" s="7"/>
      <c r="S684" s="7"/>
      <c r="T684" s="7"/>
      <c r="U684" s="7"/>
      <c r="V684" s="7"/>
      <c r="W684" s="7"/>
      <c r="X684" s="7"/>
      <c r="Y684" s="7"/>
      <c r="Z684" s="7"/>
    </row>
    <row r="685" ht="13.5" customHeight="1">
      <c r="A685" s="7"/>
      <c r="B685" s="7"/>
      <c r="C685" s="7"/>
      <c r="D685" s="7"/>
      <c r="E685" s="7"/>
      <c r="F685" s="7"/>
      <c r="G685" s="7"/>
      <c r="H685" s="7"/>
      <c r="I685" s="7"/>
      <c r="J685" s="7"/>
      <c r="K685" s="7"/>
      <c r="L685" s="7"/>
      <c r="M685" s="7"/>
      <c r="N685" s="7"/>
      <c r="O685" s="7"/>
      <c r="P685" s="7"/>
      <c r="Q685" s="7"/>
      <c r="R685" s="7"/>
      <c r="S685" s="7"/>
      <c r="T685" s="7"/>
      <c r="U685" s="7"/>
      <c r="V685" s="7"/>
      <c r="W685" s="7"/>
      <c r="X685" s="7"/>
      <c r="Y685" s="7"/>
      <c r="Z685" s="7"/>
    </row>
    <row r="686" ht="13.5" customHeight="1">
      <c r="A686" s="7"/>
      <c r="B686" s="7"/>
      <c r="C686" s="7"/>
      <c r="D686" s="7"/>
      <c r="E686" s="7"/>
      <c r="F686" s="7"/>
      <c r="G686" s="7"/>
      <c r="H686" s="7"/>
      <c r="I686" s="7"/>
      <c r="J686" s="7"/>
      <c r="K686" s="7"/>
      <c r="L686" s="7"/>
      <c r="M686" s="7"/>
      <c r="N686" s="7"/>
      <c r="O686" s="7"/>
      <c r="P686" s="7"/>
      <c r="Q686" s="7"/>
      <c r="R686" s="7"/>
      <c r="S686" s="7"/>
      <c r="T686" s="7"/>
      <c r="U686" s="7"/>
      <c r="V686" s="7"/>
      <c r="W686" s="7"/>
      <c r="X686" s="7"/>
      <c r="Y686" s="7"/>
      <c r="Z686" s="7"/>
    </row>
    <row r="687" ht="13.5" customHeight="1">
      <c r="A687" s="7"/>
      <c r="B687" s="7"/>
      <c r="C687" s="7"/>
      <c r="D687" s="7"/>
      <c r="E687" s="7"/>
      <c r="F687" s="7"/>
      <c r="G687" s="7"/>
      <c r="H687" s="7"/>
      <c r="I687" s="7"/>
      <c r="J687" s="7"/>
      <c r="K687" s="7"/>
      <c r="L687" s="7"/>
      <c r="M687" s="7"/>
      <c r="N687" s="7"/>
      <c r="O687" s="7"/>
      <c r="P687" s="7"/>
      <c r="Q687" s="7"/>
      <c r="R687" s="7"/>
      <c r="S687" s="7"/>
      <c r="T687" s="7"/>
      <c r="U687" s="7"/>
      <c r="V687" s="7"/>
      <c r="W687" s="7"/>
      <c r="X687" s="7"/>
      <c r="Y687" s="7"/>
      <c r="Z687" s="7"/>
    </row>
    <row r="688" ht="13.5" customHeight="1">
      <c r="A688" s="7"/>
      <c r="B688" s="7"/>
      <c r="C688" s="7"/>
      <c r="D688" s="7"/>
      <c r="E688" s="7"/>
      <c r="F688" s="7"/>
      <c r="G688" s="7"/>
      <c r="H688" s="7"/>
      <c r="I688" s="7"/>
      <c r="J688" s="7"/>
      <c r="K688" s="7"/>
      <c r="L688" s="7"/>
      <c r="M688" s="7"/>
      <c r="N688" s="7"/>
      <c r="O688" s="7"/>
      <c r="P688" s="7"/>
      <c r="Q688" s="7"/>
      <c r="R688" s="7"/>
      <c r="S688" s="7"/>
      <c r="T688" s="7"/>
      <c r="U688" s="7"/>
      <c r="V688" s="7"/>
      <c r="W688" s="7"/>
      <c r="X688" s="7"/>
      <c r="Y688" s="7"/>
      <c r="Z688" s="7"/>
    </row>
    <row r="689" ht="13.5" customHeight="1">
      <c r="A689" s="7"/>
      <c r="B689" s="7"/>
      <c r="C689" s="7"/>
      <c r="D689" s="7"/>
      <c r="E689" s="7"/>
      <c r="F689" s="7"/>
      <c r="G689" s="7"/>
      <c r="H689" s="7"/>
      <c r="I689" s="7"/>
      <c r="J689" s="7"/>
      <c r="K689" s="7"/>
      <c r="L689" s="7"/>
      <c r="M689" s="7"/>
      <c r="N689" s="7"/>
      <c r="O689" s="7"/>
      <c r="P689" s="7"/>
      <c r="Q689" s="7"/>
      <c r="R689" s="7"/>
      <c r="S689" s="7"/>
      <c r="T689" s="7"/>
      <c r="U689" s="7"/>
      <c r="V689" s="7"/>
      <c r="W689" s="7"/>
      <c r="X689" s="7"/>
      <c r="Y689" s="7"/>
      <c r="Z689" s="7"/>
    </row>
    <row r="690" ht="13.5" customHeight="1">
      <c r="A690" s="7"/>
      <c r="B690" s="7"/>
      <c r="C690" s="7"/>
      <c r="D690" s="7"/>
      <c r="E690" s="7"/>
      <c r="F690" s="7"/>
      <c r="G690" s="7"/>
      <c r="H690" s="7"/>
      <c r="I690" s="7"/>
      <c r="J690" s="7"/>
      <c r="K690" s="7"/>
      <c r="L690" s="7"/>
      <c r="M690" s="7"/>
      <c r="N690" s="7"/>
      <c r="O690" s="7"/>
      <c r="P690" s="7"/>
      <c r="Q690" s="7"/>
      <c r="R690" s="7"/>
      <c r="S690" s="7"/>
      <c r="T690" s="7"/>
      <c r="U690" s="7"/>
      <c r="V690" s="7"/>
      <c r="W690" s="7"/>
      <c r="X690" s="7"/>
      <c r="Y690" s="7"/>
      <c r="Z690" s="7"/>
    </row>
    <row r="691" ht="13.5" customHeight="1">
      <c r="A691" s="7"/>
      <c r="B691" s="7"/>
      <c r="C691" s="7"/>
      <c r="D691" s="7"/>
      <c r="E691" s="7"/>
      <c r="F691" s="7"/>
      <c r="G691" s="7"/>
      <c r="H691" s="7"/>
      <c r="I691" s="7"/>
      <c r="J691" s="7"/>
      <c r="K691" s="7"/>
      <c r="L691" s="7"/>
      <c r="M691" s="7"/>
      <c r="N691" s="7"/>
      <c r="O691" s="7"/>
      <c r="P691" s="7"/>
      <c r="Q691" s="7"/>
      <c r="R691" s="7"/>
      <c r="S691" s="7"/>
      <c r="T691" s="7"/>
      <c r="U691" s="7"/>
      <c r="V691" s="7"/>
      <c r="W691" s="7"/>
      <c r="X691" s="7"/>
      <c r="Y691" s="7"/>
      <c r="Z691" s="7"/>
    </row>
    <row r="692" ht="13.5" customHeight="1">
      <c r="A692" s="7"/>
      <c r="B692" s="7"/>
      <c r="C692" s="7"/>
      <c r="D692" s="7"/>
      <c r="E692" s="7"/>
      <c r="F692" s="7"/>
      <c r="G692" s="7"/>
      <c r="H692" s="7"/>
      <c r="I692" s="7"/>
      <c r="J692" s="7"/>
      <c r="K692" s="7"/>
      <c r="L692" s="7"/>
      <c r="M692" s="7"/>
      <c r="N692" s="7"/>
      <c r="O692" s="7"/>
      <c r="P692" s="7"/>
      <c r="Q692" s="7"/>
      <c r="R692" s="7"/>
      <c r="S692" s="7"/>
      <c r="T692" s="7"/>
      <c r="U692" s="7"/>
      <c r="V692" s="7"/>
      <c r="W692" s="7"/>
      <c r="X692" s="7"/>
      <c r="Y692" s="7"/>
      <c r="Z692" s="7"/>
    </row>
    <row r="693" ht="13.5" customHeight="1">
      <c r="A693" s="7"/>
      <c r="B693" s="7"/>
      <c r="C693" s="7"/>
      <c r="D693" s="7"/>
      <c r="E693" s="7"/>
      <c r="F693" s="7"/>
      <c r="G693" s="7"/>
      <c r="H693" s="7"/>
      <c r="I693" s="7"/>
      <c r="J693" s="7"/>
      <c r="K693" s="7"/>
      <c r="L693" s="7"/>
      <c r="M693" s="7"/>
      <c r="N693" s="7"/>
      <c r="O693" s="7"/>
      <c r="P693" s="7"/>
      <c r="Q693" s="7"/>
      <c r="R693" s="7"/>
      <c r="S693" s="7"/>
      <c r="T693" s="7"/>
      <c r="U693" s="7"/>
      <c r="V693" s="7"/>
      <c r="W693" s="7"/>
      <c r="X693" s="7"/>
      <c r="Y693" s="7"/>
      <c r="Z693" s="7"/>
    </row>
    <row r="694" ht="13.5" customHeight="1">
      <c r="A694" s="7"/>
      <c r="B694" s="7"/>
      <c r="C694" s="7"/>
      <c r="D694" s="7"/>
      <c r="E694" s="7"/>
      <c r="F694" s="7"/>
      <c r="G694" s="7"/>
      <c r="H694" s="7"/>
      <c r="I694" s="7"/>
      <c r="J694" s="7"/>
      <c r="K694" s="7"/>
      <c r="L694" s="7"/>
      <c r="M694" s="7"/>
      <c r="N694" s="7"/>
      <c r="O694" s="7"/>
      <c r="P694" s="7"/>
      <c r="Q694" s="7"/>
      <c r="R694" s="7"/>
      <c r="S694" s="7"/>
      <c r="T694" s="7"/>
      <c r="U694" s="7"/>
      <c r="V694" s="7"/>
      <c r="W694" s="7"/>
      <c r="X694" s="7"/>
      <c r="Y694" s="7"/>
      <c r="Z694" s="7"/>
    </row>
    <row r="695" ht="13.5" customHeight="1">
      <c r="A695" s="7"/>
      <c r="B695" s="7"/>
      <c r="C695" s="7"/>
      <c r="D695" s="7"/>
      <c r="E695" s="7"/>
      <c r="F695" s="7"/>
      <c r="G695" s="7"/>
      <c r="H695" s="7"/>
      <c r="I695" s="7"/>
      <c r="J695" s="7"/>
      <c r="K695" s="7"/>
      <c r="L695" s="7"/>
      <c r="M695" s="7"/>
      <c r="N695" s="7"/>
      <c r="O695" s="7"/>
      <c r="P695" s="7"/>
      <c r="Q695" s="7"/>
      <c r="R695" s="7"/>
      <c r="S695" s="7"/>
      <c r="T695" s="7"/>
      <c r="U695" s="7"/>
      <c r="V695" s="7"/>
      <c r="W695" s="7"/>
      <c r="X695" s="7"/>
      <c r="Y695" s="7"/>
      <c r="Z695" s="7"/>
    </row>
    <row r="696" ht="13.5" customHeight="1">
      <c r="A696" s="7"/>
      <c r="B696" s="7"/>
      <c r="C696" s="7"/>
      <c r="D696" s="7"/>
      <c r="E696" s="7"/>
      <c r="F696" s="7"/>
      <c r="G696" s="7"/>
      <c r="H696" s="7"/>
      <c r="I696" s="7"/>
      <c r="J696" s="7"/>
      <c r="K696" s="7"/>
      <c r="L696" s="7"/>
      <c r="M696" s="7"/>
      <c r="N696" s="7"/>
      <c r="O696" s="7"/>
      <c r="P696" s="7"/>
      <c r="Q696" s="7"/>
      <c r="R696" s="7"/>
      <c r="S696" s="7"/>
      <c r="T696" s="7"/>
      <c r="U696" s="7"/>
      <c r="V696" s="7"/>
      <c r="W696" s="7"/>
      <c r="X696" s="7"/>
      <c r="Y696" s="7"/>
      <c r="Z696" s="7"/>
    </row>
    <row r="697" ht="13.5" customHeight="1">
      <c r="A697" s="7"/>
      <c r="B697" s="7"/>
      <c r="C697" s="7"/>
      <c r="D697" s="7"/>
      <c r="E697" s="7"/>
      <c r="F697" s="7"/>
      <c r="G697" s="7"/>
      <c r="H697" s="7"/>
      <c r="I697" s="7"/>
      <c r="J697" s="7"/>
      <c r="K697" s="7"/>
      <c r="L697" s="7"/>
      <c r="M697" s="7"/>
      <c r="N697" s="7"/>
      <c r="O697" s="7"/>
      <c r="P697" s="7"/>
      <c r="Q697" s="7"/>
      <c r="R697" s="7"/>
      <c r="S697" s="7"/>
      <c r="T697" s="7"/>
      <c r="U697" s="7"/>
      <c r="V697" s="7"/>
      <c r="W697" s="7"/>
      <c r="X697" s="7"/>
      <c r="Y697" s="7"/>
      <c r="Z697" s="7"/>
    </row>
    <row r="698" ht="13.5" customHeight="1">
      <c r="A698" s="7"/>
      <c r="B698" s="7"/>
      <c r="C698" s="7"/>
      <c r="D698" s="7"/>
      <c r="E698" s="7"/>
      <c r="F698" s="7"/>
      <c r="G698" s="7"/>
      <c r="H698" s="7"/>
      <c r="I698" s="7"/>
      <c r="J698" s="7"/>
      <c r="K698" s="7"/>
      <c r="L698" s="7"/>
      <c r="M698" s="7"/>
      <c r="N698" s="7"/>
      <c r="O698" s="7"/>
      <c r="P698" s="7"/>
      <c r="Q698" s="7"/>
      <c r="R698" s="7"/>
      <c r="S698" s="7"/>
      <c r="T698" s="7"/>
      <c r="U698" s="7"/>
      <c r="V698" s="7"/>
      <c r="W698" s="7"/>
      <c r="X698" s="7"/>
      <c r="Y698" s="7"/>
      <c r="Z698" s="7"/>
    </row>
    <row r="699" ht="13.5" customHeight="1">
      <c r="A699" s="7"/>
      <c r="B699" s="7"/>
      <c r="C699" s="7"/>
      <c r="D699" s="7"/>
      <c r="E699" s="7"/>
      <c r="F699" s="7"/>
      <c r="G699" s="7"/>
      <c r="H699" s="7"/>
      <c r="I699" s="7"/>
      <c r="J699" s="7"/>
      <c r="K699" s="7"/>
      <c r="L699" s="7"/>
      <c r="M699" s="7"/>
      <c r="N699" s="7"/>
      <c r="O699" s="7"/>
      <c r="P699" s="7"/>
      <c r="Q699" s="7"/>
      <c r="R699" s="7"/>
      <c r="S699" s="7"/>
      <c r="T699" s="7"/>
      <c r="U699" s="7"/>
      <c r="V699" s="7"/>
      <c r="W699" s="7"/>
      <c r="X699" s="7"/>
      <c r="Y699" s="7"/>
      <c r="Z699" s="7"/>
    </row>
    <row r="700" ht="13.5" customHeight="1">
      <c r="A700" s="7"/>
      <c r="B700" s="7"/>
      <c r="C700" s="7"/>
      <c r="D700" s="7"/>
      <c r="E700" s="7"/>
      <c r="F700" s="7"/>
      <c r="G700" s="7"/>
      <c r="H700" s="7"/>
      <c r="I700" s="7"/>
      <c r="J700" s="7"/>
      <c r="K700" s="7"/>
      <c r="L700" s="7"/>
      <c r="M700" s="7"/>
      <c r="N700" s="7"/>
      <c r="O700" s="7"/>
      <c r="P700" s="7"/>
      <c r="Q700" s="7"/>
      <c r="R700" s="7"/>
      <c r="S700" s="7"/>
      <c r="T700" s="7"/>
      <c r="U700" s="7"/>
      <c r="V700" s="7"/>
      <c r="W700" s="7"/>
      <c r="X700" s="7"/>
      <c r="Y700" s="7"/>
      <c r="Z700" s="7"/>
    </row>
    <row r="701" ht="13.5" customHeight="1">
      <c r="A701" s="7"/>
      <c r="B701" s="7"/>
      <c r="C701" s="7"/>
      <c r="D701" s="7"/>
      <c r="E701" s="7"/>
      <c r="F701" s="7"/>
      <c r="G701" s="7"/>
      <c r="H701" s="7"/>
      <c r="I701" s="7"/>
      <c r="J701" s="7"/>
      <c r="K701" s="7"/>
      <c r="L701" s="7"/>
      <c r="M701" s="7"/>
      <c r="N701" s="7"/>
      <c r="O701" s="7"/>
      <c r="P701" s="7"/>
      <c r="Q701" s="7"/>
      <c r="R701" s="7"/>
      <c r="S701" s="7"/>
      <c r="T701" s="7"/>
      <c r="U701" s="7"/>
      <c r="V701" s="7"/>
      <c r="W701" s="7"/>
      <c r="X701" s="7"/>
      <c r="Y701" s="7"/>
      <c r="Z701" s="7"/>
    </row>
    <row r="702" ht="13.5" customHeight="1">
      <c r="A702" s="7"/>
      <c r="B702" s="7"/>
      <c r="C702" s="7"/>
      <c r="D702" s="7"/>
      <c r="E702" s="7"/>
      <c r="F702" s="7"/>
      <c r="G702" s="7"/>
      <c r="H702" s="7"/>
      <c r="I702" s="7"/>
      <c r="J702" s="7"/>
      <c r="K702" s="7"/>
      <c r="L702" s="7"/>
      <c r="M702" s="7"/>
      <c r="N702" s="7"/>
      <c r="O702" s="7"/>
      <c r="P702" s="7"/>
      <c r="Q702" s="7"/>
      <c r="R702" s="7"/>
      <c r="S702" s="7"/>
      <c r="T702" s="7"/>
      <c r="U702" s="7"/>
      <c r="V702" s="7"/>
      <c r="W702" s="7"/>
      <c r="X702" s="7"/>
      <c r="Y702" s="7"/>
      <c r="Z702" s="7"/>
    </row>
    <row r="703" ht="13.5" customHeight="1">
      <c r="A703" s="7"/>
      <c r="B703" s="7"/>
      <c r="C703" s="7"/>
      <c r="D703" s="7"/>
      <c r="E703" s="7"/>
      <c r="F703" s="7"/>
      <c r="G703" s="7"/>
      <c r="H703" s="7"/>
      <c r="I703" s="7"/>
      <c r="J703" s="7"/>
      <c r="K703" s="7"/>
      <c r="L703" s="7"/>
      <c r="M703" s="7"/>
      <c r="N703" s="7"/>
      <c r="O703" s="7"/>
      <c r="P703" s="7"/>
      <c r="Q703" s="7"/>
      <c r="R703" s="7"/>
      <c r="S703" s="7"/>
      <c r="T703" s="7"/>
      <c r="U703" s="7"/>
      <c r="V703" s="7"/>
      <c r="W703" s="7"/>
      <c r="X703" s="7"/>
      <c r="Y703" s="7"/>
      <c r="Z703" s="7"/>
    </row>
    <row r="704" ht="13.5" customHeight="1">
      <c r="A704" s="7"/>
      <c r="B704" s="7"/>
      <c r="C704" s="7"/>
      <c r="D704" s="7"/>
      <c r="E704" s="7"/>
      <c r="F704" s="7"/>
      <c r="G704" s="7"/>
      <c r="H704" s="7"/>
      <c r="I704" s="7"/>
      <c r="J704" s="7"/>
      <c r="K704" s="7"/>
      <c r="L704" s="7"/>
      <c r="M704" s="7"/>
      <c r="N704" s="7"/>
      <c r="O704" s="7"/>
      <c r="P704" s="7"/>
      <c r="Q704" s="7"/>
      <c r="R704" s="7"/>
      <c r="S704" s="7"/>
      <c r="T704" s="7"/>
      <c r="U704" s="7"/>
      <c r="V704" s="7"/>
      <c r="W704" s="7"/>
      <c r="X704" s="7"/>
      <c r="Y704" s="7"/>
      <c r="Z704" s="7"/>
    </row>
    <row r="705" ht="13.5" customHeight="1">
      <c r="A705" s="7"/>
      <c r="B705" s="7"/>
      <c r="C705" s="7"/>
      <c r="D705" s="7"/>
      <c r="E705" s="7"/>
      <c r="F705" s="7"/>
      <c r="G705" s="7"/>
      <c r="H705" s="7"/>
      <c r="I705" s="7"/>
      <c r="J705" s="7"/>
      <c r="K705" s="7"/>
      <c r="L705" s="7"/>
      <c r="M705" s="7"/>
      <c r="N705" s="7"/>
      <c r="O705" s="7"/>
      <c r="P705" s="7"/>
      <c r="Q705" s="7"/>
      <c r="R705" s="7"/>
      <c r="S705" s="7"/>
      <c r="T705" s="7"/>
      <c r="U705" s="7"/>
      <c r="V705" s="7"/>
      <c r="W705" s="7"/>
      <c r="X705" s="7"/>
      <c r="Y705" s="7"/>
      <c r="Z705" s="7"/>
    </row>
    <row r="706" ht="13.5" customHeight="1">
      <c r="A706" s="7"/>
      <c r="B706" s="7"/>
      <c r="C706" s="7"/>
      <c r="D706" s="7"/>
      <c r="E706" s="7"/>
      <c r="F706" s="7"/>
      <c r="G706" s="7"/>
      <c r="H706" s="7"/>
      <c r="I706" s="7"/>
      <c r="J706" s="7"/>
      <c r="K706" s="7"/>
      <c r="L706" s="7"/>
      <c r="M706" s="7"/>
      <c r="N706" s="7"/>
      <c r="O706" s="7"/>
      <c r="P706" s="7"/>
      <c r="Q706" s="7"/>
      <c r="R706" s="7"/>
      <c r="S706" s="7"/>
      <c r="T706" s="7"/>
      <c r="U706" s="7"/>
      <c r="V706" s="7"/>
      <c r="W706" s="7"/>
      <c r="X706" s="7"/>
      <c r="Y706" s="7"/>
      <c r="Z706" s="7"/>
    </row>
    <row r="707" ht="13.5" customHeight="1">
      <c r="A707" s="7"/>
      <c r="B707" s="7"/>
      <c r="C707" s="7"/>
      <c r="D707" s="7"/>
      <c r="E707" s="7"/>
      <c r="F707" s="7"/>
      <c r="G707" s="7"/>
      <c r="H707" s="7"/>
      <c r="I707" s="7"/>
      <c r="J707" s="7"/>
      <c r="K707" s="7"/>
      <c r="L707" s="7"/>
      <c r="M707" s="7"/>
      <c r="N707" s="7"/>
      <c r="O707" s="7"/>
      <c r="P707" s="7"/>
      <c r="Q707" s="7"/>
      <c r="R707" s="7"/>
      <c r="S707" s="7"/>
      <c r="T707" s="7"/>
      <c r="U707" s="7"/>
      <c r="V707" s="7"/>
      <c r="W707" s="7"/>
      <c r="X707" s="7"/>
      <c r="Y707" s="7"/>
      <c r="Z707" s="7"/>
    </row>
    <row r="708" ht="13.5" customHeight="1">
      <c r="A708" s="7"/>
      <c r="B708" s="7"/>
      <c r="C708" s="7"/>
      <c r="D708" s="7"/>
      <c r="E708" s="7"/>
      <c r="F708" s="7"/>
      <c r="G708" s="7"/>
      <c r="H708" s="7"/>
      <c r="I708" s="7"/>
      <c r="J708" s="7"/>
      <c r="K708" s="7"/>
      <c r="L708" s="7"/>
      <c r="M708" s="7"/>
      <c r="N708" s="7"/>
      <c r="O708" s="7"/>
      <c r="P708" s="7"/>
      <c r="Q708" s="7"/>
      <c r="R708" s="7"/>
      <c r="S708" s="7"/>
      <c r="T708" s="7"/>
      <c r="U708" s="7"/>
      <c r="V708" s="7"/>
      <c r="W708" s="7"/>
      <c r="X708" s="7"/>
      <c r="Y708" s="7"/>
      <c r="Z708" s="7"/>
    </row>
    <row r="709" ht="13.5" customHeight="1">
      <c r="A709" s="7"/>
      <c r="B709" s="7"/>
      <c r="C709" s="7"/>
      <c r="D709" s="7"/>
      <c r="E709" s="7"/>
      <c r="F709" s="7"/>
      <c r="G709" s="7"/>
      <c r="H709" s="7"/>
      <c r="I709" s="7"/>
      <c r="J709" s="7"/>
      <c r="K709" s="7"/>
      <c r="L709" s="7"/>
      <c r="M709" s="7"/>
      <c r="N709" s="7"/>
      <c r="O709" s="7"/>
      <c r="P709" s="7"/>
      <c r="Q709" s="7"/>
      <c r="R709" s="7"/>
      <c r="S709" s="7"/>
      <c r="T709" s="7"/>
      <c r="U709" s="7"/>
      <c r="V709" s="7"/>
      <c r="W709" s="7"/>
      <c r="X709" s="7"/>
      <c r="Y709" s="7"/>
      <c r="Z709" s="7"/>
    </row>
    <row r="710" ht="13.5" customHeight="1">
      <c r="A710" s="7"/>
      <c r="B710" s="7"/>
      <c r="C710" s="7"/>
      <c r="D710" s="7"/>
      <c r="E710" s="7"/>
      <c r="F710" s="7"/>
      <c r="G710" s="7"/>
      <c r="H710" s="7"/>
      <c r="I710" s="7"/>
      <c r="J710" s="7"/>
      <c r="K710" s="7"/>
      <c r="L710" s="7"/>
      <c r="M710" s="7"/>
      <c r="N710" s="7"/>
      <c r="O710" s="7"/>
      <c r="P710" s="7"/>
      <c r="Q710" s="7"/>
      <c r="R710" s="7"/>
      <c r="S710" s="7"/>
      <c r="T710" s="7"/>
      <c r="U710" s="7"/>
      <c r="V710" s="7"/>
      <c r="W710" s="7"/>
      <c r="X710" s="7"/>
      <c r="Y710" s="7"/>
      <c r="Z710" s="7"/>
    </row>
    <row r="711" ht="13.5" customHeight="1">
      <c r="A711" s="7"/>
      <c r="B711" s="7"/>
      <c r="C711" s="7"/>
      <c r="D711" s="7"/>
      <c r="E711" s="7"/>
      <c r="F711" s="7"/>
      <c r="G711" s="7"/>
      <c r="H711" s="7"/>
      <c r="I711" s="7"/>
      <c r="J711" s="7"/>
      <c r="K711" s="7"/>
      <c r="L711" s="7"/>
      <c r="M711" s="7"/>
      <c r="N711" s="7"/>
      <c r="O711" s="7"/>
      <c r="P711" s="7"/>
      <c r="Q711" s="7"/>
      <c r="R711" s="7"/>
      <c r="S711" s="7"/>
      <c r="T711" s="7"/>
      <c r="U711" s="7"/>
      <c r="V711" s="7"/>
      <c r="W711" s="7"/>
      <c r="X711" s="7"/>
      <c r="Y711" s="7"/>
      <c r="Z711" s="7"/>
    </row>
    <row r="712" ht="13.5" customHeight="1">
      <c r="A712" s="7"/>
      <c r="B712" s="7"/>
      <c r="C712" s="7"/>
      <c r="D712" s="7"/>
      <c r="E712" s="7"/>
      <c r="F712" s="7"/>
      <c r="G712" s="7"/>
      <c r="H712" s="7"/>
      <c r="I712" s="7"/>
      <c r="J712" s="7"/>
      <c r="K712" s="7"/>
      <c r="L712" s="7"/>
      <c r="M712" s="7"/>
      <c r="N712" s="7"/>
      <c r="O712" s="7"/>
      <c r="P712" s="7"/>
      <c r="Q712" s="7"/>
      <c r="R712" s="7"/>
      <c r="S712" s="7"/>
      <c r="T712" s="7"/>
      <c r="U712" s="7"/>
      <c r="V712" s="7"/>
      <c r="W712" s="7"/>
      <c r="X712" s="7"/>
      <c r="Y712" s="7"/>
      <c r="Z712" s="7"/>
    </row>
    <row r="713" ht="13.5" customHeight="1">
      <c r="A713" s="7"/>
      <c r="B713" s="7"/>
      <c r="C713" s="7"/>
      <c r="D713" s="7"/>
      <c r="E713" s="7"/>
      <c r="F713" s="7"/>
      <c r="G713" s="7"/>
      <c r="H713" s="7"/>
      <c r="I713" s="7"/>
      <c r="J713" s="7"/>
      <c r="K713" s="7"/>
      <c r="L713" s="7"/>
      <c r="M713" s="7"/>
      <c r="N713" s="7"/>
      <c r="O713" s="7"/>
      <c r="P713" s="7"/>
      <c r="Q713" s="7"/>
      <c r="R713" s="7"/>
      <c r="S713" s="7"/>
      <c r="T713" s="7"/>
      <c r="U713" s="7"/>
      <c r="V713" s="7"/>
      <c r="W713" s="7"/>
      <c r="X713" s="7"/>
      <c r="Y713" s="7"/>
      <c r="Z713" s="7"/>
    </row>
    <row r="714" ht="13.5" customHeight="1">
      <c r="A714" s="7"/>
      <c r="B714" s="7"/>
      <c r="C714" s="7"/>
      <c r="D714" s="7"/>
      <c r="E714" s="7"/>
      <c r="F714" s="7"/>
      <c r="G714" s="7"/>
      <c r="H714" s="7"/>
      <c r="I714" s="7"/>
      <c r="J714" s="7"/>
      <c r="K714" s="7"/>
      <c r="L714" s="7"/>
      <c r="M714" s="7"/>
      <c r="N714" s="7"/>
      <c r="O714" s="7"/>
      <c r="P714" s="7"/>
      <c r="Q714" s="7"/>
      <c r="R714" s="7"/>
      <c r="S714" s="7"/>
      <c r="T714" s="7"/>
      <c r="U714" s="7"/>
      <c r="V714" s="7"/>
      <c r="W714" s="7"/>
      <c r="X714" s="7"/>
      <c r="Y714" s="7"/>
      <c r="Z714" s="7"/>
    </row>
    <row r="715" ht="13.5" customHeight="1">
      <c r="A715" s="7"/>
      <c r="B715" s="7"/>
      <c r="C715" s="7"/>
      <c r="D715" s="7"/>
      <c r="E715" s="7"/>
      <c r="F715" s="7"/>
      <c r="G715" s="7"/>
      <c r="H715" s="7"/>
      <c r="I715" s="7"/>
      <c r="J715" s="7"/>
      <c r="K715" s="7"/>
      <c r="L715" s="7"/>
      <c r="M715" s="7"/>
      <c r="N715" s="7"/>
      <c r="O715" s="7"/>
      <c r="P715" s="7"/>
      <c r="Q715" s="7"/>
      <c r="R715" s="7"/>
      <c r="S715" s="7"/>
      <c r="T715" s="7"/>
      <c r="U715" s="7"/>
      <c r="V715" s="7"/>
      <c r="W715" s="7"/>
      <c r="X715" s="7"/>
      <c r="Y715" s="7"/>
      <c r="Z715" s="7"/>
    </row>
    <row r="716" ht="13.5" customHeight="1">
      <c r="A716" s="7"/>
      <c r="B716" s="7"/>
      <c r="C716" s="7"/>
      <c r="D716" s="7"/>
      <c r="E716" s="7"/>
      <c r="F716" s="7"/>
      <c r="G716" s="7"/>
      <c r="H716" s="7"/>
      <c r="I716" s="7"/>
      <c r="J716" s="7"/>
      <c r="K716" s="7"/>
      <c r="L716" s="7"/>
      <c r="M716" s="7"/>
      <c r="N716" s="7"/>
      <c r="O716" s="7"/>
      <c r="P716" s="7"/>
      <c r="Q716" s="7"/>
      <c r="R716" s="7"/>
      <c r="S716" s="7"/>
      <c r="T716" s="7"/>
      <c r="U716" s="7"/>
      <c r="V716" s="7"/>
      <c r="W716" s="7"/>
      <c r="X716" s="7"/>
      <c r="Y716" s="7"/>
      <c r="Z716" s="7"/>
    </row>
    <row r="717" ht="13.5" customHeight="1">
      <c r="A717" s="7"/>
      <c r="B717" s="7"/>
      <c r="C717" s="7"/>
      <c r="D717" s="7"/>
      <c r="E717" s="7"/>
      <c r="F717" s="7"/>
      <c r="G717" s="7"/>
      <c r="H717" s="7"/>
      <c r="I717" s="7"/>
      <c r="J717" s="7"/>
      <c r="K717" s="7"/>
      <c r="L717" s="7"/>
      <c r="M717" s="7"/>
      <c r="N717" s="7"/>
      <c r="O717" s="7"/>
      <c r="P717" s="7"/>
      <c r="Q717" s="7"/>
      <c r="R717" s="7"/>
      <c r="S717" s="7"/>
      <c r="T717" s="7"/>
      <c r="U717" s="7"/>
      <c r="V717" s="7"/>
      <c r="W717" s="7"/>
      <c r="X717" s="7"/>
      <c r="Y717" s="7"/>
      <c r="Z717" s="7"/>
    </row>
    <row r="718" ht="13.5" customHeight="1">
      <c r="A718" s="7"/>
      <c r="B718" s="7"/>
      <c r="C718" s="7"/>
      <c r="D718" s="7"/>
      <c r="E718" s="7"/>
      <c r="F718" s="7"/>
      <c r="G718" s="7"/>
      <c r="H718" s="7"/>
      <c r="I718" s="7"/>
      <c r="J718" s="7"/>
      <c r="K718" s="7"/>
      <c r="L718" s="7"/>
      <c r="M718" s="7"/>
      <c r="N718" s="7"/>
      <c r="O718" s="7"/>
      <c r="P718" s="7"/>
      <c r="Q718" s="7"/>
      <c r="R718" s="7"/>
      <c r="S718" s="7"/>
      <c r="T718" s="7"/>
      <c r="U718" s="7"/>
      <c r="V718" s="7"/>
      <c r="W718" s="7"/>
      <c r="X718" s="7"/>
      <c r="Y718" s="7"/>
      <c r="Z718" s="7"/>
    </row>
    <row r="719" ht="13.5" customHeight="1">
      <c r="A719" s="7"/>
      <c r="B719" s="7"/>
      <c r="C719" s="7"/>
      <c r="D719" s="7"/>
      <c r="E719" s="7"/>
      <c r="F719" s="7"/>
      <c r="G719" s="7"/>
      <c r="H719" s="7"/>
      <c r="I719" s="7"/>
      <c r="J719" s="7"/>
      <c r="K719" s="7"/>
      <c r="L719" s="7"/>
      <c r="M719" s="7"/>
      <c r="N719" s="7"/>
      <c r="O719" s="7"/>
      <c r="P719" s="7"/>
      <c r="Q719" s="7"/>
      <c r="R719" s="7"/>
      <c r="S719" s="7"/>
      <c r="T719" s="7"/>
      <c r="U719" s="7"/>
      <c r="V719" s="7"/>
      <c r="W719" s="7"/>
      <c r="X719" s="7"/>
      <c r="Y719" s="7"/>
      <c r="Z719" s="7"/>
    </row>
    <row r="720" ht="13.5" customHeight="1">
      <c r="A720" s="7"/>
      <c r="B720" s="7"/>
      <c r="C720" s="7"/>
      <c r="D720" s="7"/>
      <c r="E720" s="7"/>
      <c r="F720" s="7"/>
      <c r="G720" s="7"/>
      <c r="H720" s="7"/>
      <c r="I720" s="7"/>
      <c r="J720" s="7"/>
      <c r="K720" s="7"/>
      <c r="L720" s="7"/>
      <c r="M720" s="7"/>
      <c r="N720" s="7"/>
      <c r="O720" s="7"/>
      <c r="P720" s="7"/>
      <c r="Q720" s="7"/>
      <c r="R720" s="7"/>
      <c r="S720" s="7"/>
      <c r="T720" s="7"/>
      <c r="U720" s="7"/>
      <c r="V720" s="7"/>
      <c r="W720" s="7"/>
      <c r="X720" s="7"/>
      <c r="Y720" s="7"/>
      <c r="Z720" s="7"/>
    </row>
    <row r="721" ht="13.5" customHeight="1">
      <c r="A721" s="7"/>
      <c r="B721" s="7"/>
      <c r="C721" s="7"/>
      <c r="D721" s="7"/>
      <c r="E721" s="7"/>
      <c r="F721" s="7"/>
      <c r="G721" s="7"/>
      <c r="H721" s="7"/>
      <c r="I721" s="7"/>
      <c r="J721" s="7"/>
      <c r="K721" s="7"/>
      <c r="L721" s="7"/>
      <c r="M721" s="7"/>
      <c r="N721" s="7"/>
      <c r="O721" s="7"/>
      <c r="P721" s="7"/>
      <c r="Q721" s="7"/>
      <c r="R721" s="7"/>
      <c r="S721" s="7"/>
      <c r="T721" s="7"/>
      <c r="U721" s="7"/>
      <c r="V721" s="7"/>
      <c r="W721" s="7"/>
      <c r="X721" s="7"/>
      <c r="Y721" s="7"/>
      <c r="Z721" s="7"/>
    </row>
    <row r="722" ht="13.5" customHeight="1">
      <c r="A722" s="7"/>
      <c r="B722" s="7"/>
      <c r="C722" s="7"/>
      <c r="D722" s="7"/>
      <c r="E722" s="7"/>
      <c r="F722" s="7"/>
      <c r="G722" s="7"/>
      <c r="H722" s="7"/>
      <c r="I722" s="7"/>
      <c r="J722" s="7"/>
      <c r="K722" s="7"/>
      <c r="L722" s="7"/>
      <c r="M722" s="7"/>
      <c r="N722" s="7"/>
      <c r="O722" s="7"/>
      <c r="P722" s="7"/>
      <c r="Q722" s="7"/>
      <c r="R722" s="7"/>
      <c r="S722" s="7"/>
      <c r="T722" s="7"/>
      <c r="U722" s="7"/>
      <c r="V722" s="7"/>
      <c r="W722" s="7"/>
      <c r="X722" s="7"/>
      <c r="Y722" s="7"/>
      <c r="Z722" s="7"/>
    </row>
    <row r="723" ht="13.5" customHeight="1">
      <c r="A723" s="7"/>
      <c r="B723" s="7"/>
      <c r="C723" s="7"/>
      <c r="D723" s="7"/>
      <c r="E723" s="7"/>
      <c r="F723" s="7"/>
      <c r="G723" s="7"/>
      <c r="H723" s="7"/>
      <c r="I723" s="7"/>
      <c r="J723" s="7"/>
      <c r="K723" s="7"/>
      <c r="L723" s="7"/>
      <c r="M723" s="7"/>
      <c r="N723" s="7"/>
      <c r="O723" s="7"/>
      <c r="P723" s="7"/>
      <c r="Q723" s="7"/>
      <c r="R723" s="7"/>
      <c r="S723" s="7"/>
      <c r="T723" s="7"/>
      <c r="U723" s="7"/>
      <c r="V723" s="7"/>
      <c r="W723" s="7"/>
      <c r="X723" s="7"/>
      <c r="Y723" s="7"/>
      <c r="Z723" s="7"/>
    </row>
    <row r="724" ht="13.5" customHeight="1">
      <c r="A724" s="7"/>
      <c r="B724" s="7"/>
      <c r="C724" s="7"/>
      <c r="D724" s="7"/>
      <c r="E724" s="7"/>
      <c r="F724" s="7"/>
      <c r="G724" s="7"/>
      <c r="H724" s="7"/>
      <c r="I724" s="7"/>
      <c r="J724" s="7"/>
      <c r="K724" s="7"/>
      <c r="L724" s="7"/>
      <c r="M724" s="7"/>
      <c r="N724" s="7"/>
      <c r="O724" s="7"/>
      <c r="P724" s="7"/>
      <c r="Q724" s="7"/>
      <c r="R724" s="7"/>
      <c r="S724" s="7"/>
      <c r="T724" s="7"/>
      <c r="U724" s="7"/>
      <c r="V724" s="7"/>
      <c r="W724" s="7"/>
      <c r="X724" s="7"/>
      <c r="Y724" s="7"/>
      <c r="Z724" s="7"/>
    </row>
    <row r="725" ht="13.5" customHeight="1">
      <c r="A725" s="7"/>
      <c r="B725" s="7"/>
      <c r="C725" s="7"/>
      <c r="D725" s="7"/>
      <c r="E725" s="7"/>
      <c r="F725" s="7"/>
      <c r="G725" s="7"/>
      <c r="H725" s="7"/>
      <c r="I725" s="7"/>
      <c r="J725" s="7"/>
      <c r="K725" s="7"/>
      <c r="L725" s="7"/>
      <c r="M725" s="7"/>
      <c r="N725" s="7"/>
      <c r="O725" s="7"/>
      <c r="P725" s="7"/>
      <c r="Q725" s="7"/>
      <c r="R725" s="7"/>
      <c r="S725" s="7"/>
      <c r="T725" s="7"/>
      <c r="U725" s="7"/>
      <c r="V725" s="7"/>
      <c r="W725" s="7"/>
      <c r="X725" s="7"/>
      <c r="Y725" s="7"/>
      <c r="Z725" s="7"/>
    </row>
    <row r="726" ht="13.5" customHeight="1">
      <c r="A726" s="7"/>
      <c r="B726" s="7"/>
      <c r="C726" s="7"/>
      <c r="D726" s="7"/>
      <c r="E726" s="7"/>
      <c r="F726" s="7"/>
      <c r="G726" s="7"/>
      <c r="H726" s="7"/>
      <c r="I726" s="7"/>
      <c r="J726" s="7"/>
      <c r="K726" s="7"/>
      <c r="L726" s="7"/>
      <c r="M726" s="7"/>
      <c r="N726" s="7"/>
      <c r="O726" s="7"/>
      <c r="P726" s="7"/>
      <c r="Q726" s="7"/>
      <c r="R726" s="7"/>
      <c r="S726" s="7"/>
      <c r="T726" s="7"/>
      <c r="U726" s="7"/>
      <c r="V726" s="7"/>
      <c r="W726" s="7"/>
      <c r="X726" s="7"/>
      <c r="Y726" s="7"/>
      <c r="Z726" s="7"/>
    </row>
    <row r="727" ht="13.5" customHeight="1">
      <c r="A727" s="7"/>
      <c r="B727" s="7"/>
      <c r="C727" s="7"/>
      <c r="D727" s="7"/>
      <c r="E727" s="7"/>
      <c r="F727" s="7"/>
      <c r="G727" s="7"/>
      <c r="H727" s="7"/>
      <c r="I727" s="7"/>
      <c r="J727" s="7"/>
      <c r="K727" s="7"/>
      <c r="L727" s="7"/>
      <c r="M727" s="7"/>
      <c r="N727" s="7"/>
      <c r="O727" s="7"/>
      <c r="P727" s="7"/>
      <c r="Q727" s="7"/>
      <c r="R727" s="7"/>
      <c r="S727" s="7"/>
      <c r="T727" s="7"/>
      <c r="U727" s="7"/>
      <c r="V727" s="7"/>
      <c r="W727" s="7"/>
      <c r="X727" s="7"/>
      <c r="Y727" s="7"/>
      <c r="Z727" s="7"/>
    </row>
    <row r="728" ht="13.5" customHeight="1">
      <c r="A728" s="7"/>
      <c r="B728" s="7"/>
      <c r="C728" s="7"/>
      <c r="D728" s="7"/>
      <c r="E728" s="7"/>
      <c r="F728" s="7"/>
      <c r="G728" s="7"/>
      <c r="H728" s="7"/>
      <c r="I728" s="7"/>
      <c r="J728" s="7"/>
      <c r="K728" s="7"/>
      <c r="L728" s="7"/>
      <c r="M728" s="7"/>
      <c r="N728" s="7"/>
      <c r="O728" s="7"/>
      <c r="P728" s="7"/>
      <c r="Q728" s="7"/>
      <c r="R728" s="7"/>
      <c r="S728" s="7"/>
      <c r="T728" s="7"/>
      <c r="U728" s="7"/>
      <c r="V728" s="7"/>
      <c r="W728" s="7"/>
      <c r="X728" s="7"/>
      <c r="Y728" s="7"/>
      <c r="Z728" s="7"/>
    </row>
    <row r="729" ht="13.5" customHeight="1">
      <c r="A729" s="7"/>
      <c r="B729" s="7"/>
      <c r="C729" s="7"/>
      <c r="D729" s="7"/>
      <c r="E729" s="7"/>
      <c r="F729" s="7"/>
      <c r="G729" s="7"/>
      <c r="H729" s="7"/>
      <c r="I729" s="7"/>
      <c r="J729" s="7"/>
      <c r="K729" s="7"/>
      <c r="L729" s="7"/>
      <c r="M729" s="7"/>
      <c r="N729" s="7"/>
      <c r="O729" s="7"/>
      <c r="P729" s="7"/>
      <c r="Q729" s="7"/>
      <c r="R729" s="7"/>
      <c r="S729" s="7"/>
      <c r="T729" s="7"/>
      <c r="U729" s="7"/>
      <c r="V729" s="7"/>
      <c r="W729" s="7"/>
      <c r="X729" s="7"/>
      <c r="Y729" s="7"/>
      <c r="Z729" s="7"/>
    </row>
    <row r="730" ht="13.5" customHeight="1">
      <c r="A730" s="7"/>
      <c r="B730" s="7"/>
      <c r="C730" s="7"/>
      <c r="D730" s="7"/>
      <c r="E730" s="7"/>
      <c r="F730" s="7"/>
      <c r="G730" s="7"/>
      <c r="H730" s="7"/>
      <c r="I730" s="7"/>
      <c r="J730" s="7"/>
      <c r="K730" s="7"/>
      <c r="L730" s="7"/>
      <c r="M730" s="7"/>
      <c r="N730" s="7"/>
      <c r="O730" s="7"/>
      <c r="P730" s="7"/>
      <c r="Q730" s="7"/>
      <c r="R730" s="7"/>
      <c r="S730" s="7"/>
      <c r="T730" s="7"/>
      <c r="U730" s="7"/>
      <c r="V730" s="7"/>
      <c r="W730" s="7"/>
      <c r="X730" s="7"/>
      <c r="Y730" s="7"/>
      <c r="Z730" s="7"/>
    </row>
    <row r="731" ht="13.5" customHeight="1">
      <c r="A731" s="7"/>
      <c r="B731" s="7"/>
      <c r="C731" s="7"/>
      <c r="D731" s="7"/>
      <c r="E731" s="7"/>
      <c r="F731" s="7"/>
      <c r="G731" s="7"/>
      <c r="H731" s="7"/>
      <c r="I731" s="7"/>
      <c r="J731" s="7"/>
      <c r="K731" s="7"/>
      <c r="L731" s="7"/>
      <c r="M731" s="7"/>
      <c r="N731" s="7"/>
      <c r="O731" s="7"/>
      <c r="P731" s="7"/>
      <c r="Q731" s="7"/>
      <c r="R731" s="7"/>
      <c r="S731" s="7"/>
      <c r="T731" s="7"/>
      <c r="U731" s="7"/>
      <c r="V731" s="7"/>
      <c r="W731" s="7"/>
      <c r="X731" s="7"/>
      <c r="Y731" s="7"/>
      <c r="Z731" s="7"/>
    </row>
    <row r="732" ht="13.5" customHeight="1">
      <c r="A732" s="7"/>
      <c r="B732" s="7"/>
      <c r="C732" s="7"/>
      <c r="D732" s="7"/>
      <c r="E732" s="7"/>
      <c r="F732" s="7"/>
      <c r="G732" s="7"/>
      <c r="H732" s="7"/>
      <c r="I732" s="7"/>
      <c r="J732" s="7"/>
      <c r="K732" s="7"/>
      <c r="L732" s="7"/>
      <c r="M732" s="7"/>
      <c r="N732" s="7"/>
      <c r="O732" s="7"/>
      <c r="P732" s="7"/>
      <c r="Q732" s="7"/>
      <c r="R732" s="7"/>
      <c r="S732" s="7"/>
      <c r="T732" s="7"/>
      <c r="U732" s="7"/>
      <c r="V732" s="7"/>
      <c r="W732" s="7"/>
      <c r="X732" s="7"/>
      <c r="Y732" s="7"/>
      <c r="Z732" s="7"/>
    </row>
    <row r="733" ht="13.5" customHeight="1">
      <c r="A733" s="7"/>
      <c r="B733" s="7"/>
      <c r="C733" s="7"/>
      <c r="D733" s="7"/>
      <c r="E733" s="7"/>
      <c r="F733" s="7"/>
      <c r="G733" s="7"/>
      <c r="H733" s="7"/>
      <c r="I733" s="7"/>
      <c r="J733" s="7"/>
      <c r="K733" s="7"/>
      <c r="L733" s="7"/>
      <c r="M733" s="7"/>
      <c r="N733" s="7"/>
      <c r="O733" s="7"/>
      <c r="P733" s="7"/>
      <c r="Q733" s="7"/>
      <c r="R733" s="7"/>
      <c r="S733" s="7"/>
      <c r="T733" s="7"/>
      <c r="U733" s="7"/>
      <c r="V733" s="7"/>
      <c r="W733" s="7"/>
      <c r="X733" s="7"/>
      <c r="Y733" s="7"/>
      <c r="Z733" s="7"/>
    </row>
    <row r="734" ht="13.5" customHeight="1">
      <c r="A734" s="7"/>
      <c r="B734" s="7"/>
      <c r="C734" s="7"/>
      <c r="D734" s="7"/>
      <c r="E734" s="7"/>
      <c r="F734" s="7"/>
      <c r="G734" s="7"/>
      <c r="H734" s="7"/>
      <c r="I734" s="7"/>
      <c r="J734" s="7"/>
      <c r="K734" s="7"/>
      <c r="L734" s="7"/>
      <c r="M734" s="7"/>
      <c r="N734" s="7"/>
      <c r="O734" s="7"/>
      <c r="P734" s="7"/>
      <c r="Q734" s="7"/>
      <c r="R734" s="7"/>
      <c r="S734" s="7"/>
      <c r="T734" s="7"/>
      <c r="U734" s="7"/>
      <c r="V734" s="7"/>
      <c r="W734" s="7"/>
      <c r="X734" s="7"/>
      <c r="Y734" s="7"/>
      <c r="Z734" s="7"/>
    </row>
    <row r="735" ht="13.5" customHeight="1">
      <c r="A735" s="7"/>
      <c r="B735" s="7"/>
      <c r="C735" s="7"/>
      <c r="D735" s="7"/>
      <c r="E735" s="7"/>
      <c r="F735" s="7"/>
      <c r="G735" s="7"/>
      <c r="H735" s="7"/>
      <c r="I735" s="7"/>
      <c r="J735" s="7"/>
      <c r="K735" s="7"/>
      <c r="L735" s="7"/>
      <c r="M735" s="7"/>
      <c r="N735" s="7"/>
      <c r="O735" s="7"/>
      <c r="P735" s="7"/>
      <c r="Q735" s="7"/>
      <c r="R735" s="7"/>
      <c r="S735" s="7"/>
      <c r="T735" s="7"/>
      <c r="U735" s="7"/>
      <c r="V735" s="7"/>
      <c r="W735" s="7"/>
      <c r="X735" s="7"/>
      <c r="Y735" s="7"/>
      <c r="Z735" s="7"/>
    </row>
    <row r="736" ht="13.5" customHeight="1">
      <c r="A736" s="7"/>
      <c r="B736" s="7"/>
      <c r="C736" s="7"/>
      <c r="D736" s="7"/>
      <c r="E736" s="7"/>
      <c r="F736" s="7"/>
      <c r="G736" s="7"/>
      <c r="H736" s="7"/>
      <c r="I736" s="7"/>
      <c r="J736" s="7"/>
      <c r="K736" s="7"/>
      <c r="L736" s="7"/>
      <c r="M736" s="7"/>
      <c r="N736" s="7"/>
      <c r="O736" s="7"/>
      <c r="P736" s="7"/>
      <c r="Q736" s="7"/>
      <c r="R736" s="7"/>
      <c r="S736" s="7"/>
      <c r="T736" s="7"/>
      <c r="U736" s="7"/>
      <c r="V736" s="7"/>
      <c r="W736" s="7"/>
      <c r="X736" s="7"/>
      <c r="Y736" s="7"/>
      <c r="Z736" s="7"/>
    </row>
    <row r="737" ht="13.5" customHeight="1">
      <c r="A737" s="7"/>
      <c r="B737" s="7"/>
      <c r="C737" s="7"/>
      <c r="D737" s="7"/>
      <c r="E737" s="7"/>
      <c r="F737" s="7"/>
      <c r="G737" s="7"/>
      <c r="H737" s="7"/>
      <c r="I737" s="7"/>
      <c r="J737" s="7"/>
      <c r="K737" s="7"/>
      <c r="L737" s="7"/>
      <c r="M737" s="7"/>
      <c r="N737" s="7"/>
      <c r="O737" s="7"/>
      <c r="P737" s="7"/>
      <c r="Q737" s="7"/>
      <c r="R737" s="7"/>
      <c r="S737" s="7"/>
      <c r="T737" s="7"/>
      <c r="U737" s="7"/>
      <c r="V737" s="7"/>
      <c r="W737" s="7"/>
      <c r="X737" s="7"/>
      <c r="Y737" s="7"/>
      <c r="Z737" s="7"/>
    </row>
    <row r="738" ht="13.5" customHeight="1">
      <c r="A738" s="7"/>
      <c r="B738" s="7"/>
      <c r="C738" s="7"/>
      <c r="D738" s="7"/>
      <c r="E738" s="7"/>
      <c r="F738" s="7"/>
      <c r="G738" s="7"/>
      <c r="H738" s="7"/>
      <c r="I738" s="7"/>
      <c r="J738" s="7"/>
      <c r="K738" s="7"/>
      <c r="L738" s="7"/>
      <c r="M738" s="7"/>
      <c r="N738" s="7"/>
      <c r="O738" s="7"/>
      <c r="P738" s="7"/>
      <c r="Q738" s="7"/>
      <c r="R738" s="7"/>
      <c r="S738" s="7"/>
      <c r="T738" s="7"/>
      <c r="U738" s="7"/>
      <c r="V738" s="7"/>
      <c r="W738" s="7"/>
      <c r="X738" s="7"/>
      <c r="Y738" s="7"/>
      <c r="Z738" s="7"/>
    </row>
    <row r="739" ht="13.5" customHeight="1">
      <c r="A739" s="7"/>
      <c r="B739" s="7"/>
      <c r="C739" s="7"/>
      <c r="D739" s="7"/>
      <c r="E739" s="7"/>
      <c r="F739" s="7"/>
      <c r="G739" s="7"/>
      <c r="H739" s="7"/>
      <c r="I739" s="7"/>
      <c r="J739" s="7"/>
      <c r="K739" s="7"/>
      <c r="L739" s="7"/>
      <c r="M739" s="7"/>
      <c r="N739" s="7"/>
      <c r="O739" s="7"/>
      <c r="P739" s="7"/>
      <c r="Q739" s="7"/>
      <c r="R739" s="7"/>
      <c r="S739" s="7"/>
      <c r="T739" s="7"/>
      <c r="U739" s="7"/>
      <c r="V739" s="7"/>
      <c r="W739" s="7"/>
      <c r="X739" s="7"/>
      <c r="Y739" s="7"/>
      <c r="Z739" s="7"/>
    </row>
    <row r="740" ht="13.5" customHeight="1">
      <c r="A740" s="7"/>
      <c r="B740" s="7"/>
      <c r="C740" s="7"/>
      <c r="D740" s="7"/>
      <c r="E740" s="7"/>
      <c r="F740" s="7"/>
      <c r="G740" s="7"/>
      <c r="H740" s="7"/>
      <c r="I740" s="7"/>
      <c r="J740" s="7"/>
      <c r="K740" s="7"/>
      <c r="L740" s="7"/>
      <c r="M740" s="7"/>
      <c r="N740" s="7"/>
      <c r="O740" s="7"/>
      <c r="P740" s="7"/>
      <c r="Q740" s="7"/>
      <c r="R740" s="7"/>
      <c r="S740" s="7"/>
      <c r="T740" s="7"/>
      <c r="U740" s="7"/>
      <c r="V740" s="7"/>
      <c r="W740" s="7"/>
      <c r="X740" s="7"/>
      <c r="Y740" s="7"/>
      <c r="Z740" s="7"/>
    </row>
    <row r="741" ht="13.5" customHeight="1">
      <c r="A741" s="7"/>
      <c r="B741" s="7"/>
      <c r="C741" s="7"/>
      <c r="D741" s="7"/>
      <c r="E741" s="7"/>
      <c r="F741" s="7"/>
      <c r="G741" s="7"/>
      <c r="H741" s="7"/>
      <c r="I741" s="7"/>
      <c r="J741" s="7"/>
      <c r="K741" s="7"/>
      <c r="L741" s="7"/>
      <c r="M741" s="7"/>
      <c r="N741" s="7"/>
      <c r="O741" s="7"/>
      <c r="P741" s="7"/>
      <c r="Q741" s="7"/>
      <c r="R741" s="7"/>
      <c r="S741" s="7"/>
      <c r="T741" s="7"/>
      <c r="U741" s="7"/>
      <c r="V741" s="7"/>
      <c r="W741" s="7"/>
      <c r="X741" s="7"/>
      <c r="Y741" s="7"/>
      <c r="Z741" s="7"/>
    </row>
    <row r="742" ht="13.5" customHeight="1">
      <c r="A742" s="7"/>
      <c r="B742" s="7"/>
      <c r="C742" s="7"/>
      <c r="D742" s="7"/>
      <c r="E742" s="7"/>
      <c r="F742" s="7"/>
      <c r="G742" s="7"/>
      <c r="H742" s="7"/>
      <c r="I742" s="7"/>
      <c r="J742" s="7"/>
      <c r="K742" s="7"/>
      <c r="L742" s="7"/>
      <c r="M742" s="7"/>
      <c r="N742" s="7"/>
      <c r="O742" s="7"/>
      <c r="P742" s="7"/>
      <c r="Q742" s="7"/>
      <c r="R742" s="7"/>
      <c r="S742" s="7"/>
      <c r="T742" s="7"/>
      <c r="U742" s="7"/>
      <c r="V742" s="7"/>
      <c r="W742" s="7"/>
      <c r="X742" s="7"/>
      <c r="Y742" s="7"/>
      <c r="Z742" s="7"/>
    </row>
    <row r="743" ht="13.5" customHeight="1">
      <c r="A743" s="7"/>
      <c r="B743" s="7"/>
      <c r="C743" s="7"/>
      <c r="D743" s="7"/>
      <c r="E743" s="7"/>
      <c r="F743" s="7"/>
      <c r="G743" s="7"/>
      <c r="H743" s="7"/>
      <c r="I743" s="7"/>
      <c r="J743" s="7"/>
      <c r="K743" s="7"/>
      <c r="L743" s="7"/>
      <c r="M743" s="7"/>
      <c r="N743" s="7"/>
      <c r="O743" s="7"/>
      <c r="P743" s="7"/>
      <c r="Q743" s="7"/>
      <c r="R743" s="7"/>
      <c r="S743" s="7"/>
      <c r="T743" s="7"/>
      <c r="U743" s="7"/>
      <c r="V743" s="7"/>
      <c r="W743" s="7"/>
      <c r="X743" s="7"/>
      <c r="Y743" s="7"/>
      <c r="Z743" s="7"/>
    </row>
    <row r="744" ht="13.5" customHeight="1">
      <c r="A744" s="7"/>
      <c r="B744" s="7"/>
      <c r="C744" s="7"/>
      <c r="D744" s="7"/>
      <c r="E744" s="7"/>
      <c r="F744" s="7"/>
      <c r="G744" s="7"/>
      <c r="H744" s="7"/>
      <c r="I744" s="7"/>
      <c r="J744" s="7"/>
      <c r="K744" s="7"/>
      <c r="L744" s="7"/>
      <c r="M744" s="7"/>
      <c r="N744" s="7"/>
      <c r="O744" s="7"/>
      <c r="P744" s="7"/>
      <c r="Q744" s="7"/>
      <c r="R744" s="7"/>
      <c r="S744" s="7"/>
      <c r="T744" s="7"/>
      <c r="U744" s="7"/>
      <c r="V744" s="7"/>
      <c r="W744" s="7"/>
      <c r="X744" s="7"/>
      <c r="Y744" s="7"/>
      <c r="Z744" s="7"/>
    </row>
    <row r="745" ht="13.5" customHeight="1">
      <c r="A745" s="7"/>
      <c r="B745" s="7"/>
      <c r="C745" s="7"/>
      <c r="D745" s="7"/>
      <c r="E745" s="7"/>
      <c r="F745" s="7"/>
      <c r="G745" s="7"/>
      <c r="H745" s="7"/>
      <c r="I745" s="7"/>
      <c r="J745" s="7"/>
      <c r="K745" s="7"/>
      <c r="L745" s="7"/>
      <c r="M745" s="7"/>
      <c r="N745" s="7"/>
      <c r="O745" s="7"/>
      <c r="P745" s="7"/>
      <c r="Q745" s="7"/>
      <c r="R745" s="7"/>
      <c r="S745" s="7"/>
      <c r="T745" s="7"/>
      <c r="U745" s="7"/>
      <c r="V745" s="7"/>
      <c r="W745" s="7"/>
      <c r="X745" s="7"/>
      <c r="Y745" s="7"/>
      <c r="Z745" s="7"/>
    </row>
    <row r="746" ht="13.5" customHeight="1">
      <c r="A746" s="7"/>
      <c r="B746" s="7"/>
      <c r="C746" s="7"/>
      <c r="D746" s="7"/>
      <c r="E746" s="7"/>
      <c r="F746" s="7"/>
      <c r="G746" s="7"/>
      <c r="H746" s="7"/>
      <c r="I746" s="7"/>
      <c r="J746" s="7"/>
      <c r="K746" s="7"/>
      <c r="L746" s="7"/>
      <c r="M746" s="7"/>
      <c r="N746" s="7"/>
      <c r="O746" s="7"/>
      <c r="P746" s="7"/>
      <c r="Q746" s="7"/>
      <c r="R746" s="7"/>
      <c r="S746" s="7"/>
      <c r="T746" s="7"/>
      <c r="U746" s="7"/>
      <c r="V746" s="7"/>
      <c r="W746" s="7"/>
      <c r="X746" s="7"/>
      <c r="Y746" s="7"/>
      <c r="Z746" s="7"/>
    </row>
    <row r="747" ht="13.5" customHeight="1">
      <c r="A747" s="7"/>
      <c r="B747" s="7"/>
      <c r="C747" s="7"/>
      <c r="D747" s="7"/>
      <c r="E747" s="7"/>
      <c r="F747" s="7"/>
      <c r="G747" s="7"/>
      <c r="H747" s="7"/>
      <c r="I747" s="7"/>
      <c r="J747" s="7"/>
      <c r="K747" s="7"/>
      <c r="L747" s="7"/>
      <c r="M747" s="7"/>
      <c r="N747" s="7"/>
      <c r="O747" s="7"/>
      <c r="P747" s="7"/>
      <c r="Q747" s="7"/>
      <c r="R747" s="7"/>
      <c r="S747" s="7"/>
      <c r="T747" s="7"/>
      <c r="U747" s="7"/>
      <c r="V747" s="7"/>
      <c r="W747" s="7"/>
      <c r="X747" s="7"/>
      <c r="Y747" s="7"/>
      <c r="Z747" s="7"/>
    </row>
    <row r="748" ht="13.5" customHeight="1">
      <c r="A748" s="7"/>
      <c r="B748" s="7"/>
      <c r="C748" s="7"/>
      <c r="D748" s="7"/>
      <c r="E748" s="7"/>
      <c r="F748" s="7"/>
      <c r="G748" s="7"/>
      <c r="H748" s="7"/>
      <c r="I748" s="7"/>
      <c r="J748" s="7"/>
      <c r="K748" s="7"/>
      <c r="L748" s="7"/>
      <c r="M748" s="7"/>
      <c r="N748" s="7"/>
      <c r="O748" s="7"/>
      <c r="P748" s="7"/>
      <c r="Q748" s="7"/>
      <c r="R748" s="7"/>
      <c r="S748" s="7"/>
      <c r="T748" s="7"/>
      <c r="U748" s="7"/>
      <c r="V748" s="7"/>
      <c r="W748" s="7"/>
      <c r="X748" s="7"/>
      <c r="Y748" s="7"/>
      <c r="Z748" s="7"/>
    </row>
    <row r="749" ht="13.5" customHeight="1">
      <c r="A749" s="7"/>
      <c r="B749" s="7"/>
      <c r="C749" s="7"/>
      <c r="D749" s="7"/>
      <c r="E749" s="7"/>
      <c r="F749" s="7"/>
      <c r="G749" s="7"/>
      <c r="H749" s="7"/>
      <c r="I749" s="7"/>
      <c r="J749" s="7"/>
      <c r="K749" s="7"/>
      <c r="L749" s="7"/>
      <c r="M749" s="7"/>
      <c r="N749" s="7"/>
      <c r="O749" s="7"/>
      <c r="P749" s="7"/>
      <c r="Q749" s="7"/>
      <c r="R749" s="7"/>
      <c r="S749" s="7"/>
      <c r="T749" s="7"/>
      <c r="U749" s="7"/>
      <c r="V749" s="7"/>
      <c r="W749" s="7"/>
      <c r="X749" s="7"/>
      <c r="Y749" s="7"/>
      <c r="Z749" s="7"/>
    </row>
    <row r="750" ht="13.5" customHeight="1">
      <c r="A750" s="7"/>
      <c r="B750" s="7"/>
      <c r="C750" s="7"/>
      <c r="D750" s="7"/>
      <c r="E750" s="7"/>
      <c r="F750" s="7"/>
      <c r="G750" s="7"/>
      <c r="H750" s="7"/>
      <c r="I750" s="7"/>
      <c r="J750" s="7"/>
      <c r="K750" s="7"/>
      <c r="L750" s="7"/>
      <c r="M750" s="7"/>
      <c r="N750" s="7"/>
      <c r="O750" s="7"/>
      <c r="P750" s="7"/>
      <c r="Q750" s="7"/>
      <c r="R750" s="7"/>
      <c r="S750" s="7"/>
      <c r="T750" s="7"/>
      <c r="U750" s="7"/>
      <c r="V750" s="7"/>
      <c r="W750" s="7"/>
      <c r="X750" s="7"/>
      <c r="Y750" s="7"/>
      <c r="Z750" s="7"/>
    </row>
    <row r="751" ht="13.5" customHeight="1">
      <c r="A751" s="7"/>
      <c r="B751" s="7"/>
      <c r="C751" s="7"/>
      <c r="D751" s="7"/>
      <c r="E751" s="7"/>
      <c r="F751" s="7"/>
      <c r="G751" s="7"/>
      <c r="H751" s="7"/>
      <c r="I751" s="7"/>
      <c r="J751" s="7"/>
      <c r="K751" s="7"/>
      <c r="L751" s="7"/>
      <c r="M751" s="7"/>
      <c r="N751" s="7"/>
      <c r="O751" s="7"/>
      <c r="P751" s="7"/>
      <c r="Q751" s="7"/>
      <c r="R751" s="7"/>
      <c r="S751" s="7"/>
      <c r="T751" s="7"/>
      <c r="U751" s="7"/>
      <c r="V751" s="7"/>
      <c r="W751" s="7"/>
      <c r="X751" s="7"/>
      <c r="Y751" s="7"/>
      <c r="Z751" s="7"/>
    </row>
    <row r="752" ht="13.5" customHeight="1">
      <c r="A752" s="7"/>
      <c r="B752" s="7"/>
      <c r="C752" s="7"/>
      <c r="D752" s="7"/>
      <c r="E752" s="7"/>
      <c r="F752" s="7"/>
      <c r="G752" s="7"/>
      <c r="H752" s="7"/>
      <c r="I752" s="7"/>
      <c r="J752" s="7"/>
      <c r="K752" s="7"/>
      <c r="L752" s="7"/>
      <c r="M752" s="7"/>
      <c r="N752" s="7"/>
      <c r="O752" s="7"/>
      <c r="P752" s="7"/>
      <c r="Q752" s="7"/>
      <c r="R752" s="7"/>
      <c r="S752" s="7"/>
      <c r="T752" s="7"/>
      <c r="U752" s="7"/>
      <c r="V752" s="7"/>
      <c r="W752" s="7"/>
      <c r="X752" s="7"/>
      <c r="Y752" s="7"/>
      <c r="Z752" s="7"/>
    </row>
    <row r="753" ht="13.5" customHeight="1">
      <c r="A753" s="7"/>
      <c r="B753" s="7"/>
      <c r="C753" s="7"/>
      <c r="D753" s="7"/>
      <c r="E753" s="7"/>
      <c r="F753" s="7"/>
      <c r="G753" s="7"/>
      <c r="H753" s="7"/>
      <c r="I753" s="7"/>
      <c r="J753" s="7"/>
      <c r="K753" s="7"/>
      <c r="L753" s="7"/>
      <c r="M753" s="7"/>
      <c r="N753" s="7"/>
      <c r="O753" s="7"/>
      <c r="P753" s="7"/>
      <c r="Q753" s="7"/>
      <c r="R753" s="7"/>
      <c r="S753" s="7"/>
      <c r="T753" s="7"/>
      <c r="U753" s="7"/>
      <c r="V753" s="7"/>
      <c r="W753" s="7"/>
      <c r="X753" s="7"/>
      <c r="Y753" s="7"/>
      <c r="Z753" s="7"/>
    </row>
    <row r="754" ht="13.5" customHeight="1">
      <c r="A754" s="7"/>
      <c r="B754" s="7"/>
      <c r="C754" s="7"/>
      <c r="D754" s="7"/>
      <c r="E754" s="7"/>
      <c r="F754" s="7"/>
      <c r="G754" s="7"/>
      <c r="H754" s="7"/>
      <c r="I754" s="7"/>
      <c r="J754" s="7"/>
      <c r="K754" s="7"/>
      <c r="L754" s="7"/>
      <c r="M754" s="7"/>
      <c r="N754" s="7"/>
      <c r="O754" s="7"/>
      <c r="P754" s="7"/>
      <c r="Q754" s="7"/>
      <c r="R754" s="7"/>
      <c r="S754" s="7"/>
      <c r="T754" s="7"/>
      <c r="U754" s="7"/>
      <c r="V754" s="7"/>
      <c r="W754" s="7"/>
      <c r="X754" s="7"/>
      <c r="Y754" s="7"/>
      <c r="Z754" s="7"/>
    </row>
    <row r="755" ht="13.5" customHeight="1">
      <c r="A755" s="7"/>
      <c r="B755" s="7"/>
      <c r="C755" s="7"/>
      <c r="D755" s="7"/>
      <c r="E755" s="7"/>
      <c r="F755" s="7"/>
      <c r="G755" s="7"/>
      <c r="H755" s="7"/>
      <c r="I755" s="7"/>
      <c r="J755" s="7"/>
      <c r="K755" s="7"/>
      <c r="L755" s="7"/>
      <c r="M755" s="7"/>
      <c r="N755" s="7"/>
      <c r="O755" s="7"/>
      <c r="P755" s="7"/>
      <c r="Q755" s="7"/>
      <c r="R755" s="7"/>
      <c r="S755" s="7"/>
      <c r="T755" s="7"/>
      <c r="U755" s="7"/>
      <c r="V755" s="7"/>
      <c r="W755" s="7"/>
      <c r="X755" s="7"/>
      <c r="Y755" s="7"/>
      <c r="Z755" s="7"/>
    </row>
    <row r="756" ht="13.5" customHeight="1">
      <c r="A756" s="7"/>
      <c r="B756" s="7"/>
      <c r="C756" s="7"/>
      <c r="D756" s="7"/>
      <c r="E756" s="7"/>
      <c r="F756" s="7"/>
      <c r="G756" s="7"/>
      <c r="H756" s="7"/>
      <c r="I756" s="7"/>
      <c r="J756" s="7"/>
      <c r="K756" s="7"/>
      <c r="L756" s="7"/>
      <c r="M756" s="7"/>
      <c r="N756" s="7"/>
      <c r="O756" s="7"/>
      <c r="P756" s="7"/>
      <c r="Q756" s="7"/>
      <c r="R756" s="7"/>
      <c r="S756" s="7"/>
      <c r="T756" s="7"/>
      <c r="U756" s="7"/>
      <c r="V756" s="7"/>
      <c r="W756" s="7"/>
      <c r="X756" s="7"/>
      <c r="Y756" s="7"/>
      <c r="Z756" s="7"/>
    </row>
    <row r="757" ht="13.5" customHeight="1">
      <c r="A757" s="7"/>
      <c r="B757" s="7"/>
      <c r="C757" s="7"/>
      <c r="D757" s="7"/>
      <c r="E757" s="7"/>
      <c r="F757" s="7"/>
      <c r="G757" s="7"/>
      <c r="H757" s="7"/>
      <c r="I757" s="7"/>
      <c r="J757" s="7"/>
      <c r="K757" s="7"/>
      <c r="L757" s="7"/>
      <c r="M757" s="7"/>
      <c r="N757" s="7"/>
      <c r="O757" s="7"/>
      <c r="P757" s="7"/>
      <c r="Q757" s="7"/>
      <c r="R757" s="7"/>
      <c r="S757" s="7"/>
      <c r="T757" s="7"/>
      <c r="U757" s="7"/>
      <c r="V757" s="7"/>
      <c r="W757" s="7"/>
      <c r="X757" s="7"/>
      <c r="Y757" s="7"/>
      <c r="Z757" s="7"/>
    </row>
    <row r="758" ht="13.5" customHeight="1">
      <c r="A758" s="7"/>
      <c r="B758" s="7"/>
      <c r="C758" s="7"/>
      <c r="D758" s="7"/>
      <c r="E758" s="7"/>
      <c r="F758" s="7"/>
      <c r="G758" s="7"/>
      <c r="H758" s="7"/>
      <c r="I758" s="7"/>
      <c r="J758" s="7"/>
      <c r="K758" s="7"/>
      <c r="L758" s="7"/>
      <c r="M758" s="7"/>
      <c r="N758" s="7"/>
      <c r="O758" s="7"/>
      <c r="P758" s="7"/>
      <c r="Q758" s="7"/>
      <c r="R758" s="7"/>
      <c r="S758" s="7"/>
      <c r="T758" s="7"/>
      <c r="U758" s="7"/>
      <c r="V758" s="7"/>
      <c r="W758" s="7"/>
      <c r="X758" s="7"/>
      <c r="Y758" s="7"/>
      <c r="Z758" s="7"/>
    </row>
    <row r="759" ht="13.5" customHeight="1">
      <c r="A759" s="7"/>
      <c r="B759" s="7"/>
      <c r="C759" s="7"/>
      <c r="D759" s="7"/>
      <c r="E759" s="7"/>
      <c r="F759" s="7"/>
      <c r="G759" s="7"/>
      <c r="H759" s="7"/>
      <c r="I759" s="7"/>
      <c r="J759" s="7"/>
      <c r="K759" s="7"/>
      <c r="L759" s="7"/>
      <c r="M759" s="7"/>
      <c r="N759" s="7"/>
      <c r="O759" s="7"/>
      <c r="P759" s="7"/>
      <c r="Q759" s="7"/>
      <c r="R759" s="7"/>
      <c r="S759" s="7"/>
      <c r="T759" s="7"/>
      <c r="U759" s="7"/>
      <c r="V759" s="7"/>
      <c r="W759" s="7"/>
      <c r="X759" s="7"/>
      <c r="Y759" s="7"/>
      <c r="Z759" s="7"/>
    </row>
    <row r="760" ht="13.5" customHeight="1">
      <c r="A760" s="7"/>
      <c r="B760" s="7"/>
      <c r="C760" s="7"/>
      <c r="D760" s="7"/>
      <c r="E760" s="7"/>
      <c r="F760" s="7"/>
      <c r="G760" s="7"/>
      <c r="H760" s="7"/>
      <c r="I760" s="7"/>
      <c r="J760" s="7"/>
      <c r="K760" s="7"/>
      <c r="L760" s="7"/>
      <c r="M760" s="7"/>
      <c r="N760" s="7"/>
      <c r="O760" s="7"/>
      <c r="P760" s="7"/>
      <c r="Q760" s="7"/>
      <c r="R760" s="7"/>
      <c r="S760" s="7"/>
      <c r="T760" s="7"/>
      <c r="U760" s="7"/>
      <c r="V760" s="7"/>
      <c r="W760" s="7"/>
      <c r="X760" s="7"/>
      <c r="Y760" s="7"/>
      <c r="Z760" s="7"/>
    </row>
    <row r="761" ht="13.5" customHeight="1">
      <c r="A761" s="7"/>
      <c r="B761" s="7"/>
      <c r="C761" s="7"/>
      <c r="D761" s="7"/>
      <c r="E761" s="7"/>
      <c r="F761" s="7"/>
      <c r="G761" s="7"/>
      <c r="H761" s="7"/>
      <c r="I761" s="7"/>
      <c r="J761" s="7"/>
      <c r="K761" s="7"/>
      <c r="L761" s="7"/>
      <c r="M761" s="7"/>
      <c r="N761" s="7"/>
      <c r="O761" s="7"/>
      <c r="P761" s="7"/>
      <c r="Q761" s="7"/>
      <c r="R761" s="7"/>
      <c r="S761" s="7"/>
      <c r="T761" s="7"/>
      <c r="U761" s="7"/>
      <c r="V761" s="7"/>
      <c r="W761" s="7"/>
      <c r="X761" s="7"/>
      <c r="Y761" s="7"/>
      <c r="Z761" s="7"/>
    </row>
    <row r="762" ht="13.5" customHeight="1">
      <c r="A762" s="7"/>
      <c r="B762" s="7"/>
      <c r="C762" s="7"/>
      <c r="D762" s="7"/>
      <c r="E762" s="7"/>
      <c r="F762" s="7"/>
      <c r="G762" s="7"/>
      <c r="H762" s="7"/>
      <c r="I762" s="7"/>
      <c r="J762" s="7"/>
      <c r="K762" s="7"/>
      <c r="L762" s="7"/>
      <c r="M762" s="7"/>
      <c r="N762" s="7"/>
      <c r="O762" s="7"/>
      <c r="P762" s="7"/>
      <c r="Q762" s="7"/>
      <c r="R762" s="7"/>
      <c r="S762" s="7"/>
      <c r="T762" s="7"/>
      <c r="U762" s="7"/>
      <c r="V762" s="7"/>
      <c r="W762" s="7"/>
      <c r="X762" s="7"/>
      <c r="Y762" s="7"/>
      <c r="Z762" s="7"/>
    </row>
    <row r="763" ht="13.5" customHeight="1">
      <c r="A763" s="7"/>
      <c r="B763" s="7"/>
      <c r="C763" s="7"/>
      <c r="D763" s="7"/>
      <c r="E763" s="7"/>
      <c r="F763" s="7"/>
      <c r="G763" s="7"/>
      <c r="H763" s="7"/>
      <c r="I763" s="7"/>
      <c r="J763" s="7"/>
      <c r="K763" s="7"/>
      <c r="L763" s="7"/>
      <c r="M763" s="7"/>
      <c r="N763" s="7"/>
      <c r="O763" s="7"/>
      <c r="P763" s="7"/>
      <c r="Q763" s="7"/>
      <c r="R763" s="7"/>
      <c r="S763" s="7"/>
      <c r="T763" s="7"/>
      <c r="U763" s="7"/>
      <c r="V763" s="7"/>
      <c r="W763" s="7"/>
      <c r="X763" s="7"/>
      <c r="Y763" s="7"/>
      <c r="Z763" s="7"/>
    </row>
    <row r="764" ht="13.5" customHeight="1">
      <c r="A764" s="7"/>
      <c r="B764" s="7"/>
      <c r="C764" s="7"/>
      <c r="D764" s="7"/>
      <c r="E764" s="7"/>
      <c r="F764" s="7"/>
      <c r="G764" s="7"/>
      <c r="H764" s="7"/>
      <c r="I764" s="7"/>
      <c r="J764" s="7"/>
      <c r="K764" s="7"/>
      <c r="L764" s="7"/>
      <c r="M764" s="7"/>
      <c r="N764" s="7"/>
      <c r="O764" s="7"/>
      <c r="P764" s="7"/>
      <c r="Q764" s="7"/>
      <c r="R764" s="7"/>
      <c r="S764" s="7"/>
      <c r="T764" s="7"/>
      <c r="U764" s="7"/>
      <c r="V764" s="7"/>
      <c r="W764" s="7"/>
      <c r="X764" s="7"/>
      <c r="Y764" s="7"/>
      <c r="Z764" s="7"/>
    </row>
    <row r="765" ht="13.5" customHeight="1">
      <c r="A765" s="7"/>
      <c r="B765" s="7"/>
      <c r="C765" s="7"/>
      <c r="D765" s="7"/>
      <c r="E765" s="7"/>
      <c r="F765" s="7"/>
      <c r="G765" s="7"/>
      <c r="H765" s="7"/>
      <c r="I765" s="7"/>
      <c r="J765" s="7"/>
      <c r="K765" s="7"/>
      <c r="L765" s="7"/>
      <c r="M765" s="7"/>
      <c r="N765" s="7"/>
      <c r="O765" s="7"/>
      <c r="P765" s="7"/>
      <c r="Q765" s="7"/>
      <c r="R765" s="7"/>
      <c r="S765" s="7"/>
      <c r="T765" s="7"/>
      <c r="U765" s="7"/>
      <c r="V765" s="7"/>
      <c r="W765" s="7"/>
      <c r="X765" s="7"/>
      <c r="Y765" s="7"/>
      <c r="Z765" s="7"/>
    </row>
    <row r="766" ht="13.5" customHeight="1">
      <c r="A766" s="7"/>
      <c r="B766" s="7"/>
      <c r="C766" s="7"/>
      <c r="D766" s="7"/>
      <c r="E766" s="7"/>
      <c r="F766" s="7"/>
      <c r="G766" s="7"/>
      <c r="H766" s="7"/>
      <c r="I766" s="7"/>
      <c r="J766" s="7"/>
      <c r="K766" s="7"/>
      <c r="L766" s="7"/>
      <c r="M766" s="7"/>
      <c r="N766" s="7"/>
      <c r="O766" s="7"/>
      <c r="P766" s="7"/>
      <c r="Q766" s="7"/>
      <c r="R766" s="7"/>
      <c r="S766" s="7"/>
      <c r="T766" s="7"/>
      <c r="U766" s="7"/>
      <c r="V766" s="7"/>
      <c r="W766" s="7"/>
      <c r="X766" s="7"/>
      <c r="Y766" s="7"/>
      <c r="Z766" s="7"/>
    </row>
    <row r="767" ht="13.5" customHeight="1">
      <c r="A767" s="7"/>
      <c r="B767" s="7"/>
      <c r="C767" s="7"/>
      <c r="D767" s="7"/>
      <c r="E767" s="7"/>
      <c r="F767" s="7"/>
      <c r="G767" s="7"/>
      <c r="H767" s="7"/>
      <c r="I767" s="7"/>
      <c r="J767" s="7"/>
      <c r="K767" s="7"/>
      <c r="L767" s="7"/>
      <c r="M767" s="7"/>
      <c r="N767" s="7"/>
      <c r="O767" s="7"/>
      <c r="P767" s="7"/>
      <c r="Q767" s="7"/>
      <c r="R767" s="7"/>
      <c r="S767" s="7"/>
      <c r="T767" s="7"/>
      <c r="U767" s="7"/>
      <c r="V767" s="7"/>
      <c r="W767" s="7"/>
      <c r="X767" s="7"/>
      <c r="Y767" s="7"/>
      <c r="Z767" s="7"/>
    </row>
    <row r="768" ht="13.5" customHeight="1">
      <c r="A768" s="7"/>
      <c r="B768" s="7"/>
      <c r="C768" s="7"/>
      <c r="D768" s="7"/>
      <c r="E768" s="7"/>
      <c r="F768" s="7"/>
      <c r="G768" s="7"/>
      <c r="H768" s="7"/>
      <c r="I768" s="7"/>
      <c r="J768" s="7"/>
      <c r="K768" s="7"/>
      <c r="L768" s="7"/>
      <c r="M768" s="7"/>
      <c r="N768" s="7"/>
      <c r="O768" s="7"/>
      <c r="P768" s="7"/>
      <c r="Q768" s="7"/>
      <c r="R768" s="7"/>
      <c r="S768" s="7"/>
      <c r="T768" s="7"/>
      <c r="U768" s="7"/>
      <c r="V768" s="7"/>
      <c r="W768" s="7"/>
      <c r="X768" s="7"/>
      <c r="Y768" s="7"/>
      <c r="Z768" s="7"/>
    </row>
    <row r="769" ht="13.5" customHeight="1">
      <c r="A769" s="7"/>
      <c r="B769" s="7"/>
      <c r="C769" s="7"/>
      <c r="D769" s="7"/>
      <c r="E769" s="7"/>
      <c r="F769" s="7"/>
      <c r="G769" s="7"/>
      <c r="H769" s="7"/>
      <c r="I769" s="7"/>
      <c r="J769" s="7"/>
      <c r="K769" s="7"/>
      <c r="L769" s="7"/>
      <c r="M769" s="7"/>
      <c r="N769" s="7"/>
      <c r="O769" s="7"/>
      <c r="P769" s="7"/>
      <c r="Q769" s="7"/>
      <c r="R769" s="7"/>
      <c r="S769" s="7"/>
      <c r="T769" s="7"/>
      <c r="U769" s="7"/>
      <c r="V769" s="7"/>
      <c r="W769" s="7"/>
      <c r="X769" s="7"/>
      <c r="Y769" s="7"/>
      <c r="Z769" s="7"/>
    </row>
    <row r="770" ht="13.5" customHeight="1">
      <c r="A770" s="7"/>
      <c r="B770" s="7"/>
      <c r="C770" s="7"/>
      <c r="D770" s="7"/>
      <c r="E770" s="7"/>
      <c r="F770" s="7"/>
      <c r="G770" s="7"/>
      <c r="H770" s="7"/>
      <c r="I770" s="7"/>
      <c r="J770" s="7"/>
      <c r="K770" s="7"/>
      <c r="L770" s="7"/>
      <c r="M770" s="7"/>
      <c r="N770" s="7"/>
      <c r="O770" s="7"/>
      <c r="P770" s="7"/>
      <c r="Q770" s="7"/>
      <c r="R770" s="7"/>
      <c r="S770" s="7"/>
      <c r="T770" s="7"/>
      <c r="U770" s="7"/>
      <c r="V770" s="7"/>
      <c r="W770" s="7"/>
      <c r="X770" s="7"/>
      <c r="Y770" s="7"/>
      <c r="Z770" s="7"/>
    </row>
    <row r="771" ht="13.5" customHeight="1">
      <c r="A771" s="7"/>
      <c r="B771" s="7"/>
      <c r="C771" s="7"/>
      <c r="D771" s="7"/>
      <c r="E771" s="7"/>
      <c r="F771" s="7"/>
      <c r="G771" s="7"/>
      <c r="H771" s="7"/>
      <c r="I771" s="7"/>
      <c r="J771" s="7"/>
      <c r="K771" s="7"/>
      <c r="L771" s="7"/>
      <c r="M771" s="7"/>
      <c r="N771" s="7"/>
      <c r="O771" s="7"/>
      <c r="P771" s="7"/>
      <c r="Q771" s="7"/>
      <c r="R771" s="7"/>
      <c r="S771" s="7"/>
      <c r="T771" s="7"/>
      <c r="U771" s="7"/>
      <c r="V771" s="7"/>
      <c r="W771" s="7"/>
      <c r="X771" s="7"/>
      <c r="Y771" s="7"/>
      <c r="Z771" s="7"/>
    </row>
    <row r="772" ht="13.5" customHeight="1">
      <c r="A772" s="7"/>
      <c r="B772" s="7"/>
      <c r="C772" s="7"/>
      <c r="D772" s="7"/>
      <c r="E772" s="7"/>
      <c r="F772" s="7"/>
      <c r="G772" s="7"/>
      <c r="H772" s="7"/>
      <c r="I772" s="7"/>
      <c r="J772" s="7"/>
      <c r="K772" s="7"/>
      <c r="L772" s="7"/>
      <c r="M772" s="7"/>
      <c r="N772" s="7"/>
      <c r="O772" s="7"/>
      <c r="P772" s="7"/>
      <c r="Q772" s="7"/>
      <c r="R772" s="7"/>
      <c r="S772" s="7"/>
      <c r="T772" s="7"/>
      <c r="U772" s="7"/>
      <c r="V772" s="7"/>
      <c r="W772" s="7"/>
      <c r="X772" s="7"/>
      <c r="Y772" s="7"/>
      <c r="Z772" s="7"/>
    </row>
    <row r="773" ht="13.5" customHeight="1">
      <c r="A773" s="7"/>
      <c r="B773" s="7"/>
      <c r="C773" s="7"/>
      <c r="D773" s="7"/>
      <c r="E773" s="7"/>
      <c r="F773" s="7"/>
      <c r="G773" s="7"/>
      <c r="H773" s="7"/>
      <c r="I773" s="7"/>
      <c r="J773" s="7"/>
      <c r="K773" s="7"/>
      <c r="L773" s="7"/>
      <c r="M773" s="7"/>
      <c r="N773" s="7"/>
      <c r="O773" s="7"/>
      <c r="P773" s="7"/>
      <c r="Q773" s="7"/>
      <c r="R773" s="7"/>
      <c r="S773" s="7"/>
      <c r="T773" s="7"/>
      <c r="U773" s="7"/>
      <c r="V773" s="7"/>
      <c r="W773" s="7"/>
      <c r="X773" s="7"/>
      <c r="Y773" s="7"/>
      <c r="Z773" s="7"/>
    </row>
    <row r="774" ht="13.5" customHeight="1">
      <c r="A774" s="7"/>
      <c r="B774" s="7"/>
      <c r="C774" s="7"/>
      <c r="D774" s="7"/>
      <c r="E774" s="7"/>
      <c r="F774" s="7"/>
      <c r="G774" s="7"/>
      <c r="H774" s="7"/>
      <c r="I774" s="7"/>
      <c r="J774" s="7"/>
      <c r="K774" s="7"/>
      <c r="L774" s="7"/>
      <c r="M774" s="7"/>
      <c r="N774" s="7"/>
      <c r="O774" s="7"/>
      <c r="P774" s="7"/>
      <c r="Q774" s="7"/>
      <c r="R774" s="7"/>
      <c r="S774" s="7"/>
      <c r="T774" s="7"/>
      <c r="U774" s="7"/>
      <c r="V774" s="7"/>
      <c r="W774" s="7"/>
      <c r="X774" s="7"/>
      <c r="Y774" s="7"/>
      <c r="Z774" s="7"/>
    </row>
    <row r="775" ht="13.5" customHeight="1">
      <c r="A775" s="7"/>
      <c r="B775" s="7"/>
      <c r="C775" s="7"/>
      <c r="D775" s="7"/>
      <c r="E775" s="7"/>
      <c r="F775" s="7"/>
      <c r="G775" s="7"/>
      <c r="H775" s="7"/>
      <c r="I775" s="7"/>
      <c r="J775" s="7"/>
      <c r="K775" s="7"/>
      <c r="L775" s="7"/>
      <c r="M775" s="7"/>
      <c r="N775" s="7"/>
      <c r="O775" s="7"/>
      <c r="P775" s="7"/>
      <c r="Q775" s="7"/>
      <c r="R775" s="7"/>
      <c r="S775" s="7"/>
      <c r="T775" s="7"/>
      <c r="U775" s="7"/>
      <c r="V775" s="7"/>
      <c r="W775" s="7"/>
      <c r="X775" s="7"/>
      <c r="Y775" s="7"/>
      <c r="Z775" s="7"/>
    </row>
    <row r="776" ht="13.5" customHeight="1">
      <c r="A776" s="7"/>
      <c r="B776" s="7"/>
      <c r="C776" s="7"/>
      <c r="D776" s="7"/>
      <c r="E776" s="7"/>
      <c r="F776" s="7"/>
      <c r="G776" s="7"/>
      <c r="H776" s="7"/>
      <c r="I776" s="7"/>
      <c r="J776" s="7"/>
      <c r="K776" s="7"/>
      <c r="L776" s="7"/>
      <c r="M776" s="7"/>
      <c r="N776" s="7"/>
      <c r="O776" s="7"/>
      <c r="P776" s="7"/>
      <c r="Q776" s="7"/>
      <c r="R776" s="7"/>
      <c r="S776" s="7"/>
      <c r="T776" s="7"/>
      <c r="U776" s="7"/>
      <c r="V776" s="7"/>
      <c r="W776" s="7"/>
      <c r="X776" s="7"/>
      <c r="Y776" s="7"/>
      <c r="Z776" s="7"/>
    </row>
    <row r="777" ht="13.5" customHeight="1">
      <c r="A777" s="7"/>
      <c r="B777" s="7"/>
      <c r="C777" s="7"/>
      <c r="D777" s="7"/>
      <c r="E777" s="7"/>
      <c r="F777" s="7"/>
      <c r="G777" s="7"/>
      <c r="H777" s="7"/>
      <c r="I777" s="7"/>
      <c r="J777" s="7"/>
      <c r="K777" s="7"/>
      <c r="L777" s="7"/>
      <c r="M777" s="7"/>
      <c r="N777" s="7"/>
      <c r="O777" s="7"/>
      <c r="P777" s="7"/>
      <c r="Q777" s="7"/>
      <c r="R777" s="7"/>
      <c r="S777" s="7"/>
      <c r="T777" s="7"/>
      <c r="U777" s="7"/>
      <c r="V777" s="7"/>
      <c r="W777" s="7"/>
      <c r="X777" s="7"/>
      <c r="Y777" s="7"/>
      <c r="Z777" s="7"/>
    </row>
    <row r="778" ht="13.5" customHeight="1">
      <c r="A778" s="7"/>
      <c r="B778" s="7"/>
      <c r="C778" s="7"/>
      <c r="D778" s="7"/>
      <c r="E778" s="7"/>
      <c r="F778" s="7"/>
      <c r="G778" s="7"/>
      <c r="H778" s="7"/>
      <c r="I778" s="7"/>
      <c r="J778" s="7"/>
      <c r="K778" s="7"/>
      <c r="L778" s="7"/>
      <c r="M778" s="7"/>
      <c r="N778" s="7"/>
      <c r="O778" s="7"/>
      <c r="P778" s="7"/>
      <c r="Q778" s="7"/>
      <c r="R778" s="7"/>
      <c r="S778" s="7"/>
      <c r="T778" s="7"/>
      <c r="U778" s="7"/>
      <c r="V778" s="7"/>
      <c r="W778" s="7"/>
      <c r="X778" s="7"/>
      <c r="Y778" s="7"/>
      <c r="Z778" s="7"/>
    </row>
    <row r="779" ht="13.5" customHeight="1">
      <c r="A779" s="7"/>
      <c r="B779" s="7"/>
      <c r="C779" s="7"/>
      <c r="D779" s="7"/>
      <c r="E779" s="7"/>
      <c r="F779" s="7"/>
      <c r="G779" s="7"/>
      <c r="H779" s="7"/>
      <c r="I779" s="7"/>
      <c r="J779" s="7"/>
      <c r="K779" s="7"/>
      <c r="L779" s="7"/>
      <c r="M779" s="7"/>
      <c r="N779" s="7"/>
      <c r="O779" s="7"/>
      <c r="P779" s="7"/>
      <c r="Q779" s="7"/>
      <c r="R779" s="7"/>
      <c r="S779" s="7"/>
      <c r="T779" s="7"/>
      <c r="U779" s="7"/>
      <c r="V779" s="7"/>
      <c r="W779" s="7"/>
      <c r="X779" s="7"/>
      <c r="Y779" s="7"/>
      <c r="Z779" s="7"/>
    </row>
    <row r="780" ht="13.5" customHeight="1">
      <c r="A780" s="7"/>
      <c r="B780" s="7"/>
      <c r="C780" s="7"/>
      <c r="D780" s="7"/>
      <c r="E780" s="7"/>
      <c r="F780" s="7"/>
      <c r="G780" s="7"/>
      <c r="H780" s="7"/>
      <c r="I780" s="7"/>
      <c r="J780" s="7"/>
      <c r="K780" s="7"/>
      <c r="L780" s="7"/>
      <c r="M780" s="7"/>
      <c r="N780" s="7"/>
      <c r="O780" s="7"/>
      <c r="P780" s="7"/>
      <c r="Q780" s="7"/>
      <c r="R780" s="7"/>
      <c r="S780" s="7"/>
      <c r="T780" s="7"/>
      <c r="U780" s="7"/>
      <c r="V780" s="7"/>
      <c r="W780" s="7"/>
      <c r="X780" s="7"/>
      <c r="Y780" s="7"/>
      <c r="Z780" s="7"/>
    </row>
    <row r="781" ht="13.5" customHeight="1">
      <c r="A781" s="7"/>
      <c r="B781" s="7"/>
      <c r="C781" s="7"/>
      <c r="D781" s="7"/>
      <c r="E781" s="7"/>
      <c r="F781" s="7"/>
      <c r="G781" s="7"/>
      <c r="H781" s="7"/>
      <c r="I781" s="7"/>
      <c r="J781" s="7"/>
      <c r="K781" s="7"/>
      <c r="L781" s="7"/>
      <c r="M781" s="7"/>
      <c r="N781" s="7"/>
      <c r="O781" s="7"/>
      <c r="P781" s="7"/>
      <c r="Q781" s="7"/>
      <c r="R781" s="7"/>
      <c r="S781" s="7"/>
      <c r="T781" s="7"/>
      <c r="U781" s="7"/>
      <c r="V781" s="7"/>
      <c r="W781" s="7"/>
      <c r="X781" s="7"/>
      <c r="Y781" s="7"/>
      <c r="Z781" s="7"/>
    </row>
    <row r="782" ht="13.5" customHeight="1">
      <c r="A782" s="7"/>
      <c r="B782" s="7"/>
      <c r="C782" s="7"/>
      <c r="D782" s="7"/>
      <c r="E782" s="7"/>
      <c r="F782" s="7"/>
      <c r="G782" s="7"/>
      <c r="H782" s="7"/>
      <c r="I782" s="7"/>
      <c r="J782" s="7"/>
      <c r="K782" s="7"/>
      <c r="L782" s="7"/>
      <c r="M782" s="7"/>
      <c r="N782" s="7"/>
      <c r="O782" s="7"/>
      <c r="P782" s="7"/>
      <c r="Q782" s="7"/>
      <c r="R782" s="7"/>
      <c r="S782" s="7"/>
      <c r="T782" s="7"/>
      <c r="U782" s="7"/>
      <c r="V782" s="7"/>
      <c r="W782" s="7"/>
      <c r="X782" s="7"/>
      <c r="Y782" s="7"/>
      <c r="Z782" s="7"/>
    </row>
    <row r="783" ht="13.5" customHeight="1">
      <c r="A783" s="7"/>
      <c r="B783" s="7"/>
      <c r="C783" s="7"/>
      <c r="D783" s="7"/>
      <c r="E783" s="7"/>
      <c r="F783" s="7"/>
      <c r="G783" s="7"/>
      <c r="H783" s="7"/>
      <c r="I783" s="7"/>
      <c r="J783" s="7"/>
      <c r="K783" s="7"/>
      <c r="L783" s="7"/>
      <c r="M783" s="7"/>
      <c r="N783" s="7"/>
      <c r="O783" s="7"/>
      <c r="P783" s="7"/>
      <c r="Q783" s="7"/>
      <c r="R783" s="7"/>
      <c r="S783" s="7"/>
      <c r="T783" s="7"/>
      <c r="U783" s="7"/>
      <c r="V783" s="7"/>
      <c r="W783" s="7"/>
      <c r="X783" s="7"/>
      <c r="Y783" s="7"/>
      <c r="Z783" s="7"/>
    </row>
    <row r="784" ht="13.5" customHeight="1">
      <c r="A784" s="7"/>
      <c r="B784" s="7"/>
      <c r="C784" s="7"/>
      <c r="D784" s="7"/>
      <c r="E784" s="7"/>
      <c r="F784" s="7"/>
      <c r="G784" s="7"/>
      <c r="H784" s="7"/>
      <c r="I784" s="7"/>
      <c r="J784" s="7"/>
      <c r="K784" s="7"/>
      <c r="L784" s="7"/>
      <c r="M784" s="7"/>
      <c r="N784" s="7"/>
      <c r="O784" s="7"/>
      <c r="P784" s="7"/>
      <c r="Q784" s="7"/>
      <c r="R784" s="7"/>
      <c r="S784" s="7"/>
      <c r="T784" s="7"/>
      <c r="U784" s="7"/>
      <c r="V784" s="7"/>
      <c r="W784" s="7"/>
      <c r="X784" s="7"/>
      <c r="Y784" s="7"/>
      <c r="Z784" s="7"/>
    </row>
    <row r="785" ht="13.5" customHeight="1">
      <c r="A785" s="7"/>
      <c r="B785" s="7"/>
      <c r="C785" s="7"/>
      <c r="D785" s="7"/>
      <c r="E785" s="7"/>
      <c r="F785" s="7"/>
      <c r="G785" s="7"/>
      <c r="H785" s="7"/>
      <c r="I785" s="7"/>
      <c r="J785" s="7"/>
      <c r="K785" s="7"/>
      <c r="L785" s="7"/>
      <c r="M785" s="7"/>
      <c r="N785" s="7"/>
      <c r="O785" s="7"/>
      <c r="P785" s="7"/>
      <c r="Q785" s="7"/>
      <c r="R785" s="7"/>
      <c r="S785" s="7"/>
      <c r="T785" s="7"/>
      <c r="U785" s="7"/>
      <c r="V785" s="7"/>
      <c r="W785" s="7"/>
      <c r="X785" s="7"/>
      <c r="Y785" s="7"/>
      <c r="Z785" s="7"/>
    </row>
    <row r="786" ht="13.5" customHeight="1">
      <c r="A786" s="7"/>
      <c r="B786" s="7"/>
      <c r="C786" s="7"/>
      <c r="D786" s="7"/>
      <c r="E786" s="7"/>
      <c r="F786" s="7"/>
      <c r="G786" s="7"/>
      <c r="H786" s="7"/>
      <c r="I786" s="7"/>
      <c r="J786" s="7"/>
      <c r="K786" s="7"/>
      <c r="L786" s="7"/>
      <c r="M786" s="7"/>
      <c r="N786" s="7"/>
      <c r="O786" s="7"/>
      <c r="P786" s="7"/>
      <c r="Q786" s="7"/>
      <c r="R786" s="7"/>
      <c r="S786" s="7"/>
      <c r="T786" s="7"/>
      <c r="U786" s="7"/>
      <c r="V786" s="7"/>
      <c r="W786" s="7"/>
      <c r="X786" s="7"/>
      <c r="Y786" s="7"/>
      <c r="Z786" s="7"/>
    </row>
    <row r="787" ht="13.5" customHeight="1">
      <c r="A787" s="7"/>
      <c r="B787" s="7"/>
      <c r="C787" s="7"/>
      <c r="D787" s="7"/>
      <c r="E787" s="7"/>
      <c r="F787" s="7"/>
      <c r="G787" s="7"/>
      <c r="H787" s="7"/>
      <c r="I787" s="7"/>
      <c r="J787" s="7"/>
      <c r="K787" s="7"/>
      <c r="L787" s="7"/>
      <c r="M787" s="7"/>
      <c r="N787" s="7"/>
      <c r="O787" s="7"/>
      <c r="P787" s="7"/>
      <c r="Q787" s="7"/>
      <c r="R787" s="7"/>
      <c r="S787" s="7"/>
      <c r="T787" s="7"/>
      <c r="U787" s="7"/>
      <c r="V787" s="7"/>
      <c r="W787" s="7"/>
      <c r="X787" s="7"/>
      <c r="Y787" s="7"/>
      <c r="Z787" s="7"/>
    </row>
    <row r="788" ht="13.5" customHeight="1">
      <c r="A788" s="7"/>
      <c r="B788" s="7"/>
      <c r="C788" s="7"/>
      <c r="D788" s="7"/>
      <c r="E788" s="7"/>
      <c r="F788" s="7"/>
      <c r="G788" s="7"/>
      <c r="H788" s="7"/>
      <c r="I788" s="7"/>
      <c r="J788" s="7"/>
      <c r="K788" s="7"/>
      <c r="L788" s="7"/>
      <c r="M788" s="7"/>
      <c r="N788" s="7"/>
      <c r="O788" s="7"/>
      <c r="P788" s="7"/>
      <c r="Q788" s="7"/>
      <c r="R788" s="7"/>
      <c r="S788" s="7"/>
      <c r="T788" s="7"/>
      <c r="U788" s="7"/>
      <c r="V788" s="7"/>
      <c r="W788" s="7"/>
      <c r="X788" s="7"/>
      <c r="Y788" s="7"/>
      <c r="Z788" s="7"/>
    </row>
    <row r="789" ht="13.5" customHeight="1">
      <c r="A789" s="7"/>
      <c r="B789" s="7"/>
      <c r="C789" s="7"/>
      <c r="D789" s="7"/>
      <c r="E789" s="7"/>
      <c r="F789" s="7"/>
      <c r="G789" s="7"/>
      <c r="H789" s="7"/>
      <c r="I789" s="7"/>
      <c r="J789" s="7"/>
      <c r="K789" s="7"/>
      <c r="L789" s="7"/>
      <c r="M789" s="7"/>
      <c r="N789" s="7"/>
      <c r="O789" s="7"/>
      <c r="P789" s="7"/>
      <c r="Q789" s="7"/>
      <c r="R789" s="7"/>
      <c r="S789" s="7"/>
      <c r="T789" s="7"/>
      <c r="U789" s="7"/>
      <c r="V789" s="7"/>
      <c r="W789" s="7"/>
      <c r="X789" s="7"/>
      <c r="Y789" s="7"/>
      <c r="Z789" s="7"/>
    </row>
    <row r="790" ht="13.5" customHeight="1">
      <c r="A790" s="7"/>
      <c r="B790" s="7"/>
      <c r="C790" s="7"/>
      <c r="D790" s="7"/>
      <c r="E790" s="7"/>
      <c r="F790" s="7"/>
      <c r="G790" s="7"/>
      <c r="H790" s="7"/>
      <c r="I790" s="7"/>
      <c r="J790" s="7"/>
      <c r="K790" s="7"/>
      <c r="L790" s="7"/>
      <c r="M790" s="7"/>
      <c r="N790" s="7"/>
      <c r="O790" s="7"/>
      <c r="P790" s="7"/>
      <c r="Q790" s="7"/>
      <c r="R790" s="7"/>
      <c r="S790" s="7"/>
      <c r="T790" s="7"/>
      <c r="U790" s="7"/>
      <c r="V790" s="7"/>
      <c r="W790" s="7"/>
      <c r="X790" s="7"/>
      <c r="Y790" s="7"/>
      <c r="Z790" s="7"/>
    </row>
    <row r="791" ht="13.5" customHeight="1">
      <c r="A791" s="7"/>
      <c r="B791" s="7"/>
      <c r="C791" s="7"/>
      <c r="D791" s="7"/>
      <c r="E791" s="7"/>
      <c r="F791" s="7"/>
      <c r="G791" s="7"/>
      <c r="H791" s="7"/>
      <c r="I791" s="7"/>
      <c r="J791" s="7"/>
      <c r="K791" s="7"/>
      <c r="L791" s="7"/>
      <c r="M791" s="7"/>
      <c r="N791" s="7"/>
      <c r="O791" s="7"/>
      <c r="P791" s="7"/>
      <c r="Q791" s="7"/>
      <c r="R791" s="7"/>
      <c r="S791" s="7"/>
      <c r="T791" s="7"/>
      <c r="U791" s="7"/>
      <c r="V791" s="7"/>
      <c r="W791" s="7"/>
      <c r="X791" s="7"/>
      <c r="Y791" s="7"/>
      <c r="Z791" s="7"/>
    </row>
    <row r="792" ht="13.5" customHeight="1">
      <c r="A792" s="7"/>
      <c r="B792" s="7"/>
      <c r="C792" s="7"/>
      <c r="D792" s="7"/>
      <c r="E792" s="7"/>
      <c r="F792" s="7"/>
      <c r="G792" s="7"/>
      <c r="H792" s="7"/>
      <c r="I792" s="7"/>
      <c r="J792" s="7"/>
      <c r="K792" s="7"/>
      <c r="L792" s="7"/>
      <c r="M792" s="7"/>
      <c r="N792" s="7"/>
      <c r="O792" s="7"/>
      <c r="P792" s="7"/>
      <c r="Q792" s="7"/>
      <c r="R792" s="7"/>
      <c r="S792" s="7"/>
      <c r="T792" s="7"/>
      <c r="U792" s="7"/>
      <c r="V792" s="7"/>
      <c r="W792" s="7"/>
      <c r="X792" s="7"/>
      <c r="Y792" s="7"/>
      <c r="Z792" s="7"/>
    </row>
    <row r="793" ht="13.5" customHeight="1">
      <c r="A793" s="7"/>
      <c r="B793" s="7"/>
      <c r="C793" s="7"/>
      <c r="D793" s="7"/>
      <c r="E793" s="7"/>
      <c r="F793" s="7"/>
      <c r="G793" s="7"/>
      <c r="H793" s="7"/>
      <c r="I793" s="7"/>
      <c r="J793" s="7"/>
      <c r="K793" s="7"/>
      <c r="L793" s="7"/>
      <c r="M793" s="7"/>
      <c r="N793" s="7"/>
      <c r="O793" s="7"/>
      <c r="P793" s="7"/>
      <c r="Q793" s="7"/>
      <c r="R793" s="7"/>
      <c r="S793" s="7"/>
      <c r="T793" s="7"/>
      <c r="U793" s="7"/>
      <c r="V793" s="7"/>
      <c r="W793" s="7"/>
      <c r="X793" s="7"/>
      <c r="Y793" s="7"/>
      <c r="Z793" s="7"/>
    </row>
    <row r="794" ht="13.5" customHeight="1">
      <c r="A794" s="7"/>
      <c r="B794" s="7"/>
      <c r="C794" s="7"/>
      <c r="D794" s="7"/>
      <c r="E794" s="7"/>
      <c r="F794" s="7"/>
      <c r="G794" s="7"/>
      <c r="H794" s="7"/>
      <c r="I794" s="7"/>
      <c r="J794" s="7"/>
      <c r="K794" s="7"/>
      <c r="L794" s="7"/>
      <c r="M794" s="7"/>
      <c r="N794" s="7"/>
      <c r="O794" s="7"/>
      <c r="P794" s="7"/>
      <c r="Q794" s="7"/>
      <c r="R794" s="7"/>
      <c r="S794" s="7"/>
      <c r="T794" s="7"/>
      <c r="U794" s="7"/>
      <c r="V794" s="7"/>
      <c r="W794" s="7"/>
      <c r="X794" s="7"/>
      <c r="Y794" s="7"/>
      <c r="Z794" s="7"/>
    </row>
    <row r="795" ht="13.5" customHeight="1">
      <c r="A795" s="7"/>
      <c r="B795" s="7"/>
      <c r="C795" s="7"/>
      <c r="D795" s="7"/>
      <c r="E795" s="7"/>
      <c r="F795" s="7"/>
      <c r="G795" s="7"/>
      <c r="H795" s="7"/>
      <c r="I795" s="7"/>
      <c r="J795" s="7"/>
      <c r="K795" s="7"/>
      <c r="L795" s="7"/>
      <c r="M795" s="7"/>
      <c r="N795" s="7"/>
      <c r="O795" s="7"/>
      <c r="P795" s="7"/>
      <c r="Q795" s="7"/>
      <c r="R795" s="7"/>
      <c r="S795" s="7"/>
      <c r="T795" s="7"/>
      <c r="U795" s="7"/>
      <c r="V795" s="7"/>
      <c r="W795" s="7"/>
      <c r="X795" s="7"/>
      <c r="Y795" s="7"/>
      <c r="Z795" s="7"/>
    </row>
    <row r="796" ht="13.5" customHeight="1">
      <c r="A796" s="7"/>
      <c r="B796" s="7"/>
      <c r="C796" s="7"/>
      <c r="D796" s="7"/>
      <c r="E796" s="7"/>
      <c r="F796" s="7"/>
      <c r="G796" s="7"/>
      <c r="H796" s="7"/>
      <c r="I796" s="7"/>
      <c r="J796" s="7"/>
      <c r="K796" s="7"/>
      <c r="L796" s="7"/>
      <c r="M796" s="7"/>
      <c r="N796" s="7"/>
      <c r="O796" s="7"/>
      <c r="P796" s="7"/>
      <c r="Q796" s="7"/>
      <c r="R796" s="7"/>
      <c r="S796" s="7"/>
      <c r="T796" s="7"/>
      <c r="U796" s="7"/>
      <c r="V796" s="7"/>
      <c r="W796" s="7"/>
      <c r="X796" s="7"/>
      <c r="Y796" s="7"/>
      <c r="Z796" s="7"/>
    </row>
    <row r="797" ht="13.5" customHeight="1">
      <c r="A797" s="7"/>
      <c r="B797" s="7"/>
      <c r="C797" s="7"/>
      <c r="D797" s="7"/>
      <c r="E797" s="7"/>
      <c r="F797" s="7"/>
      <c r="G797" s="7"/>
      <c r="H797" s="7"/>
      <c r="I797" s="7"/>
      <c r="J797" s="7"/>
      <c r="K797" s="7"/>
      <c r="L797" s="7"/>
      <c r="M797" s="7"/>
      <c r="N797" s="7"/>
      <c r="O797" s="7"/>
      <c r="P797" s="7"/>
      <c r="Q797" s="7"/>
      <c r="R797" s="7"/>
      <c r="S797" s="7"/>
      <c r="T797" s="7"/>
      <c r="U797" s="7"/>
      <c r="V797" s="7"/>
      <c r="W797" s="7"/>
      <c r="X797" s="7"/>
      <c r="Y797" s="7"/>
      <c r="Z797" s="7"/>
    </row>
    <row r="798" ht="13.5" customHeight="1">
      <c r="A798" s="7"/>
      <c r="B798" s="7"/>
      <c r="C798" s="7"/>
      <c r="D798" s="7"/>
      <c r="E798" s="7"/>
      <c r="F798" s="7"/>
      <c r="G798" s="7"/>
      <c r="H798" s="7"/>
      <c r="I798" s="7"/>
      <c r="J798" s="7"/>
      <c r="K798" s="7"/>
      <c r="L798" s="7"/>
      <c r="M798" s="7"/>
      <c r="N798" s="7"/>
      <c r="O798" s="7"/>
      <c r="P798" s="7"/>
      <c r="Q798" s="7"/>
      <c r="R798" s="7"/>
      <c r="S798" s="7"/>
      <c r="T798" s="7"/>
      <c r="U798" s="7"/>
      <c r="V798" s="7"/>
      <c r="W798" s="7"/>
      <c r="X798" s="7"/>
      <c r="Y798" s="7"/>
      <c r="Z798" s="7"/>
    </row>
    <row r="799" ht="13.5" customHeight="1">
      <c r="A799" s="7"/>
      <c r="B799" s="7"/>
      <c r="C799" s="7"/>
      <c r="D799" s="7"/>
      <c r="E799" s="7"/>
      <c r="F799" s="7"/>
      <c r="G799" s="7"/>
      <c r="H799" s="7"/>
      <c r="I799" s="7"/>
      <c r="J799" s="7"/>
      <c r="K799" s="7"/>
      <c r="L799" s="7"/>
      <c r="M799" s="7"/>
      <c r="N799" s="7"/>
      <c r="O799" s="7"/>
      <c r="P799" s="7"/>
      <c r="Q799" s="7"/>
      <c r="R799" s="7"/>
      <c r="S799" s="7"/>
      <c r="T799" s="7"/>
      <c r="U799" s="7"/>
      <c r="V799" s="7"/>
      <c r="W799" s="7"/>
      <c r="X799" s="7"/>
      <c r="Y799" s="7"/>
      <c r="Z799" s="7"/>
    </row>
    <row r="800" ht="13.5" customHeight="1">
      <c r="A800" s="7"/>
      <c r="B800" s="7"/>
      <c r="C800" s="7"/>
      <c r="D800" s="7"/>
      <c r="E800" s="7"/>
      <c r="F800" s="7"/>
      <c r="G800" s="7"/>
      <c r="H800" s="7"/>
      <c r="I800" s="7"/>
      <c r="J800" s="7"/>
      <c r="K800" s="7"/>
      <c r="L800" s="7"/>
      <c r="M800" s="7"/>
      <c r="N800" s="7"/>
      <c r="O800" s="7"/>
      <c r="P800" s="7"/>
      <c r="Q800" s="7"/>
      <c r="R800" s="7"/>
      <c r="S800" s="7"/>
      <c r="T800" s="7"/>
      <c r="U800" s="7"/>
      <c r="V800" s="7"/>
      <c r="W800" s="7"/>
      <c r="X800" s="7"/>
      <c r="Y800" s="7"/>
      <c r="Z800" s="7"/>
    </row>
    <row r="801" ht="13.5" customHeight="1">
      <c r="A801" s="7"/>
      <c r="B801" s="7"/>
      <c r="C801" s="7"/>
      <c r="D801" s="7"/>
      <c r="E801" s="7"/>
      <c r="F801" s="7"/>
      <c r="G801" s="7"/>
      <c r="H801" s="7"/>
      <c r="I801" s="7"/>
      <c r="J801" s="7"/>
      <c r="K801" s="7"/>
      <c r="L801" s="7"/>
      <c r="M801" s="7"/>
      <c r="N801" s="7"/>
      <c r="O801" s="7"/>
      <c r="P801" s="7"/>
      <c r="Q801" s="7"/>
      <c r="R801" s="7"/>
      <c r="S801" s="7"/>
      <c r="T801" s="7"/>
      <c r="U801" s="7"/>
      <c r="V801" s="7"/>
      <c r="W801" s="7"/>
      <c r="X801" s="7"/>
      <c r="Y801" s="7"/>
      <c r="Z801" s="7"/>
    </row>
    <row r="802" ht="13.5" customHeight="1">
      <c r="A802" s="7"/>
      <c r="B802" s="7"/>
      <c r="C802" s="7"/>
      <c r="D802" s="7"/>
      <c r="E802" s="7"/>
      <c r="F802" s="7"/>
      <c r="G802" s="7"/>
      <c r="H802" s="7"/>
      <c r="I802" s="7"/>
      <c r="J802" s="7"/>
      <c r="K802" s="7"/>
      <c r="L802" s="7"/>
      <c r="M802" s="7"/>
      <c r="N802" s="7"/>
      <c r="O802" s="7"/>
      <c r="P802" s="7"/>
      <c r="Q802" s="7"/>
      <c r="R802" s="7"/>
      <c r="S802" s="7"/>
      <c r="T802" s="7"/>
      <c r="U802" s="7"/>
      <c r="V802" s="7"/>
      <c r="W802" s="7"/>
      <c r="X802" s="7"/>
      <c r="Y802" s="7"/>
      <c r="Z802" s="7"/>
    </row>
    <row r="803" ht="13.5" customHeight="1">
      <c r="A803" s="7"/>
      <c r="B803" s="7"/>
      <c r="C803" s="7"/>
      <c r="D803" s="7"/>
      <c r="E803" s="7"/>
      <c r="F803" s="7"/>
      <c r="G803" s="7"/>
      <c r="H803" s="7"/>
      <c r="I803" s="7"/>
      <c r="J803" s="7"/>
      <c r="K803" s="7"/>
      <c r="L803" s="7"/>
      <c r="M803" s="7"/>
      <c r="N803" s="7"/>
      <c r="O803" s="7"/>
      <c r="P803" s="7"/>
      <c r="Q803" s="7"/>
      <c r="R803" s="7"/>
      <c r="S803" s="7"/>
      <c r="T803" s="7"/>
      <c r="U803" s="7"/>
      <c r="V803" s="7"/>
      <c r="W803" s="7"/>
      <c r="X803" s="7"/>
      <c r="Y803" s="7"/>
      <c r="Z803" s="7"/>
    </row>
    <row r="804" ht="13.5" customHeight="1">
      <c r="A804" s="7"/>
      <c r="B804" s="7"/>
      <c r="C804" s="7"/>
      <c r="D804" s="7"/>
      <c r="E804" s="7"/>
      <c r="F804" s="7"/>
      <c r="G804" s="7"/>
      <c r="H804" s="7"/>
      <c r="I804" s="7"/>
      <c r="J804" s="7"/>
      <c r="K804" s="7"/>
      <c r="L804" s="7"/>
      <c r="M804" s="7"/>
      <c r="N804" s="7"/>
      <c r="O804" s="7"/>
      <c r="P804" s="7"/>
      <c r="Q804" s="7"/>
      <c r="R804" s="7"/>
      <c r="S804" s="7"/>
      <c r="T804" s="7"/>
      <c r="U804" s="7"/>
      <c r="V804" s="7"/>
      <c r="W804" s="7"/>
      <c r="X804" s="7"/>
      <c r="Y804" s="7"/>
      <c r="Z804" s="7"/>
    </row>
    <row r="805" ht="13.5" customHeight="1">
      <c r="A805" s="7"/>
      <c r="B805" s="7"/>
      <c r="C805" s="7"/>
      <c r="D805" s="7"/>
      <c r="E805" s="7"/>
      <c r="F805" s="7"/>
      <c r="G805" s="7"/>
      <c r="H805" s="7"/>
      <c r="I805" s="7"/>
      <c r="J805" s="7"/>
      <c r="K805" s="7"/>
      <c r="L805" s="7"/>
      <c r="M805" s="7"/>
      <c r="N805" s="7"/>
      <c r="O805" s="7"/>
      <c r="P805" s="7"/>
      <c r="Q805" s="7"/>
      <c r="R805" s="7"/>
      <c r="S805" s="7"/>
      <c r="T805" s="7"/>
      <c r="U805" s="7"/>
      <c r="V805" s="7"/>
      <c r="W805" s="7"/>
      <c r="X805" s="7"/>
      <c r="Y805" s="7"/>
      <c r="Z805" s="7"/>
    </row>
    <row r="806" ht="13.5" customHeight="1">
      <c r="A806" s="7"/>
      <c r="B806" s="7"/>
      <c r="C806" s="7"/>
      <c r="D806" s="7"/>
      <c r="E806" s="7"/>
      <c r="F806" s="7"/>
      <c r="G806" s="7"/>
      <c r="H806" s="7"/>
      <c r="I806" s="7"/>
      <c r="J806" s="7"/>
      <c r="K806" s="7"/>
      <c r="L806" s="7"/>
      <c r="M806" s="7"/>
      <c r="N806" s="7"/>
      <c r="O806" s="7"/>
      <c r="P806" s="7"/>
      <c r="Q806" s="7"/>
      <c r="R806" s="7"/>
      <c r="S806" s="7"/>
      <c r="T806" s="7"/>
      <c r="U806" s="7"/>
      <c r="V806" s="7"/>
      <c r="W806" s="7"/>
      <c r="X806" s="7"/>
      <c r="Y806" s="7"/>
      <c r="Z806" s="7"/>
    </row>
    <row r="807" ht="13.5" customHeight="1">
      <c r="A807" s="7"/>
      <c r="B807" s="7"/>
      <c r="C807" s="7"/>
      <c r="D807" s="7"/>
      <c r="E807" s="7"/>
      <c r="F807" s="7"/>
      <c r="G807" s="7"/>
      <c r="H807" s="7"/>
      <c r="I807" s="7"/>
      <c r="J807" s="7"/>
      <c r="K807" s="7"/>
      <c r="L807" s="7"/>
      <c r="M807" s="7"/>
      <c r="N807" s="7"/>
      <c r="O807" s="7"/>
      <c r="P807" s="7"/>
      <c r="Q807" s="7"/>
      <c r="R807" s="7"/>
      <c r="S807" s="7"/>
      <c r="T807" s="7"/>
      <c r="U807" s="7"/>
      <c r="V807" s="7"/>
      <c r="W807" s="7"/>
      <c r="X807" s="7"/>
      <c r="Y807" s="7"/>
      <c r="Z807" s="7"/>
    </row>
    <row r="808" ht="13.5" customHeight="1">
      <c r="A808" s="7"/>
      <c r="B808" s="7"/>
      <c r="C808" s="7"/>
      <c r="D808" s="7"/>
      <c r="E808" s="7"/>
      <c r="F808" s="7"/>
      <c r="G808" s="7"/>
      <c r="H808" s="7"/>
      <c r="I808" s="7"/>
      <c r="J808" s="7"/>
      <c r="K808" s="7"/>
      <c r="L808" s="7"/>
      <c r="M808" s="7"/>
      <c r="N808" s="7"/>
      <c r="O808" s="7"/>
      <c r="P808" s="7"/>
      <c r="Q808" s="7"/>
      <c r="R808" s="7"/>
      <c r="S808" s="7"/>
      <c r="T808" s="7"/>
      <c r="U808" s="7"/>
      <c r="V808" s="7"/>
      <c r="W808" s="7"/>
      <c r="X808" s="7"/>
      <c r="Y808" s="7"/>
      <c r="Z808" s="7"/>
    </row>
    <row r="809" ht="13.5" customHeight="1">
      <c r="A809" s="7"/>
      <c r="B809" s="7"/>
      <c r="C809" s="7"/>
      <c r="D809" s="7"/>
      <c r="E809" s="7"/>
      <c r="F809" s="7"/>
      <c r="G809" s="7"/>
      <c r="H809" s="7"/>
      <c r="I809" s="7"/>
      <c r="J809" s="7"/>
      <c r="K809" s="7"/>
      <c r="L809" s="7"/>
      <c r="M809" s="7"/>
      <c r="N809" s="7"/>
      <c r="O809" s="7"/>
      <c r="P809" s="7"/>
      <c r="Q809" s="7"/>
      <c r="R809" s="7"/>
      <c r="S809" s="7"/>
      <c r="T809" s="7"/>
      <c r="U809" s="7"/>
      <c r="V809" s="7"/>
      <c r="W809" s="7"/>
      <c r="X809" s="7"/>
      <c r="Y809" s="7"/>
      <c r="Z809" s="7"/>
    </row>
    <row r="810" ht="13.5" customHeight="1">
      <c r="A810" s="7"/>
      <c r="B810" s="7"/>
      <c r="C810" s="7"/>
      <c r="D810" s="7"/>
      <c r="E810" s="7"/>
      <c r="F810" s="7"/>
      <c r="G810" s="7"/>
      <c r="H810" s="7"/>
      <c r="I810" s="7"/>
      <c r="J810" s="7"/>
      <c r="K810" s="7"/>
      <c r="L810" s="7"/>
      <c r="M810" s="7"/>
      <c r="N810" s="7"/>
      <c r="O810" s="7"/>
      <c r="P810" s="7"/>
      <c r="Q810" s="7"/>
      <c r="R810" s="7"/>
      <c r="S810" s="7"/>
      <c r="T810" s="7"/>
      <c r="U810" s="7"/>
      <c r="V810" s="7"/>
      <c r="W810" s="7"/>
      <c r="X810" s="7"/>
      <c r="Y810" s="7"/>
      <c r="Z810" s="7"/>
    </row>
    <row r="811" ht="13.5" customHeight="1">
      <c r="A811" s="7"/>
      <c r="B811" s="7"/>
      <c r="C811" s="7"/>
      <c r="D811" s="7"/>
      <c r="E811" s="7"/>
      <c r="F811" s="7"/>
      <c r="G811" s="7"/>
      <c r="H811" s="7"/>
      <c r="I811" s="7"/>
      <c r="J811" s="7"/>
      <c r="K811" s="7"/>
      <c r="L811" s="7"/>
      <c r="M811" s="7"/>
      <c r="N811" s="7"/>
      <c r="O811" s="7"/>
      <c r="P811" s="7"/>
      <c r="Q811" s="7"/>
      <c r="R811" s="7"/>
      <c r="S811" s="7"/>
      <c r="T811" s="7"/>
      <c r="U811" s="7"/>
      <c r="V811" s="7"/>
      <c r="W811" s="7"/>
      <c r="X811" s="7"/>
      <c r="Y811" s="7"/>
      <c r="Z811" s="7"/>
    </row>
    <row r="812" ht="13.5" customHeight="1">
      <c r="A812" s="7"/>
      <c r="B812" s="7"/>
      <c r="C812" s="7"/>
      <c r="D812" s="7"/>
      <c r="E812" s="7"/>
      <c r="F812" s="7"/>
      <c r="G812" s="7"/>
      <c r="H812" s="7"/>
      <c r="I812" s="7"/>
      <c r="J812" s="7"/>
      <c r="K812" s="7"/>
      <c r="L812" s="7"/>
      <c r="M812" s="7"/>
      <c r="N812" s="7"/>
      <c r="O812" s="7"/>
      <c r="P812" s="7"/>
      <c r="Q812" s="7"/>
      <c r="R812" s="7"/>
      <c r="S812" s="7"/>
      <c r="T812" s="7"/>
      <c r="U812" s="7"/>
      <c r="V812" s="7"/>
      <c r="W812" s="7"/>
      <c r="X812" s="7"/>
      <c r="Y812" s="7"/>
      <c r="Z812" s="7"/>
    </row>
    <row r="813" ht="13.5" customHeight="1">
      <c r="A813" s="7"/>
      <c r="B813" s="7"/>
      <c r="C813" s="7"/>
      <c r="D813" s="7"/>
      <c r="E813" s="7"/>
      <c r="F813" s="7"/>
      <c r="G813" s="7"/>
      <c r="H813" s="7"/>
      <c r="I813" s="7"/>
      <c r="J813" s="7"/>
      <c r="K813" s="7"/>
      <c r="L813" s="7"/>
      <c r="M813" s="7"/>
      <c r="N813" s="7"/>
      <c r="O813" s="7"/>
      <c r="P813" s="7"/>
      <c r="Q813" s="7"/>
      <c r="R813" s="7"/>
      <c r="S813" s="7"/>
      <c r="T813" s="7"/>
      <c r="U813" s="7"/>
      <c r="V813" s="7"/>
      <c r="W813" s="7"/>
      <c r="X813" s="7"/>
      <c r="Y813" s="7"/>
      <c r="Z813" s="7"/>
    </row>
    <row r="814" ht="13.5" customHeight="1">
      <c r="A814" s="7"/>
      <c r="B814" s="7"/>
      <c r="C814" s="7"/>
      <c r="D814" s="7"/>
      <c r="E814" s="7"/>
      <c r="F814" s="7"/>
      <c r="G814" s="7"/>
      <c r="H814" s="7"/>
      <c r="I814" s="7"/>
      <c r="J814" s="7"/>
      <c r="K814" s="7"/>
      <c r="L814" s="7"/>
      <c r="M814" s="7"/>
      <c r="N814" s="7"/>
      <c r="O814" s="7"/>
      <c r="P814" s="7"/>
      <c r="Q814" s="7"/>
      <c r="R814" s="7"/>
      <c r="S814" s="7"/>
      <c r="T814" s="7"/>
      <c r="U814" s="7"/>
      <c r="V814" s="7"/>
      <c r="W814" s="7"/>
      <c r="X814" s="7"/>
      <c r="Y814" s="7"/>
      <c r="Z814" s="7"/>
    </row>
    <row r="815" ht="13.5" customHeight="1">
      <c r="A815" s="7"/>
      <c r="B815" s="7"/>
      <c r="C815" s="7"/>
      <c r="D815" s="7"/>
      <c r="E815" s="7"/>
      <c r="F815" s="7"/>
      <c r="G815" s="7"/>
      <c r="H815" s="7"/>
      <c r="I815" s="7"/>
      <c r="J815" s="7"/>
      <c r="K815" s="7"/>
      <c r="L815" s="7"/>
      <c r="M815" s="7"/>
      <c r="N815" s="7"/>
      <c r="O815" s="7"/>
      <c r="P815" s="7"/>
      <c r="Q815" s="7"/>
      <c r="R815" s="7"/>
      <c r="S815" s="7"/>
      <c r="T815" s="7"/>
      <c r="U815" s="7"/>
      <c r="V815" s="7"/>
      <c r="W815" s="7"/>
      <c r="X815" s="7"/>
      <c r="Y815" s="7"/>
      <c r="Z815" s="7"/>
    </row>
    <row r="816" ht="13.5" customHeight="1">
      <c r="A816" s="7"/>
      <c r="B816" s="7"/>
      <c r="C816" s="7"/>
      <c r="D816" s="7"/>
      <c r="E816" s="7"/>
      <c r="F816" s="7"/>
      <c r="G816" s="7"/>
      <c r="H816" s="7"/>
      <c r="I816" s="7"/>
      <c r="J816" s="7"/>
      <c r="K816" s="7"/>
      <c r="L816" s="7"/>
      <c r="M816" s="7"/>
      <c r="N816" s="7"/>
      <c r="O816" s="7"/>
      <c r="P816" s="7"/>
      <c r="Q816" s="7"/>
      <c r="R816" s="7"/>
      <c r="S816" s="7"/>
      <c r="T816" s="7"/>
      <c r="U816" s="7"/>
      <c r="V816" s="7"/>
      <c r="W816" s="7"/>
      <c r="X816" s="7"/>
      <c r="Y816" s="7"/>
      <c r="Z816" s="7"/>
    </row>
    <row r="817" ht="13.5" customHeight="1">
      <c r="A817" s="7"/>
      <c r="B817" s="7"/>
      <c r="C817" s="7"/>
      <c r="D817" s="7"/>
      <c r="E817" s="7"/>
      <c r="F817" s="7"/>
      <c r="G817" s="7"/>
      <c r="H817" s="7"/>
      <c r="I817" s="7"/>
      <c r="J817" s="7"/>
      <c r="K817" s="7"/>
      <c r="L817" s="7"/>
      <c r="M817" s="7"/>
      <c r="N817" s="7"/>
      <c r="O817" s="7"/>
      <c r="P817" s="7"/>
      <c r="Q817" s="7"/>
      <c r="R817" s="7"/>
      <c r="S817" s="7"/>
      <c r="T817" s="7"/>
      <c r="U817" s="7"/>
      <c r="V817" s="7"/>
      <c r="W817" s="7"/>
      <c r="X817" s="7"/>
      <c r="Y817" s="7"/>
      <c r="Z817" s="7"/>
    </row>
    <row r="818" ht="13.5" customHeight="1">
      <c r="A818" s="7"/>
      <c r="B818" s="7"/>
      <c r="C818" s="7"/>
      <c r="D818" s="7"/>
      <c r="E818" s="7"/>
      <c r="F818" s="7"/>
      <c r="G818" s="7"/>
      <c r="H818" s="7"/>
      <c r="I818" s="7"/>
      <c r="J818" s="7"/>
      <c r="K818" s="7"/>
      <c r="L818" s="7"/>
      <c r="M818" s="7"/>
      <c r="N818" s="7"/>
      <c r="O818" s="7"/>
      <c r="P818" s="7"/>
      <c r="Q818" s="7"/>
      <c r="R818" s="7"/>
      <c r="S818" s="7"/>
      <c r="T818" s="7"/>
      <c r="U818" s="7"/>
      <c r="V818" s="7"/>
      <c r="W818" s="7"/>
      <c r="X818" s="7"/>
      <c r="Y818" s="7"/>
      <c r="Z818" s="7"/>
    </row>
    <row r="819" ht="13.5" customHeight="1">
      <c r="A819" s="7"/>
      <c r="B819" s="7"/>
      <c r="C819" s="7"/>
      <c r="D819" s="7"/>
      <c r="E819" s="7"/>
      <c r="F819" s="7"/>
      <c r="G819" s="7"/>
      <c r="H819" s="7"/>
      <c r="I819" s="7"/>
      <c r="J819" s="7"/>
      <c r="K819" s="7"/>
      <c r="L819" s="7"/>
      <c r="M819" s="7"/>
      <c r="N819" s="7"/>
      <c r="O819" s="7"/>
      <c r="P819" s="7"/>
      <c r="Q819" s="7"/>
      <c r="R819" s="7"/>
      <c r="S819" s="7"/>
      <c r="T819" s="7"/>
      <c r="U819" s="7"/>
      <c r="V819" s="7"/>
      <c r="W819" s="7"/>
      <c r="X819" s="7"/>
      <c r="Y819" s="7"/>
      <c r="Z819" s="7"/>
    </row>
    <row r="820" ht="13.5" customHeight="1">
      <c r="A820" s="7"/>
      <c r="B820" s="7"/>
      <c r="C820" s="7"/>
      <c r="D820" s="7"/>
      <c r="E820" s="7"/>
      <c r="F820" s="7"/>
      <c r="G820" s="7"/>
      <c r="H820" s="7"/>
      <c r="I820" s="7"/>
      <c r="J820" s="7"/>
      <c r="K820" s="7"/>
      <c r="L820" s="7"/>
      <c r="M820" s="7"/>
      <c r="N820" s="7"/>
      <c r="O820" s="7"/>
      <c r="P820" s="7"/>
      <c r="Q820" s="7"/>
      <c r="R820" s="7"/>
      <c r="S820" s="7"/>
      <c r="T820" s="7"/>
      <c r="U820" s="7"/>
      <c r="V820" s="7"/>
      <c r="W820" s="7"/>
      <c r="X820" s="7"/>
      <c r="Y820" s="7"/>
      <c r="Z820" s="7"/>
    </row>
    <row r="821" ht="13.5" customHeight="1">
      <c r="A821" s="7"/>
      <c r="B821" s="7"/>
      <c r="C821" s="7"/>
      <c r="D821" s="7"/>
      <c r="E821" s="7"/>
      <c r="F821" s="7"/>
      <c r="G821" s="7"/>
      <c r="H821" s="7"/>
      <c r="I821" s="7"/>
      <c r="J821" s="7"/>
      <c r="K821" s="7"/>
      <c r="L821" s="7"/>
      <c r="M821" s="7"/>
      <c r="N821" s="7"/>
      <c r="O821" s="7"/>
      <c r="P821" s="7"/>
      <c r="Q821" s="7"/>
      <c r="R821" s="7"/>
      <c r="S821" s="7"/>
      <c r="T821" s="7"/>
      <c r="U821" s="7"/>
      <c r="V821" s="7"/>
      <c r="W821" s="7"/>
      <c r="X821" s="7"/>
      <c r="Y821" s="7"/>
      <c r="Z821" s="7"/>
    </row>
    <row r="822" ht="13.5" customHeight="1">
      <c r="A822" s="7"/>
      <c r="B822" s="7"/>
      <c r="C822" s="7"/>
      <c r="D822" s="7"/>
      <c r="E822" s="7"/>
      <c r="F822" s="7"/>
      <c r="G822" s="7"/>
      <c r="H822" s="7"/>
      <c r="I822" s="7"/>
      <c r="J822" s="7"/>
      <c r="K822" s="7"/>
      <c r="L822" s="7"/>
      <c r="M822" s="7"/>
      <c r="N822" s="7"/>
      <c r="O822" s="7"/>
      <c r="P822" s="7"/>
      <c r="Q822" s="7"/>
      <c r="R822" s="7"/>
      <c r="S822" s="7"/>
      <c r="T822" s="7"/>
      <c r="U822" s="7"/>
      <c r="V822" s="7"/>
      <c r="W822" s="7"/>
      <c r="X822" s="7"/>
      <c r="Y822" s="7"/>
      <c r="Z822" s="7"/>
    </row>
    <row r="823" ht="13.5" customHeight="1">
      <c r="A823" s="7"/>
      <c r="B823" s="7"/>
      <c r="C823" s="7"/>
      <c r="D823" s="7"/>
      <c r="E823" s="7"/>
      <c r="F823" s="7"/>
      <c r="G823" s="7"/>
      <c r="H823" s="7"/>
      <c r="I823" s="7"/>
      <c r="J823" s="7"/>
      <c r="K823" s="7"/>
      <c r="L823" s="7"/>
      <c r="M823" s="7"/>
      <c r="N823" s="7"/>
      <c r="O823" s="7"/>
      <c r="P823" s="7"/>
      <c r="Q823" s="7"/>
      <c r="R823" s="7"/>
      <c r="S823" s="7"/>
      <c r="T823" s="7"/>
      <c r="U823" s="7"/>
      <c r="V823" s="7"/>
      <c r="W823" s="7"/>
      <c r="X823" s="7"/>
      <c r="Y823" s="7"/>
      <c r="Z823" s="7"/>
    </row>
    <row r="824" ht="13.5" customHeight="1">
      <c r="A824" s="7"/>
      <c r="B824" s="7"/>
      <c r="C824" s="7"/>
      <c r="D824" s="7"/>
      <c r="E824" s="7"/>
      <c r="F824" s="7"/>
      <c r="G824" s="7"/>
      <c r="H824" s="7"/>
      <c r="I824" s="7"/>
      <c r="J824" s="7"/>
      <c r="K824" s="7"/>
      <c r="L824" s="7"/>
      <c r="M824" s="7"/>
      <c r="N824" s="7"/>
      <c r="O824" s="7"/>
      <c r="P824" s="7"/>
      <c r="Q824" s="7"/>
      <c r="R824" s="7"/>
      <c r="S824" s="7"/>
      <c r="T824" s="7"/>
      <c r="U824" s="7"/>
      <c r="V824" s="7"/>
      <c r="W824" s="7"/>
      <c r="X824" s="7"/>
      <c r="Y824" s="7"/>
      <c r="Z824" s="7"/>
    </row>
    <row r="825" ht="13.5" customHeight="1">
      <c r="A825" s="7"/>
      <c r="B825" s="7"/>
      <c r="C825" s="7"/>
      <c r="D825" s="7"/>
      <c r="E825" s="7"/>
      <c r="F825" s="7"/>
      <c r="G825" s="7"/>
      <c r="H825" s="7"/>
      <c r="I825" s="7"/>
      <c r="J825" s="7"/>
      <c r="K825" s="7"/>
      <c r="L825" s="7"/>
      <c r="M825" s="7"/>
      <c r="N825" s="7"/>
      <c r="O825" s="7"/>
      <c r="P825" s="7"/>
      <c r="Q825" s="7"/>
      <c r="R825" s="7"/>
      <c r="S825" s="7"/>
      <c r="T825" s="7"/>
      <c r="U825" s="7"/>
      <c r="V825" s="7"/>
      <c r="W825" s="7"/>
      <c r="X825" s="7"/>
      <c r="Y825" s="7"/>
      <c r="Z825" s="7"/>
    </row>
    <row r="826" ht="13.5" customHeight="1">
      <c r="A826" s="7"/>
      <c r="B826" s="7"/>
      <c r="C826" s="7"/>
      <c r="D826" s="7"/>
      <c r="E826" s="7"/>
      <c r="F826" s="7"/>
      <c r="G826" s="7"/>
      <c r="H826" s="7"/>
      <c r="I826" s="7"/>
      <c r="J826" s="7"/>
      <c r="K826" s="7"/>
      <c r="L826" s="7"/>
      <c r="M826" s="7"/>
      <c r="N826" s="7"/>
      <c r="O826" s="7"/>
      <c r="P826" s="7"/>
      <c r="Q826" s="7"/>
      <c r="R826" s="7"/>
      <c r="S826" s="7"/>
      <c r="T826" s="7"/>
      <c r="U826" s="7"/>
      <c r="V826" s="7"/>
      <c r="W826" s="7"/>
      <c r="X826" s="7"/>
      <c r="Y826" s="7"/>
      <c r="Z826" s="7"/>
    </row>
    <row r="827" ht="13.5" customHeight="1">
      <c r="A827" s="7"/>
      <c r="B827" s="7"/>
      <c r="C827" s="7"/>
      <c r="D827" s="7"/>
      <c r="E827" s="7"/>
      <c r="F827" s="7"/>
      <c r="G827" s="7"/>
      <c r="H827" s="7"/>
      <c r="I827" s="7"/>
      <c r="J827" s="7"/>
      <c r="K827" s="7"/>
      <c r="L827" s="7"/>
      <c r="M827" s="7"/>
      <c r="N827" s="7"/>
      <c r="O827" s="7"/>
      <c r="P827" s="7"/>
      <c r="Q827" s="7"/>
      <c r="R827" s="7"/>
      <c r="S827" s="7"/>
      <c r="T827" s="7"/>
      <c r="U827" s="7"/>
      <c r="V827" s="7"/>
      <c r="W827" s="7"/>
      <c r="X827" s="7"/>
      <c r="Y827" s="7"/>
      <c r="Z827" s="7"/>
    </row>
    <row r="828" ht="13.5" customHeight="1">
      <c r="A828" s="7"/>
      <c r="B828" s="7"/>
      <c r="C828" s="7"/>
      <c r="D828" s="7"/>
      <c r="E828" s="7"/>
      <c r="F828" s="7"/>
      <c r="G828" s="7"/>
      <c r="H828" s="7"/>
      <c r="I828" s="7"/>
      <c r="J828" s="7"/>
      <c r="K828" s="7"/>
      <c r="L828" s="7"/>
      <c r="M828" s="7"/>
      <c r="N828" s="7"/>
      <c r="O828" s="7"/>
      <c r="P828" s="7"/>
      <c r="Q828" s="7"/>
      <c r="R828" s="7"/>
      <c r="S828" s="7"/>
      <c r="T828" s="7"/>
      <c r="U828" s="7"/>
      <c r="V828" s="7"/>
      <c r="W828" s="7"/>
      <c r="X828" s="7"/>
      <c r="Y828" s="7"/>
      <c r="Z828" s="7"/>
    </row>
    <row r="829" ht="13.5" customHeight="1">
      <c r="A829" s="7"/>
      <c r="B829" s="7"/>
      <c r="C829" s="7"/>
      <c r="D829" s="7"/>
      <c r="E829" s="7"/>
      <c r="F829" s="7"/>
      <c r="G829" s="7"/>
      <c r="H829" s="7"/>
      <c r="I829" s="7"/>
      <c r="J829" s="7"/>
      <c r="K829" s="7"/>
      <c r="L829" s="7"/>
      <c r="M829" s="7"/>
      <c r="N829" s="7"/>
      <c r="O829" s="7"/>
      <c r="P829" s="7"/>
      <c r="Q829" s="7"/>
      <c r="R829" s="7"/>
      <c r="S829" s="7"/>
      <c r="T829" s="7"/>
      <c r="U829" s="7"/>
      <c r="V829" s="7"/>
      <c r="W829" s="7"/>
      <c r="X829" s="7"/>
      <c r="Y829" s="7"/>
      <c r="Z829" s="7"/>
    </row>
    <row r="830" ht="13.5" customHeight="1">
      <c r="A830" s="7"/>
      <c r="B830" s="7"/>
      <c r="C830" s="7"/>
      <c r="D830" s="7"/>
      <c r="E830" s="7"/>
      <c r="F830" s="7"/>
      <c r="G830" s="7"/>
      <c r="H830" s="7"/>
      <c r="I830" s="7"/>
      <c r="J830" s="7"/>
      <c r="K830" s="7"/>
      <c r="L830" s="7"/>
      <c r="M830" s="7"/>
      <c r="N830" s="7"/>
      <c r="O830" s="7"/>
      <c r="P830" s="7"/>
      <c r="Q830" s="7"/>
      <c r="R830" s="7"/>
      <c r="S830" s="7"/>
      <c r="T830" s="7"/>
      <c r="U830" s="7"/>
      <c r="V830" s="7"/>
      <c r="W830" s="7"/>
      <c r="X830" s="7"/>
      <c r="Y830" s="7"/>
      <c r="Z830" s="7"/>
    </row>
    <row r="831" ht="13.5" customHeight="1">
      <c r="A831" s="7"/>
      <c r="B831" s="7"/>
      <c r="C831" s="7"/>
      <c r="D831" s="7"/>
      <c r="E831" s="7"/>
      <c r="F831" s="7"/>
      <c r="G831" s="7"/>
      <c r="H831" s="7"/>
      <c r="I831" s="7"/>
      <c r="J831" s="7"/>
      <c r="K831" s="7"/>
      <c r="L831" s="7"/>
      <c r="M831" s="7"/>
      <c r="N831" s="7"/>
      <c r="O831" s="7"/>
      <c r="P831" s="7"/>
      <c r="Q831" s="7"/>
      <c r="R831" s="7"/>
      <c r="S831" s="7"/>
      <c r="T831" s="7"/>
      <c r="U831" s="7"/>
      <c r="V831" s="7"/>
      <c r="W831" s="7"/>
      <c r="X831" s="7"/>
      <c r="Y831" s="7"/>
      <c r="Z831" s="7"/>
    </row>
    <row r="832" ht="13.5" customHeight="1">
      <c r="A832" s="7"/>
      <c r="B832" s="7"/>
      <c r="C832" s="7"/>
      <c r="D832" s="7"/>
      <c r="E832" s="7"/>
      <c r="F832" s="7"/>
      <c r="G832" s="7"/>
      <c r="H832" s="7"/>
      <c r="I832" s="7"/>
      <c r="J832" s="7"/>
      <c r="K832" s="7"/>
      <c r="L832" s="7"/>
      <c r="M832" s="7"/>
      <c r="N832" s="7"/>
      <c r="O832" s="7"/>
      <c r="P832" s="7"/>
      <c r="Q832" s="7"/>
      <c r="R832" s="7"/>
      <c r="S832" s="7"/>
      <c r="T832" s="7"/>
      <c r="U832" s="7"/>
      <c r="V832" s="7"/>
      <c r="W832" s="7"/>
      <c r="X832" s="7"/>
      <c r="Y832" s="7"/>
      <c r="Z832" s="7"/>
    </row>
    <row r="833" ht="13.5" customHeight="1">
      <c r="A833" s="7"/>
      <c r="B833" s="7"/>
      <c r="C833" s="7"/>
      <c r="D833" s="7"/>
      <c r="E833" s="7"/>
      <c r="F833" s="7"/>
      <c r="G833" s="7"/>
      <c r="H833" s="7"/>
      <c r="I833" s="7"/>
      <c r="J833" s="7"/>
      <c r="K833" s="7"/>
      <c r="L833" s="7"/>
      <c r="M833" s="7"/>
      <c r="N833" s="7"/>
      <c r="O833" s="7"/>
      <c r="P833" s="7"/>
      <c r="Q833" s="7"/>
      <c r="R833" s="7"/>
      <c r="S833" s="7"/>
      <c r="T833" s="7"/>
      <c r="U833" s="7"/>
      <c r="V833" s="7"/>
      <c r="W833" s="7"/>
      <c r="X833" s="7"/>
      <c r="Y833" s="7"/>
      <c r="Z833" s="7"/>
    </row>
    <row r="834" ht="13.5" customHeight="1">
      <c r="A834" s="7"/>
      <c r="B834" s="7"/>
      <c r="C834" s="7"/>
      <c r="D834" s="7"/>
      <c r="E834" s="7"/>
      <c r="F834" s="7"/>
      <c r="G834" s="7"/>
      <c r="H834" s="7"/>
      <c r="I834" s="7"/>
      <c r="J834" s="7"/>
      <c r="K834" s="7"/>
      <c r="L834" s="7"/>
      <c r="M834" s="7"/>
      <c r="N834" s="7"/>
      <c r="O834" s="7"/>
      <c r="P834" s="7"/>
      <c r="Q834" s="7"/>
      <c r="R834" s="7"/>
      <c r="S834" s="7"/>
      <c r="T834" s="7"/>
      <c r="U834" s="7"/>
      <c r="V834" s="7"/>
      <c r="W834" s="7"/>
      <c r="X834" s="7"/>
      <c r="Y834" s="7"/>
      <c r="Z834" s="7"/>
    </row>
    <row r="835" ht="13.5" customHeight="1">
      <c r="A835" s="7"/>
      <c r="B835" s="7"/>
      <c r="C835" s="7"/>
      <c r="D835" s="7"/>
      <c r="E835" s="7"/>
      <c r="F835" s="7"/>
      <c r="G835" s="7"/>
      <c r="H835" s="7"/>
      <c r="I835" s="7"/>
      <c r="J835" s="7"/>
      <c r="K835" s="7"/>
      <c r="L835" s="7"/>
      <c r="M835" s="7"/>
      <c r="N835" s="7"/>
      <c r="O835" s="7"/>
      <c r="P835" s="7"/>
      <c r="Q835" s="7"/>
      <c r="R835" s="7"/>
      <c r="S835" s="7"/>
      <c r="T835" s="7"/>
      <c r="U835" s="7"/>
      <c r="V835" s="7"/>
      <c r="W835" s="7"/>
      <c r="X835" s="7"/>
      <c r="Y835" s="7"/>
      <c r="Z835" s="7"/>
    </row>
    <row r="836" ht="13.5" customHeight="1">
      <c r="A836" s="7"/>
      <c r="B836" s="7"/>
      <c r="C836" s="7"/>
      <c r="D836" s="7"/>
      <c r="E836" s="7"/>
      <c r="F836" s="7"/>
      <c r="G836" s="7"/>
      <c r="H836" s="7"/>
      <c r="I836" s="7"/>
      <c r="J836" s="7"/>
      <c r="K836" s="7"/>
      <c r="L836" s="7"/>
      <c r="M836" s="7"/>
      <c r="N836" s="7"/>
      <c r="O836" s="7"/>
      <c r="P836" s="7"/>
      <c r="Q836" s="7"/>
      <c r="R836" s="7"/>
      <c r="S836" s="7"/>
      <c r="T836" s="7"/>
      <c r="U836" s="7"/>
      <c r="V836" s="7"/>
      <c r="W836" s="7"/>
      <c r="X836" s="7"/>
      <c r="Y836" s="7"/>
      <c r="Z836" s="7"/>
    </row>
    <row r="837" ht="13.5" customHeight="1">
      <c r="A837" s="7"/>
      <c r="B837" s="7"/>
      <c r="C837" s="7"/>
      <c r="D837" s="7"/>
      <c r="E837" s="7"/>
      <c r="F837" s="7"/>
      <c r="G837" s="7"/>
      <c r="H837" s="7"/>
      <c r="I837" s="7"/>
      <c r="J837" s="7"/>
      <c r="K837" s="7"/>
      <c r="L837" s="7"/>
      <c r="M837" s="7"/>
      <c r="N837" s="7"/>
      <c r="O837" s="7"/>
      <c r="P837" s="7"/>
      <c r="Q837" s="7"/>
      <c r="R837" s="7"/>
      <c r="S837" s="7"/>
      <c r="T837" s="7"/>
      <c r="U837" s="7"/>
      <c r="V837" s="7"/>
      <c r="W837" s="7"/>
      <c r="X837" s="7"/>
      <c r="Y837" s="7"/>
      <c r="Z837" s="7"/>
    </row>
    <row r="838" ht="13.5" customHeight="1">
      <c r="A838" s="7"/>
      <c r="B838" s="7"/>
      <c r="C838" s="7"/>
      <c r="D838" s="7"/>
      <c r="E838" s="7"/>
      <c r="F838" s="7"/>
      <c r="G838" s="7"/>
      <c r="H838" s="7"/>
      <c r="I838" s="7"/>
      <c r="J838" s="7"/>
      <c r="K838" s="7"/>
      <c r="L838" s="7"/>
      <c r="M838" s="7"/>
      <c r="N838" s="7"/>
      <c r="O838" s="7"/>
      <c r="P838" s="7"/>
      <c r="Q838" s="7"/>
      <c r="R838" s="7"/>
      <c r="S838" s="7"/>
      <c r="T838" s="7"/>
      <c r="U838" s="7"/>
      <c r="V838" s="7"/>
      <c r="W838" s="7"/>
      <c r="X838" s="7"/>
      <c r="Y838" s="7"/>
      <c r="Z838" s="7"/>
    </row>
    <row r="839" ht="13.5" customHeight="1">
      <c r="A839" s="7"/>
      <c r="B839" s="7"/>
      <c r="C839" s="7"/>
      <c r="D839" s="7"/>
      <c r="E839" s="7"/>
      <c r="F839" s="7"/>
      <c r="G839" s="7"/>
      <c r="H839" s="7"/>
      <c r="I839" s="7"/>
      <c r="J839" s="7"/>
      <c r="K839" s="7"/>
      <c r="L839" s="7"/>
      <c r="M839" s="7"/>
      <c r="N839" s="7"/>
      <c r="O839" s="7"/>
      <c r="P839" s="7"/>
      <c r="Q839" s="7"/>
      <c r="R839" s="7"/>
      <c r="S839" s="7"/>
      <c r="T839" s="7"/>
      <c r="U839" s="7"/>
      <c r="V839" s="7"/>
      <c r="W839" s="7"/>
      <c r="X839" s="7"/>
      <c r="Y839" s="7"/>
      <c r="Z839" s="7"/>
    </row>
    <row r="840" ht="13.5" customHeight="1">
      <c r="A840" s="7"/>
      <c r="B840" s="7"/>
      <c r="C840" s="7"/>
      <c r="D840" s="7"/>
      <c r="E840" s="7"/>
      <c r="F840" s="7"/>
      <c r="G840" s="7"/>
      <c r="H840" s="7"/>
      <c r="I840" s="7"/>
      <c r="J840" s="7"/>
      <c r="K840" s="7"/>
      <c r="L840" s="7"/>
      <c r="M840" s="7"/>
      <c r="N840" s="7"/>
      <c r="O840" s="7"/>
      <c r="P840" s="7"/>
      <c r="Q840" s="7"/>
      <c r="R840" s="7"/>
      <c r="S840" s="7"/>
      <c r="T840" s="7"/>
      <c r="U840" s="7"/>
      <c r="V840" s="7"/>
      <c r="W840" s="7"/>
      <c r="X840" s="7"/>
      <c r="Y840" s="7"/>
      <c r="Z840" s="7"/>
    </row>
    <row r="841" ht="13.5" customHeight="1">
      <c r="A841" s="7"/>
      <c r="B841" s="7"/>
      <c r="C841" s="7"/>
      <c r="D841" s="7"/>
      <c r="E841" s="7"/>
      <c r="F841" s="7"/>
      <c r="G841" s="7"/>
      <c r="H841" s="7"/>
      <c r="I841" s="7"/>
      <c r="J841" s="7"/>
      <c r="K841" s="7"/>
      <c r="L841" s="7"/>
      <c r="M841" s="7"/>
      <c r="N841" s="7"/>
      <c r="O841" s="7"/>
      <c r="P841" s="7"/>
      <c r="Q841" s="7"/>
      <c r="R841" s="7"/>
      <c r="S841" s="7"/>
      <c r="T841" s="7"/>
      <c r="U841" s="7"/>
      <c r="V841" s="7"/>
      <c r="W841" s="7"/>
      <c r="X841" s="7"/>
      <c r="Y841" s="7"/>
      <c r="Z841" s="7"/>
    </row>
    <row r="842" ht="13.5" customHeight="1">
      <c r="A842" s="7"/>
      <c r="B842" s="7"/>
      <c r="C842" s="7"/>
      <c r="D842" s="7"/>
      <c r="E842" s="7"/>
      <c r="F842" s="7"/>
      <c r="G842" s="7"/>
      <c r="H842" s="7"/>
      <c r="I842" s="7"/>
      <c r="J842" s="7"/>
      <c r="K842" s="7"/>
      <c r="L842" s="7"/>
      <c r="M842" s="7"/>
      <c r="N842" s="7"/>
      <c r="O842" s="7"/>
      <c r="P842" s="7"/>
      <c r="Q842" s="7"/>
      <c r="R842" s="7"/>
      <c r="S842" s="7"/>
      <c r="T842" s="7"/>
      <c r="U842" s="7"/>
      <c r="V842" s="7"/>
      <c r="W842" s="7"/>
      <c r="X842" s="7"/>
      <c r="Y842" s="7"/>
      <c r="Z842" s="7"/>
    </row>
    <row r="843" ht="13.5" customHeight="1">
      <c r="A843" s="7"/>
      <c r="B843" s="7"/>
      <c r="C843" s="7"/>
      <c r="D843" s="7"/>
      <c r="E843" s="7"/>
      <c r="F843" s="7"/>
      <c r="G843" s="7"/>
      <c r="H843" s="7"/>
      <c r="I843" s="7"/>
      <c r="J843" s="7"/>
      <c r="K843" s="7"/>
      <c r="L843" s="7"/>
      <c r="M843" s="7"/>
      <c r="N843" s="7"/>
      <c r="O843" s="7"/>
      <c r="P843" s="7"/>
      <c r="Q843" s="7"/>
      <c r="R843" s="7"/>
      <c r="S843" s="7"/>
      <c r="T843" s="7"/>
      <c r="U843" s="7"/>
      <c r="V843" s="7"/>
      <c r="W843" s="7"/>
      <c r="X843" s="7"/>
      <c r="Y843" s="7"/>
      <c r="Z843" s="7"/>
    </row>
    <row r="844" ht="13.5" customHeight="1">
      <c r="A844" s="7"/>
      <c r="B844" s="7"/>
      <c r="C844" s="7"/>
      <c r="D844" s="7"/>
      <c r="E844" s="7"/>
      <c r="F844" s="7"/>
      <c r="G844" s="7"/>
      <c r="H844" s="7"/>
      <c r="I844" s="7"/>
      <c r="J844" s="7"/>
      <c r="K844" s="7"/>
      <c r="L844" s="7"/>
      <c r="M844" s="7"/>
      <c r="N844" s="7"/>
      <c r="O844" s="7"/>
      <c r="P844" s="7"/>
      <c r="Q844" s="7"/>
      <c r="R844" s="7"/>
      <c r="S844" s="7"/>
      <c r="T844" s="7"/>
      <c r="U844" s="7"/>
      <c r="V844" s="7"/>
      <c r="W844" s="7"/>
      <c r="X844" s="7"/>
      <c r="Y844" s="7"/>
      <c r="Z844" s="7"/>
    </row>
    <row r="845" ht="13.5" customHeight="1">
      <c r="A845" s="7"/>
      <c r="B845" s="7"/>
      <c r="C845" s="7"/>
      <c r="D845" s="7"/>
      <c r="E845" s="7"/>
      <c r="F845" s="7"/>
      <c r="G845" s="7"/>
      <c r="H845" s="7"/>
      <c r="I845" s="7"/>
      <c r="J845" s="7"/>
      <c r="K845" s="7"/>
      <c r="L845" s="7"/>
      <c r="M845" s="7"/>
      <c r="N845" s="7"/>
      <c r="O845" s="7"/>
      <c r="P845" s="7"/>
      <c r="Q845" s="7"/>
      <c r="R845" s="7"/>
      <c r="S845" s="7"/>
      <c r="T845" s="7"/>
      <c r="U845" s="7"/>
      <c r="V845" s="7"/>
      <c r="W845" s="7"/>
      <c r="X845" s="7"/>
      <c r="Y845" s="7"/>
      <c r="Z845" s="7"/>
    </row>
    <row r="846" ht="13.5" customHeight="1">
      <c r="A846" s="7"/>
      <c r="B846" s="7"/>
      <c r="C846" s="7"/>
      <c r="D846" s="7"/>
      <c r="E846" s="7"/>
      <c r="F846" s="7"/>
      <c r="G846" s="7"/>
      <c r="H846" s="7"/>
      <c r="I846" s="7"/>
      <c r="J846" s="7"/>
      <c r="K846" s="7"/>
      <c r="L846" s="7"/>
      <c r="M846" s="7"/>
      <c r="N846" s="7"/>
      <c r="O846" s="7"/>
      <c r="P846" s="7"/>
      <c r="Q846" s="7"/>
      <c r="R846" s="7"/>
      <c r="S846" s="7"/>
      <c r="T846" s="7"/>
      <c r="U846" s="7"/>
      <c r="V846" s="7"/>
      <c r="W846" s="7"/>
      <c r="X846" s="7"/>
      <c r="Y846" s="7"/>
      <c r="Z846" s="7"/>
    </row>
    <row r="847" ht="13.5" customHeight="1">
      <c r="A847" s="7"/>
      <c r="B847" s="7"/>
      <c r="C847" s="7"/>
      <c r="D847" s="7"/>
      <c r="E847" s="7"/>
      <c r="F847" s="7"/>
      <c r="G847" s="7"/>
      <c r="H847" s="7"/>
      <c r="I847" s="7"/>
      <c r="J847" s="7"/>
      <c r="K847" s="7"/>
      <c r="L847" s="7"/>
      <c r="M847" s="7"/>
      <c r="N847" s="7"/>
      <c r="O847" s="7"/>
      <c r="P847" s="7"/>
      <c r="Q847" s="7"/>
      <c r="R847" s="7"/>
      <c r="S847" s="7"/>
      <c r="T847" s="7"/>
      <c r="U847" s="7"/>
      <c r="V847" s="7"/>
      <c r="W847" s="7"/>
      <c r="X847" s="7"/>
      <c r="Y847" s="7"/>
      <c r="Z847" s="7"/>
    </row>
    <row r="848" ht="13.5" customHeight="1">
      <c r="A848" s="7"/>
      <c r="B848" s="7"/>
      <c r="C848" s="7"/>
      <c r="D848" s="7"/>
      <c r="E848" s="7"/>
      <c r="F848" s="7"/>
      <c r="G848" s="7"/>
      <c r="H848" s="7"/>
      <c r="I848" s="7"/>
      <c r="J848" s="7"/>
      <c r="K848" s="7"/>
      <c r="L848" s="7"/>
      <c r="M848" s="7"/>
      <c r="N848" s="7"/>
      <c r="O848" s="7"/>
      <c r="P848" s="7"/>
      <c r="Q848" s="7"/>
      <c r="R848" s="7"/>
      <c r="S848" s="7"/>
      <c r="T848" s="7"/>
      <c r="U848" s="7"/>
      <c r="V848" s="7"/>
      <c r="W848" s="7"/>
      <c r="X848" s="7"/>
      <c r="Y848" s="7"/>
      <c r="Z848" s="7"/>
    </row>
    <row r="849" ht="13.5" customHeight="1">
      <c r="A849" s="7"/>
      <c r="B849" s="7"/>
      <c r="C849" s="7"/>
      <c r="D849" s="7"/>
      <c r="E849" s="7"/>
      <c r="F849" s="7"/>
      <c r="G849" s="7"/>
      <c r="H849" s="7"/>
      <c r="I849" s="7"/>
      <c r="J849" s="7"/>
      <c r="K849" s="7"/>
      <c r="L849" s="7"/>
      <c r="M849" s="7"/>
      <c r="N849" s="7"/>
      <c r="O849" s="7"/>
      <c r="P849" s="7"/>
      <c r="Q849" s="7"/>
      <c r="R849" s="7"/>
      <c r="S849" s="7"/>
      <c r="T849" s="7"/>
      <c r="U849" s="7"/>
      <c r="V849" s="7"/>
      <c r="W849" s="7"/>
      <c r="X849" s="7"/>
      <c r="Y849" s="7"/>
      <c r="Z849" s="7"/>
    </row>
    <row r="850" ht="13.5" customHeight="1">
      <c r="A850" s="7"/>
      <c r="B850" s="7"/>
      <c r="C850" s="7"/>
      <c r="D850" s="7"/>
      <c r="E850" s="7"/>
      <c r="F850" s="7"/>
      <c r="G850" s="7"/>
      <c r="H850" s="7"/>
      <c r="I850" s="7"/>
      <c r="J850" s="7"/>
      <c r="K850" s="7"/>
      <c r="L850" s="7"/>
      <c r="M850" s="7"/>
      <c r="N850" s="7"/>
      <c r="O850" s="7"/>
      <c r="P850" s="7"/>
      <c r="Q850" s="7"/>
      <c r="R850" s="7"/>
      <c r="S850" s="7"/>
      <c r="T850" s="7"/>
      <c r="U850" s="7"/>
      <c r="V850" s="7"/>
      <c r="W850" s="7"/>
      <c r="X850" s="7"/>
      <c r="Y850" s="7"/>
      <c r="Z850" s="7"/>
    </row>
    <row r="851" ht="13.5" customHeight="1">
      <c r="A851" s="7"/>
      <c r="B851" s="7"/>
      <c r="C851" s="7"/>
      <c r="D851" s="7"/>
      <c r="E851" s="7"/>
      <c r="F851" s="7"/>
      <c r="G851" s="7"/>
      <c r="H851" s="7"/>
      <c r="I851" s="7"/>
      <c r="J851" s="7"/>
      <c r="K851" s="7"/>
      <c r="L851" s="7"/>
      <c r="M851" s="7"/>
      <c r="N851" s="7"/>
      <c r="O851" s="7"/>
      <c r="P851" s="7"/>
      <c r="Q851" s="7"/>
      <c r="R851" s="7"/>
      <c r="S851" s="7"/>
      <c r="T851" s="7"/>
      <c r="U851" s="7"/>
      <c r="V851" s="7"/>
      <c r="W851" s="7"/>
      <c r="X851" s="7"/>
      <c r="Y851" s="7"/>
      <c r="Z851" s="7"/>
    </row>
    <row r="852" ht="13.5" customHeight="1">
      <c r="A852" s="7"/>
      <c r="B852" s="7"/>
      <c r="C852" s="7"/>
      <c r="D852" s="7"/>
      <c r="E852" s="7"/>
      <c r="F852" s="7"/>
      <c r="G852" s="7"/>
      <c r="H852" s="7"/>
      <c r="I852" s="7"/>
      <c r="J852" s="7"/>
      <c r="K852" s="7"/>
      <c r="L852" s="7"/>
      <c r="M852" s="7"/>
      <c r="N852" s="7"/>
      <c r="O852" s="7"/>
      <c r="P852" s="7"/>
      <c r="Q852" s="7"/>
      <c r="R852" s="7"/>
      <c r="S852" s="7"/>
      <c r="T852" s="7"/>
      <c r="U852" s="7"/>
      <c r="V852" s="7"/>
      <c r="W852" s="7"/>
      <c r="X852" s="7"/>
      <c r="Y852" s="7"/>
      <c r="Z852" s="7"/>
    </row>
    <row r="853" ht="13.5" customHeight="1">
      <c r="A853" s="7"/>
      <c r="B853" s="7"/>
      <c r="C853" s="7"/>
      <c r="D853" s="7"/>
      <c r="E853" s="7"/>
      <c r="F853" s="7"/>
      <c r="G853" s="7"/>
      <c r="H853" s="7"/>
      <c r="I853" s="7"/>
      <c r="J853" s="7"/>
      <c r="K853" s="7"/>
      <c r="L853" s="7"/>
      <c r="M853" s="7"/>
      <c r="N853" s="7"/>
      <c r="O853" s="7"/>
      <c r="P853" s="7"/>
      <c r="Q853" s="7"/>
      <c r="R853" s="7"/>
      <c r="S853" s="7"/>
      <c r="T853" s="7"/>
      <c r="U853" s="7"/>
      <c r="V853" s="7"/>
      <c r="W853" s="7"/>
      <c r="X853" s="7"/>
      <c r="Y853" s="7"/>
      <c r="Z853" s="7"/>
    </row>
    <row r="854" ht="13.5" customHeight="1">
      <c r="A854" s="7"/>
      <c r="B854" s="7"/>
      <c r="C854" s="7"/>
      <c r="D854" s="7"/>
      <c r="E854" s="7"/>
      <c r="F854" s="7"/>
      <c r="G854" s="7"/>
      <c r="H854" s="7"/>
      <c r="I854" s="7"/>
      <c r="J854" s="7"/>
      <c r="K854" s="7"/>
      <c r="L854" s="7"/>
      <c r="M854" s="7"/>
      <c r="N854" s="7"/>
      <c r="O854" s="7"/>
      <c r="P854" s="7"/>
      <c r="Q854" s="7"/>
      <c r="R854" s="7"/>
      <c r="S854" s="7"/>
      <c r="T854" s="7"/>
      <c r="U854" s="7"/>
      <c r="V854" s="7"/>
      <c r="W854" s="7"/>
      <c r="X854" s="7"/>
      <c r="Y854" s="7"/>
      <c r="Z854" s="7"/>
    </row>
    <row r="855" ht="13.5" customHeight="1">
      <c r="A855" s="7"/>
      <c r="B855" s="7"/>
      <c r="C855" s="7"/>
      <c r="D855" s="7"/>
      <c r="E855" s="7"/>
      <c r="F855" s="7"/>
      <c r="G855" s="7"/>
      <c r="H855" s="7"/>
      <c r="I855" s="7"/>
      <c r="J855" s="7"/>
      <c r="K855" s="7"/>
      <c r="L855" s="7"/>
      <c r="M855" s="7"/>
      <c r="N855" s="7"/>
      <c r="O855" s="7"/>
      <c r="P855" s="7"/>
      <c r="Q855" s="7"/>
      <c r="R855" s="7"/>
      <c r="S855" s="7"/>
      <c r="T855" s="7"/>
      <c r="U855" s="7"/>
      <c r="V855" s="7"/>
      <c r="W855" s="7"/>
      <c r="X855" s="7"/>
      <c r="Y855" s="7"/>
      <c r="Z855" s="7"/>
    </row>
    <row r="856" ht="13.5" customHeight="1">
      <c r="A856" s="7"/>
      <c r="B856" s="7"/>
      <c r="C856" s="7"/>
      <c r="D856" s="7"/>
      <c r="E856" s="7"/>
      <c r="F856" s="7"/>
      <c r="G856" s="7"/>
      <c r="H856" s="7"/>
      <c r="I856" s="7"/>
      <c r="J856" s="7"/>
      <c r="K856" s="7"/>
      <c r="L856" s="7"/>
      <c r="M856" s="7"/>
      <c r="N856" s="7"/>
      <c r="O856" s="7"/>
      <c r="P856" s="7"/>
      <c r="Q856" s="7"/>
      <c r="R856" s="7"/>
      <c r="S856" s="7"/>
      <c r="T856" s="7"/>
      <c r="U856" s="7"/>
      <c r="V856" s="7"/>
      <c r="W856" s="7"/>
      <c r="X856" s="7"/>
      <c r="Y856" s="7"/>
      <c r="Z856" s="7"/>
    </row>
    <row r="857" ht="13.5" customHeight="1">
      <c r="A857" s="7"/>
      <c r="B857" s="7"/>
      <c r="C857" s="7"/>
      <c r="D857" s="7"/>
      <c r="E857" s="7"/>
      <c r="F857" s="7"/>
      <c r="G857" s="7"/>
      <c r="H857" s="7"/>
      <c r="I857" s="7"/>
      <c r="J857" s="7"/>
      <c r="K857" s="7"/>
      <c r="L857" s="7"/>
      <c r="M857" s="7"/>
      <c r="N857" s="7"/>
      <c r="O857" s="7"/>
      <c r="P857" s="7"/>
      <c r="Q857" s="7"/>
      <c r="R857" s="7"/>
      <c r="S857" s="7"/>
      <c r="T857" s="7"/>
      <c r="U857" s="7"/>
      <c r="V857" s="7"/>
      <c r="W857" s="7"/>
      <c r="X857" s="7"/>
      <c r="Y857" s="7"/>
      <c r="Z857" s="7"/>
    </row>
    <row r="858" ht="13.5" customHeight="1">
      <c r="A858" s="7"/>
      <c r="B858" s="7"/>
      <c r="C858" s="7"/>
      <c r="D858" s="7"/>
      <c r="E858" s="7"/>
      <c r="F858" s="7"/>
      <c r="G858" s="7"/>
      <c r="H858" s="7"/>
      <c r="I858" s="7"/>
      <c r="J858" s="7"/>
      <c r="K858" s="7"/>
      <c r="L858" s="7"/>
      <c r="M858" s="7"/>
      <c r="N858" s="7"/>
      <c r="O858" s="7"/>
      <c r="P858" s="7"/>
      <c r="Q858" s="7"/>
      <c r="R858" s="7"/>
      <c r="S858" s="7"/>
      <c r="T858" s="7"/>
      <c r="U858" s="7"/>
      <c r="V858" s="7"/>
      <c r="W858" s="7"/>
      <c r="X858" s="7"/>
      <c r="Y858" s="7"/>
      <c r="Z858" s="7"/>
    </row>
    <row r="859" ht="13.5" customHeight="1">
      <c r="A859" s="7"/>
      <c r="B859" s="7"/>
      <c r="C859" s="7"/>
      <c r="D859" s="7"/>
      <c r="E859" s="7"/>
      <c r="F859" s="7"/>
      <c r="G859" s="7"/>
      <c r="H859" s="7"/>
      <c r="I859" s="7"/>
      <c r="J859" s="7"/>
      <c r="K859" s="7"/>
      <c r="L859" s="7"/>
      <c r="M859" s="7"/>
      <c r="N859" s="7"/>
      <c r="O859" s="7"/>
      <c r="P859" s="7"/>
      <c r="Q859" s="7"/>
      <c r="R859" s="7"/>
      <c r="S859" s="7"/>
      <c r="T859" s="7"/>
      <c r="U859" s="7"/>
      <c r="V859" s="7"/>
      <c r="W859" s="7"/>
      <c r="X859" s="7"/>
      <c r="Y859" s="7"/>
      <c r="Z859" s="7"/>
    </row>
    <row r="860" ht="13.5" customHeight="1">
      <c r="A860" s="7"/>
      <c r="B860" s="7"/>
      <c r="C860" s="7"/>
      <c r="D860" s="7"/>
      <c r="E860" s="7"/>
      <c r="F860" s="7"/>
      <c r="G860" s="7"/>
      <c r="H860" s="7"/>
      <c r="I860" s="7"/>
      <c r="J860" s="7"/>
      <c r="K860" s="7"/>
      <c r="L860" s="7"/>
      <c r="M860" s="7"/>
      <c r="N860" s="7"/>
      <c r="O860" s="7"/>
      <c r="P860" s="7"/>
      <c r="Q860" s="7"/>
      <c r="R860" s="7"/>
      <c r="S860" s="7"/>
      <c r="T860" s="7"/>
      <c r="U860" s="7"/>
      <c r="V860" s="7"/>
      <c r="W860" s="7"/>
      <c r="X860" s="7"/>
      <c r="Y860" s="7"/>
      <c r="Z860" s="7"/>
    </row>
    <row r="861" ht="13.5" customHeight="1">
      <c r="A861" s="7"/>
      <c r="B861" s="7"/>
      <c r="C861" s="7"/>
      <c r="D861" s="7"/>
      <c r="E861" s="7"/>
      <c r="F861" s="7"/>
      <c r="G861" s="7"/>
      <c r="H861" s="7"/>
      <c r="I861" s="7"/>
      <c r="J861" s="7"/>
      <c r="K861" s="7"/>
      <c r="L861" s="7"/>
      <c r="M861" s="7"/>
      <c r="N861" s="7"/>
      <c r="O861" s="7"/>
      <c r="P861" s="7"/>
      <c r="Q861" s="7"/>
      <c r="R861" s="7"/>
      <c r="S861" s="7"/>
      <c r="T861" s="7"/>
      <c r="U861" s="7"/>
      <c r="V861" s="7"/>
      <c r="W861" s="7"/>
      <c r="X861" s="7"/>
      <c r="Y861" s="7"/>
      <c r="Z861" s="7"/>
    </row>
    <row r="862" ht="13.5" customHeight="1">
      <c r="A862" s="7"/>
      <c r="B862" s="7"/>
      <c r="C862" s="7"/>
      <c r="D862" s="7"/>
      <c r="E862" s="7"/>
      <c r="F862" s="7"/>
      <c r="G862" s="7"/>
      <c r="H862" s="7"/>
      <c r="I862" s="7"/>
      <c r="J862" s="7"/>
      <c r="K862" s="7"/>
      <c r="L862" s="7"/>
      <c r="M862" s="7"/>
      <c r="N862" s="7"/>
      <c r="O862" s="7"/>
      <c r="P862" s="7"/>
      <c r="Q862" s="7"/>
      <c r="R862" s="7"/>
      <c r="S862" s="7"/>
      <c r="T862" s="7"/>
      <c r="U862" s="7"/>
      <c r="V862" s="7"/>
      <c r="W862" s="7"/>
      <c r="X862" s="7"/>
      <c r="Y862" s="7"/>
      <c r="Z862" s="7"/>
    </row>
    <row r="863" ht="13.5" customHeight="1">
      <c r="A863" s="7"/>
      <c r="B863" s="7"/>
      <c r="C863" s="7"/>
      <c r="D863" s="7"/>
      <c r="E863" s="7"/>
      <c r="F863" s="7"/>
      <c r="G863" s="7"/>
      <c r="H863" s="7"/>
      <c r="I863" s="7"/>
      <c r="J863" s="7"/>
      <c r="K863" s="7"/>
      <c r="L863" s="7"/>
      <c r="M863" s="7"/>
      <c r="N863" s="7"/>
      <c r="O863" s="7"/>
      <c r="P863" s="7"/>
      <c r="Q863" s="7"/>
      <c r="R863" s="7"/>
      <c r="S863" s="7"/>
      <c r="T863" s="7"/>
      <c r="U863" s="7"/>
      <c r="V863" s="7"/>
      <c r="W863" s="7"/>
      <c r="X863" s="7"/>
      <c r="Y863" s="7"/>
      <c r="Z863" s="7"/>
    </row>
    <row r="864" ht="13.5" customHeight="1">
      <c r="A864" s="7"/>
      <c r="B864" s="7"/>
      <c r="C864" s="7"/>
      <c r="D864" s="7"/>
      <c r="E864" s="7"/>
      <c r="F864" s="7"/>
      <c r="G864" s="7"/>
      <c r="H864" s="7"/>
      <c r="I864" s="7"/>
      <c r="J864" s="7"/>
      <c r="K864" s="7"/>
      <c r="L864" s="7"/>
      <c r="M864" s="7"/>
      <c r="N864" s="7"/>
      <c r="O864" s="7"/>
      <c r="P864" s="7"/>
      <c r="Q864" s="7"/>
      <c r="R864" s="7"/>
      <c r="S864" s="7"/>
      <c r="T864" s="7"/>
      <c r="U864" s="7"/>
      <c r="V864" s="7"/>
      <c r="W864" s="7"/>
      <c r="X864" s="7"/>
      <c r="Y864" s="7"/>
      <c r="Z864" s="7"/>
    </row>
    <row r="865" ht="13.5" customHeight="1">
      <c r="A865" s="7"/>
      <c r="B865" s="7"/>
      <c r="C865" s="7"/>
      <c r="D865" s="7"/>
      <c r="E865" s="7"/>
      <c r="F865" s="7"/>
      <c r="G865" s="7"/>
      <c r="H865" s="7"/>
      <c r="I865" s="7"/>
      <c r="J865" s="7"/>
      <c r="K865" s="7"/>
      <c r="L865" s="7"/>
      <c r="M865" s="7"/>
      <c r="N865" s="7"/>
      <c r="O865" s="7"/>
      <c r="P865" s="7"/>
      <c r="Q865" s="7"/>
      <c r="R865" s="7"/>
      <c r="S865" s="7"/>
      <c r="T865" s="7"/>
      <c r="U865" s="7"/>
      <c r="V865" s="7"/>
      <c r="W865" s="7"/>
      <c r="X865" s="7"/>
      <c r="Y865" s="7"/>
      <c r="Z865" s="7"/>
    </row>
    <row r="866" ht="13.5" customHeight="1">
      <c r="A866" s="7"/>
      <c r="B866" s="7"/>
      <c r="C866" s="7"/>
      <c r="D866" s="7"/>
      <c r="E866" s="7"/>
      <c r="F866" s="7"/>
      <c r="G866" s="7"/>
      <c r="H866" s="7"/>
      <c r="I866" s="7"/>
      <c r="J866" s="7"/>
      <c r="K866" s="7"/>
      <c r="L866" s="7"/>
      <c r="M866" s="7"/>
      <c r="N866" s="7"/>
      <c r="O866" s="7"/>
      <c r="P866" s="7"/>
      <c r="Q866" s="7"/>
      <c r="R866" s="7"/>
      <c r="S866" s="7"/>
      <c r="T866" s="7"/>
      <c r="U866" s="7"/>
      <c r="V866" s="7"/>
      <c r="W866" s="7"/>
      <c r="X866" s="7"/>
      <c r="Y866" s="7"/>
      <c r="Z866" s="7"/>
    </row>
    <row r="867" ht="13.5" customHeight="1">
      <c r="A867" s="7"/>
      <c r="B867" s="7"/>
      <c r="C867" s="7"/>
      <c r="D867" s="7"/>
      <c r="E867" s="7"/>
      <c r="F867" s="7"/>
      <c r="G867" s="7"/>
      <c r="H867" s="7"/>
      <c r="I867" s="7"/>
      <c r="J867" s="7"/>
      <c r="K867" s="7"/>
      <c r="L867" s="7"/>
      <c r="M867" s="7"/>
      <c r="N867" s="7"/>
      <c r="O867" s="7"/>
      <c r="P867" s="7"/>
      <c r="Q867" s="7"/>
      <c r="R867" s="7"/>
      <c r="S867" s="7"/>
      <c r="T867" s="7"/>
      <c r="U867" s="7"/>
      <c r="V867" s="7"/>
      <c r="W867" s="7"/>
      <c r="X867" s="7"/>
      <c r="Y867" s="7"/>
      <c r="Z867" s="7"/>
    </row>
    <row r="868" ht="13.5" customHeight="1">
      <c r="A868" s="7"/>
      <c r="B868" s="7"/>
      <c r="C868" s="7"/>
      <c r="D868" s="7"/>
      <c r="E868" s="7"/>
      <c r="F868" s="7"/>
      <c r="G868" s="7"/>
      <c r="H868" s="7"/>
      <c r="I868" s="7"/>
      <c r="J868" s="7"/>
      <c r="K868" s="7"/>
      <c r="L868" s="7"/>
      <c r="M868" s="7"/>
      <c r="N868" s="7"/>
      <c r="O868" s="7"/>
      <c r="P868" s="7"/>
      <c r="Q868" s="7"/>
      <c r="R868" s="7"/>
      <c r="S868" s="7"/>
      <c r="T868" s="7"/>
      <c r="U868" s="7"/>
      <c r="V868" s="7"/>
      <c r="W868" s="7"/>
      <c r="X868" s="7"/>
      <c r="Y868" s="7"/>
      <c r="Z868" s="7"/>
    </row>
    <row r="869" ht="13.5" customHeight="1">
      <c r="A869" s="7"/>
      <c r="B869" s="7"/>
      <c r="C869" s="7"/>
      <c r="D869" s="7"/>
      <c r="E869" s="7"/>
      <c r="F869" s="7"/>
      <c r="G869" s="7"/>
      <c r="H869" s="7"/>
      <c r="I869" s="7"/>
      <c r="J869" s="7"/>
      <c r="K869" s="7"/>
      <c r="L869" s="7"/>
      <c r="M869" s="7"/>
      <c r="N869" s="7"/>
      <c r="O869" s="7"/>
      <c r="P869" s="7"/>
      <c r="Q869" s="7"/>
      <c r="R869" s="7"/>
      <c r="S869" s="7"/>
      <c r="T869" s="7"/>
      <c r="U869" s="7"/>
      <c r="V869" s="7"/>
      <c r="W869" s="7"/>
      <c r="X869" s="7"/>
      <c r="Y869" s="7"/>
      <c r="Z869" s="7"/>
    </row>
    <row r="870" ht="13.5" customHeight="1">
      <c r="A870" s="7"/>
      <c r="B870" s="7"/>
      <c r="C870" s="7"/>
      <c r="D870" s="7"/>
      <c r="E870" s="7"/>
      <c r="F870" s="7"/>
      <c r="G870" s="7"/>
      <c r="H870" s="7"/>
      <c r="I870" s="7"/>
      <c r="J870" s="7"/>
      <c r="K870" s="7"/>
      <c r="L870" s="7"/>
      <c r="M870" s="7"/>
      <c r="N870" s="7"/>
      <c r="O870" s="7"/>
      <c r="P870" s="7"/>
      <c r="Q870" s="7"/>
      <c r="R870" s="7"/>
      <c r="S870" s="7"/>
      <c r="T870" s="7"/>
      <c r="U870" s="7"/>
      <c r="V870" s="7"/>
      <c r="W870" s="7"/>
      <c r="X870" s="7"/>
      <c r="Y870" s="7"/>
      <c r="Z870" s="7"/>
    </row>
    <row r="871" ht="13.5" customHeight="1">
      <c r="A871" s="7"/>
      <c r="B871" s="7"/>
      <c r="C871" s="7"/>
      <c r="D871" s="7"/>
      <c r="E871" s="7"/>
      <c r="F871" s="7"/>
      <c r="G871" s="7"/>
      <c r="H871" s="7"/>
      <c r="I871" s="7"/>
      <c r="J871" s="7"/>
      <c r="K871" s="7"/>
      <c r="L871" s="7"/>
      <c r="M871" s="7"/>
      <c r="N871" s="7"/>
      <c r="O871" s="7"/>
      <c r="P871" s="7"/>
      <c r="Q871" s="7"/>
      <c r="R871" s="7"/>
      <c r="S871" s="7"/>
      <c r="T871" s="7"/>
      <c r="U871" s="7"/>
      <c r="V871" s="7"/>
      <c r="W871" s="7"/>
      <c r="X871" s="7"/>
      <c r="Y871" s="7"/>
      <c r="Z871" s="7"/>
    </row>
    <row r="872" ht="13.5" customHeight="1">
      <c r="A872" s="7"/>
      <c r="B872" s="7"/>
      <c r="C872" s="7"/>
      <c r="D872" s="7"/>
      <c r="E872" s="7"/>
      <c r="F872" s="7"/>
      <c r="G872" s="7"/>
      <c r="H872" s="7"/>
      <c r="I872" s="7"/>
      <c r="J872" s="7"/>
      <c r="K872" s="7"/>
      <c r="L872" s="7"/>
      <c r="M872" s="7"/>
      <c r="N872" s="7"/>
      <c r="O872" s="7"/>
      <c r="P872" s="7"/>
      <c r="Q872" s="7"/>
      <c r="R872" s="7"/>
      <c r="S872" s="7"/>
      <c r="T872" s="7"/>
      <c r="U872" s="7"/>
      <c r="V872" s="7"/>
      <c r="W872" s="7"/>
      <c r="X872" s="7"/>
      <c r="Y872" s="7"/>
      <c r="Z872" s="7"/>
    </row>
    <row r="873" ht="13.5" customHeight="1">
      <c r="A873" s="7"/>
      <c r="B873" s="7"/>
      <c r="C873" s="7"/>
      <c r="D873" s="7"/>
      <c r="E873" s="7"/>
      <c r="F873" s="7"/>
      <c r="G873" s="7"/>
      <c r="H873" s="7"/>
      <c r="I873" s="7"/>
      <c r="J873" s="7"/>
      <c r="K873" s="7"/>
      <c r="L873" s="7"/>
      <c r="M873" s="7"/>
      <c r="N873" s="7"/>
      <c r="O873" s="7"/>
      <c r="P873" s="7"/>
      <c r="Q873" s="7"/>
      <c r="R873" s="7"/>
      <c r="S873" s="7"/>
      <c r="T873" s="7"/>
      <c r="U873" s="7"/>
      <c r="V873" s="7"/>
      <c r="W873" s="7"/>
      <c r="X873" s="7"/>
      <c r="Y873" s="7"/>
      <c r="Z873" s="7"/>
    </row>
    <row r="874" ht="13.5" customHeight="1">
      <c r="A874" s="7"/>
      <c r="B874" s="7"/>
      <c r="C874" s="7"/>
      <c r="D874" s="7"/>
      <c r="E874" s="7"/>
      <c r="F874" s="7"/>
      <c r="G874" s="7"/>
      <c r="H874" s="7"/>
      <c r="I874" s="7"/>
      <c r="J874" s="7"/>
      <c r="K874" s="7"/>
      <c r="L874" s="7"/>
      <c r="M874" s="7"/>
      <c r="N874" s="7"/>
      <c r="O874" s="7"/>
      <c r="P874" s="7"/>
      <c r="Q874" s="7"/>
      <c r="R874" s="7"/>
      <c r="S874" s="7"/>
      <c r="T874" s="7"/>
      <c r="U874" s="7"/>
      <c r="V874" s="7"/>
      <c r="W874" s="7"/>
      <c r="X874" s="7"/>
      <c r="Y874" s="7"/>
      <c r="Z874" s="7"/>
    </row>
    <row r="875" ht="13.5" customHeight="1">
      <c r="A875" s="7"/>
      <c r="B875" s="7"/>
      <c r="C875" s="7"/>
      <c r="D875" s="7"/>
      <c r="E875" s="7"/>
      <c r="F875" s="7"/>
      <c r="G875" s="7"/>
      <c r="H875" s="7"/>
      <c r="I875" s="7"/>
      <c r="J875" s="7"/>
      <c r="K875" s="7"/>
      <c r="L875" s="7"/>
      <c r="M875" s="7"/>
      <c r="N875" s="7"/>
      <c r="O875" s="7"/>
      <c r="P875" s="7"/>
      <c r="Q875" s="7"/>
      <c r="R875" s="7"/>
      <c r="S875" s="7"/>
      <c r="T875" s="7"/>
      <c r="U875" s="7"/>
      <c r="V875" s="7"/>
      <c r="W875" s="7"/>
      <c r="X875" s="7"/>
      <c r="Y875" s="7"/>
      <c r="Z875" s="7"/>
    </row>
    <row r="876" ht="13.5" customHeight="1">
      <c r="A876" s="7"/>
      <c r="B876" s="7"/>
      <c r="C876" s="7"/>
      <c r="D876" s="7"/>
      <c r="E876" s="7"/>
      <c r="F876" s="7"/>
      <c r="G876" s="7"/>
      <c r="H876" s="7"/>
      <c r="I876" s="7"/>
      <c r="J876" s="7"/>
      <c r="K876" s="7"/>
      <c r="L876" s="7"/>
      <c r="M876" s="7"/>
      <c r="N876" s="7"/>
      <c r="O876" s="7"/>
      <c r="P876" s="7"/>
      <c r="Q876" s="7"/>
      <c r="R876" s="7"/>
      <c r="S876" s="7"/>
      <c r="T876" s="7"/>
      <c r="U876" s="7"/>
      <c r="V876" s="7"/>
      <c r="W876" s="7"/>
      <c r="X876" s="7"/>
      <c r="Y876" s="7"/>
      <c r="Z876" s="7"/>
    </row>
    <row r="877" ht="13.5" customHeight="1">
      <c r="A877" s="7"/>
      <c r="B877" s="7"/>
      <c r="C877" s="7"/>
      <c r="D877" s="7"/>
      <c r="E877" s="7"/>
      <c r="F877" s="7"/>
      <c r="G877" s="7"/>
      <c r="H877" s="7"/>
      <c r="I877" s="7"/>
      <c r="J877" s="7"/>
      <c r="K877" s="7"/>
      <c r="L877" s="7"/>
      <c r="M877" s="7"/>
      <c r="N877" s="7"/>
      <c r="O877" s="7"/>
      <c r="P877" s="7"/>
      <c r="Q877" s="7"/>
      <c r="R877" s="7"/>
      <c r="S877" s="7"/>
      <c r="T877" s="7"/>
      <c r="U877" s="7"/>
      <c r="V877" s="7"/>
      <c r="W877" s="7"/>
      <c r="X877" s="7"/>
      <c r="Y877" s="7"/>
      <c r="Z877" s="7"/>
    </row>
    <row r="878" ht="13.5" customHeight="1">
      <c r="A878" s="7"/>
      <c r="B878" s="7"/>
      <c r="C878" s="7"/>
      <c r="D878" s="7"/>
      <c r="E878" s="7"/>
      <c r="F878" s="7"/>
      <c r="G878" s="7"/>
      <c r="H878" s="7"/>
      <c r="I878" s="7"/>
      <c r="J878" s="7"/>
      <c r="K878" s="7"/>
      <c r="L878" s="7"/>
      <c r="M878" s="7"/>
      <c r="N878" s="7"/>
      <c r="O878" s="7"/>
      <c r="P878" s="7"/>
      <c r="Q878" s="7"/>
      <c r="R878" s="7"/>
      <c r="S878" s="7"/>
      <c r="T878" s="7"/>
      <c r="U878" s="7"/>
      <c r="V878" s="7"/>
      <c r="W878" s="7"/>
      <c r="X878" s="7"/>
      <c r="Y878" s="7"/>
      <c r="Z878" s="7"/>
    </row>
    <row r="879" ht="13.5" customHeight="1">
      <c r="A879" s="7"/>
      <c r="B879" s="7"/>
      <c r="C879" s="7"/>
      <c r="D879" s="7"/>
      <c r="E879" s="7"/>
      <c r="F879" s="7"/>
      <c r="G879" s="7"/>
      <c r="H879" s="7"/>
      <c r="I879" s="7"/>
      <c r="J879" s="7"/>
      <c r="K879" s="7"/>
      <c r="L879" s="7"/>
      <c r="M879" s="7"/>
      <c r="N879" s="7"/>
      <c r="O879" s="7"/>
      <c r="P879" s="7"/>
      <c r="Q879" s="7"/>
      <c r="R879" s="7"/>
      <c r="S879" s="7"/>
      <c r="T879" s="7"/>
      <c r="U879" s="7"/>
      <c r="V879" s="7"/>
      <c r="W879" s="7"/>
      <c r="X879" s="7"/>
      <c r="Y879" s="7"/>
      <c r="Z879" s="7"/>
    </row>
    <row r="880" ht="13.5" customHeight="1">
      <c r="A880" s="7"/>
      <c r="B880" s="7"/>
      <c r="C880" s="7"/>
      <c r="D880" s="7"/>
      <c r="E880" s="7"/>
      <c r="F880" s="7"/>
      <c r="G880" s="7"/>
      <c r="H880" s="7"/>
      <c r="I880" s="7"/>
      <c r="J880" s="7"/>
      <c r="K880" s="7"/>
      <c r="L880" s="7"/>
      <c r="M880" s="7"/>
      <c r="N880" s="7"/>
      <c r="O880" s="7"/>
      <c r="P880" s="7"/>
      <c r="Q880" s="7"/>
      <c r="R880" s="7"/>
      <c r="S880" s="7"/>
      <c r="T880" s="7"/>
      <c r="U880" s="7"/>
      <c r="V880" s="7"/>
      <c r="W880" s="7"/>
      <c r="X880" s="7"/>
      <c r="Y880" s="7"/>
      <c r="Z880" s="7"/>
    </row>
    <row r="881" ht="13.5" customHeight="1">
      <c r="A881" s="7"/>
      <c r="B881" s="7"/>
      <c r="C881" s="7"/>
      <c r="D881" s="7"/>
      <c r="E881" s="7"/>
      <c r="F881" s="7"/>
      <c r="G881" s="7"/>
      <c r="H881" s="7"/>
      <c r="I881" s="7"/>
      <c r="J881" s="7"/>
      <c r="K881" s="7"/>
      <c r="L881" s="7"/>
      <c r="M881" s="7"/>
      <c r="N881" s="7"/>
      <c r="O881" s="7"/>
      <c r="P881" s="7"/>
      <c r="Q881" s="7"/>
      <c r="R881" s="7"/>
      <c r="S881" s="7"/>
      <c r="T881" s="7"/>
      <c r="U881" s="7"/>
      <c r="V881" s="7"/>
      <c r="W881" s="7"/>
      <c r="X881" s="7"/>
      <c r="Y881" s="7"/>
      <c r="Z881" s="7"/>
    </row>
    <row r="882" ht="13.5" customHeight="1">
      <c r="A882" s="7"/>
      <c r="B882" s="7"/>
      <c r="C882" s="7"/>
      <c r="D882" s="7"/>
      <c r="E882" s="7"/>
      <c r="F882" s="7"/>
      <c r="G882" s="7"/>
      <c r="H882" s="7"/>
      <c r="I882" s="7"/>
      <c r="J882" s="7"/>
      <c r="K882" s="7"/>
      <c r="L882" s="7"/>
      <c r="M882" s="7"/>
      <c r="N882" s="7"/>
      <c r="O882" s="7"/>
      <c r="P882" s="7"/>
      <c r="Q882" s="7"/>
      <c r="R882" s="7"/>
      <c r="S882" s="7"/>
      <c r="T882" s="7"/>
      <c r="U882" s="7"/>
      <c r="V882" s="7"/>
      <c r="W882" s="7"/>
      <c r="X882" s="7"/>
      <c r="Y882" s="7"/>
      <c r="Z882" s="7"/>
    </row>
    <row r="883" ht="13.5" customHeight="1">
      <c r="A883" s="7"/>
      <c r="B883" s="7"/>
      <c r="C883" s="7"/>
      <c r="D883" s="7"/>
      <c r="E883" s="7"/>
      <c r="F883" s="7"/>
      <c r="G883" s="7"/>
      <c r="H883" s="7"/>
      <c r="I883" s="7"/>
      <c r="J883" s="7"/>
      <c r="K883" s="7"/>
      <c r="L883" s="7"/>
      <c r="M883" s="7"/>
      <c r="N883" s="7"/>
      <c r="O883" s="7"/>
      <c r="P883" s="7"/>
      <c r="Q883" s="7"/>
      <c r="R883" s="7"/>
      <c r="S883" s="7"/>
      <c r="T883" s="7"/>
      <c r="U883" s="7"/>
      <c r="V883" s="7"/>
      <c r="W883" s="7"/>
      <c r="X883" s="7"/>
      <c r="Y883" s="7"/>
      <c r="Z883" s="7"/>
    </row>
    <row r="884" ht="13.5" customHeight="1">
      <c r="A884" s="7"/>
      <c r="B884" s="7"/>
      <c r="C884" s="7"/>
      <c r="D884" s="7"/>
      <c r="E884" s="7"/>
      <c r="F884" s="7"/>
      <c r="G884" s="7"/>
      <c r="H884" s="7"/>
      <c r="I884" s="7"/>
      <c r="J884" s="7"/>
      <c r="K884" s="7"/>
      <c r="L884" s="7"/>
      <c r="M884" s="7"/>
      <c r="N884" s="7"/>
      <c r="O884" s="7"/>
      <c r="P884" s="7"/>
      <c r="Q884" s="7"/>
      <c r="R884" s="7"/>
      <c r="S884" s="7"/>
      <c r="T884" s="7"/>
      <c r="U884" s="7"/>
      <c r="V884" s="7"/>
      <c r="W884" s="7"/>
      <c r="X884" s="7"/>
      <c r="Y884" s="7"/>
      <c r="Z884" s="7"/>
    </row>
    <row r="885" ht="13.5" customHeight="1">
      <c r="A885" s="7"/>
      <c r="B885" s="7"/>
      <c r="C885" s="7"/>
      <c r="D885" s="7"/>
      <c r="E885" s="7"/>
      <c r="F885" s="7"/>
      <c r="G885" s="7"/>
      <c r="H885" s="7"/>
      <c r="I885" s="7"/>
      <c r="J885" s="7"/>
      <c r="K885" s="7"/>
      <c r="L885" s="7"/>
      <c r="M885" s="7"/>
      <c r="N885" s="7"/>
      <c r="O885" s="7"/>
      <c r="P885" s="7"/>
      <c r="Q885" s="7"/>
      <c r="R885" s="7"/>
      <c r="S885" s="7"/>
      <c r="T885" s="7"/>
      <c r="U885" s="7"/>
      <c r="V885" s="7"/>
      <c r="W885" s="7"/>
      <c r="X885" s="7"/>
      <c r="Y885" s="7"/>
      <c r="Z885" s="7"/>
    </row>
    <row r="886" ht="13.5" customHeight="1">
      <c r="A886" s="7"/>
      <c r="B886" s="7"/>
      <c r="C886" s="7"/>
      <c r="D886" s="7"/>
      <c r="E886" s="7"/>
      <c r="F886" s="7"/>
      <c r="G886" s="7"/>
      <c r="H886" s="7"/>
      <c r="I886" s="7"/>
      <c r="J886" s="7"/>
      <c r="K886" s="7"/>
      <c r="L886" s="7"/>
      <c r="M886" s="7"/>
      <c r="N886" s="7"/>
      <c r="O886" s="7"/>
      <c r="P886" s="7"/>
      <c r="Q886" s="7"/>
      <c r="R886" s="7"/>
      <c r="S886" s="7"/>
      <c r="T886" s="7"/>
      <c r="U886" s="7"/>
      <c r="V886" s="7"/>
      <c r="W886" s="7"/>
      <c r="X886" s="7"/>
      <c r="Y886" s="7"/>
      <c r="Z886" s="7"/>
    </row>
    <row r="887" ht="13.5" customHeight="1">
      <c r="A887" s="7"/>
      <c r="B887" s="7"/>
      <c r="C887" s="7"/>
      <c r="D887" s="7"/>
      <c r="E887" s="7"/>
      <c r="F887" s="7"/>
      <c r="G887" s="7"/>
      <c r="H887" s="7"/>
      <c r="I887" s="7"/>
      <c r="J887" s="7"/>
      <c r="K887" s="7"/>
      <c r="L887" s="7"/>
      <c r="M887" s="7"/>
      <c r="N887" s="7"/>
      <c r="O887" s="7"/>
      <c r="P887" s="7"/>
      <c r="Q887" s="7"/>
      <c r="R887" s="7"/>
      <c r="S887" s="7"/>
      <c r="T887" s="7"/>
      <c r="U887" s="7"/>
      <c r="V887" s="7"/>
      <c r="W887" s="7"/>
      <c r="X887" s="7"/>
      <c r="Y887" s="7"/>
      <c r="Z887" s="7"/>
    </row>
    <row r="888" ht="13.5" customHeight="1">
      <c r="A888" s="7"/>
      <c r="B888" s="7"/>
      <c r="C888" s="7"/>
      <c r="D888" s="7"/>
      <c r="E888" s="7"/>
      <c r="F888" s="7"/>
      <c r="G888" s="7"/>
      <c r="H888" s="7"/>
      <c r="I888" s="7"/>
      <c r="J888" s="7"/>
      <c r="K888" s="7"/>
      <c r="L888" s="7"/>
      <c r="M888" s="7"/>
      <c r="N888" s="7"/>
      <c r="O888" s="7"/>
      <c r="P888" s="7"/>
      <c r="Q888" s="7"/>
      <c r="R888" s="7"/>
      <c r="S888" s="7"/>
      <c r="T888" s="7"/>
      <c r="U888" s="7"/>
      <c r="V888" s="7"/>
      <c r="W888" s="7"/>
      <c r="X888" s="7"/>
      <c r="Y888" s="7"/>
      <c r="Z888" s="7"/>
    </row>
    <row r="889" ht="13.5" customHeight="1">
      <c r="A889" s="7"/>
      <c r="B889" s="7"/>
      <c r="C889" s="7"/>
      <c r="D889" s="7"/>
      <c r="E889" s="7"/>
      <c r="F889" s="7"/>
      <c r="G889" s="7"/>
      <c r="H889" s="7"/>
      <c r="I889" s="7"/>
      <c r="J889" s="7"/>
      <c r="K889" s="7"/>
      <c r="L889" s="7"/>
      <c r="M889" s="7"/>
      <c r="N889" s="7"/>
      <c r="O889" s="7"/>
      <c r="P889" s="7"/>
      <c r="Q889" s="7"/>
      <c r="R889" s="7"/>
      <c r="S889" s="7"/>
      <c r="T889" s="7"/>
      <c r="U889" s="7"/>
      <c r="V889" s="7"/>
      <c r="W889" s="7"/>
      <c r="X889" s="7"/>
      <c r="Y889" s="7"/>
      <c r="Z889" s="7"/>
    </row>
    <row r="890" ht="13.5" customHeight="1">
      <c r="A890" s="7"/>
      <c r="B890" s="7"/>
      <c r="C890" s="7"/>
      <c r="D890" s="7"/>
      <c r="E890" s="7"/>
      <c r="F890" s="7"/>
      <c r="G890" s="7"/>
      <c r="H890" s="7"/>
      <c r="I890" s="7"/>
      <c r="J890" s="7"/>
      <c r="K890" s="7"/>
      <c r="L890" s="7"/>
      <c r="M890" s="7"/>
      <c r="N890" s="7"/>
      <c r="O890" s="7"/>
      <c r="P890" s="7"/>
      <c r="Q890" s="7"/>
      <c r="R890" s="7"/>
      <c r="S890" s="7"/>
      <c r="T890" s="7"/>
      <c r="U890" s="7"/>
      <c r="V890" s="7"/>
      <c r="W890" s="7"/>
      <c r="X890" s="7"/>
      <c r="Y890" s="7"/>
      <c r="Z890" s="7"/>
    </row>
    <row r="891" ht="13.5" customHeight="1">
      <c r="A891" s="7"/>
      <c r="B891" s="7"/>
      <c r="C891" s="7"/>
      <c r="D891" s="7"/>
      <c r="E891" s="7"/>
      <c r="F891" s="7"/>
      <c r="G891" s="7"/>
      <c r="H891" s="7"/>
      <c r="I891" s="7"/>
      <c r="J891" s="7"/>
      <c r="K891" s="7"/>
      <c r="L891" s="7"/>
      <c r="M891" s="7"/>
      <c r="N891" s="7"/>
      <c r="O891" s="7"/>
      <c r="P891" s="7"/>
      <c r="Q891" s="7"/>
      <c r="R891" s="7"/>
      <c r="S891" s="7"/>
      <c r="T891" s="7"/>
      <c r="U891" s="7"/>
      <c r="V891" s="7"/>
      <c r="W891" s="7"/>
      <c r="X891" s="7"/>
      <c r="Y891" s="7"/>
      <c r="Z891" s="7"/>
    </row>
    <row r="892" ht="13.5" customHeight="1">
      <c r="A892" s="7"/>
      <c r="B892" s="7"/>
      <c r="C892" s="7"/>
      <c r="D892" s="7"/>
      <c r="E892" s="7"/>
      <c r="F892" s="7"/>
      <c r="G892" s="7"/>
      <c r="H892" s="7"/>
      <c r="I892" s="7"/>
      <c r="J892" s="7"/>
      <c r="K892" s="7"/>
      <c r="L892" s="7"/>
      <c r="M892" s="7"/>
      <c r="N892" s="7"/>
      <c r="O892" s="7"/>
      <c r="P892" s="7"/>
      <c r="Q892" s="7"/>
      <c r="R892" s="7"/>
      <c r="S892" s="7"/>
      <c r="T892" s="7"/>
      <c r="U892" s="7"/>
      <c r="V892" s="7"/>
      <c r="W892" s="7"/>
      <c r="X892" s="7"/>
      <c r="Y892" s="7"/>
      <c r="Z892" s="7"/>
    </row>
    <row r="893" ht="13.5" customHeight="1">
      <c r="A893" s="7"/>
      <c r="B893" s="7"/>
      <c r="C893" s="7"/>
      <c r="D893" s="7"/>
      <c r="E893" s="7"/>
      <c r="F893" s="7"/>
      <c r="G893" s="7"/>
      <c r="H893" s="7"/>
      <c r="I893" s="7"/>
      <c r="J893" s="7"/>
      <c r="K893" s="7"/>
      <c r="L893" s="7"/>
      <c r="M893" s="7"/>
      <c r="N893" s="7"/>
      <c r="O893" s="7"/>
      <c r="P893" s="7"/>
      <c r="Q893" s="7"/>
      <c r="R893" s="7"/>
      <c r="S893" s="7"/>
      <c r="T893" s="7"/>
      <c r="U893" s="7"/>
      <c r="V893" s="7"/>
      <c r="W893" s="7"/>
      <c r="X893" s="7"/>
      <c r="Y893" s="7"/>
      <c r="Z893" s="7"/>
    </row>
    <row r="894" ht="13.5" customHeight="1">
      <c r="A894" s="7"/>
      <c r="B894" s="7"/>
      <c r="C894" s="7"/>
      <c r="D894" s="7"/>
      <c r="E894" s="7"/>
      <c r="F894" s="7"/>
      <c r="G894" s="7"/>
      <c r="H894" s="7"/>
      <c r="I894" s="7"/>
      <c r="J894" s="7"/>
      <c r="K894" s="7"/>
      <c r="L894" s="7"/>
      <c r="M894" s="7"/>
      <c r="N894" s="7"/>
      <c r="O894" s="7"/>
      <c r="P894" s="7"/>
      <c r="Q894" s="7"/>
      <c r="R894" s="7"/>
      <c r="S894" s="7"/>
      <c r="T894" s="7"/>
      <c r="U894" s="7"/>
      <c r="V894" s="7"/>
      <c r="W894" s="7"/>
      <c r="X894" s="7"/>
      <c r="Y894" s="7"/>
      <c r="Z894" s="7"/>
    </row>
    <row r="895" ht="13.5" customHeight="1">
      <c r="A895" s="7"/>
      <c r="B895" s="7"/>
      <c r="C895" s="7"/>
      <c r="D895" s="7"/>
      <c r="E895" s="7"/>
      <c r="F895" s="7"/>
      <c r="G895" s="7"/>
      <c r="H895" s="7"/>
      <c r="I895" s="7"/>
      <c r="J895" s="7"/>
      <c r="K895" s="7"/>
      <c r="L895" s="7"/>
      <c r="M895" s="7"/>
      <c r="N895" s="7"/>
      <c r="O895" s="7"/>
      <c r="P895" s="7"/>
      <c r="Q895" s="7"/>
      <c r="R895" s="7"/>
      <c r="S895" s="7"/>
      <c r="T895" s="7"/>
      <c r="U895" s="7"/>
      <c r="V895" s="7"/>
      <c r="W895" s="7"/>
      <c r="X895" s="7"/>
      <c r="Y895" s="7"/>
      <c r="Z895" s="7"/>
    </row>
    <row r="896" ht="13.5" customHeight="1">
      <c r="A896" s="7"/>
      <c r="B896" s="7"/>
      <c r="C896" s="7"/>
      <c r="D896" s="7"/>
      <c r="E896" s="7"/>
      <c r="F896" s="7"/>
      <c r="G896" s="7"/>
      <c r="H896" s="7"/>
      <c r="I896" s="7"/>
      <c r="J896" s="7"/>
      <c r="K896" s="7"/>
      <c r="L896" s="7"/>
      <c r="M896" s="7"/>
      <c r="N896" s="7"/>
      <c r="O896" s="7"/>
      <c r="P896" s="7"/>
      <c r="Q896" s="7"/>
      <c r="R896" s="7"/>
      <c r="S896" s="7"/>
      <c r="T896" s="7"/>
      <c r="U896" s="7"/>
      <c r="V896" s="7"/>
      <c r="W896" s="7"/>
      <c r="X896" s="7"/>
      <c r="Y896" s="7"/>
      <c r="Z896" s="7"/>
    </row>
    <row r="897" ht="13.5" customHeight="1">
      <c r="A897" s="7"/>
      <c r="B897" s="7"/>
      <c r="C897" s="7"/>
      <c r="D897" s="7"/>
      <c r="E897" s="7"/>
      <c r="F897" s="7"/>
      <c r="G897" s="7"/>
      <c r="H897" s="7"/>
      <c r="I897" s="7"/>
      <c r="J897" s="7"/>
      <c r="K897" s="7"/>
      <c r="L897" s="7"/>
      <c r="M897" s="7"/>
      <c r="N897" s="7"/>
      <c r="O897" s="7"/>
      <c r="P897" s="7"/>
      <c r="Q897" s="7"/>
      <c r="R897" s="7"/>
      <c r="S897" s="7"/>
      <c r="T897" s="7"/>
      <c r="U897" s="7"/>
      <c r="V897" s="7"/>
      <c r="W897" s="7"/>
      <c r="X897" s="7"/>
      <c r="Y897" s="7"/>
      <c r="Z897" s="7"/>
    </row>
    <row r="898" ht="13.5" customHeight="1">
      <c r="A898" s="7"/>
      <c r="B898" s="7"/>
      <c r="C898" s="7"/>
      <c r="D898" s="7"/>
      <c r="E898" s="7"/>
      <c r="F898" s="7"/>
      <c r="G898" s="7"/>
      <c r="H898" s="7"/>
      <c r="I898" s="7"/>
      <c r="J898" s="7"/>
      <c r="K898" s="7"/>
      <c r="L898" s="7"/>
      <c r="M898" s="7"/>
      <c r="N898" s="7"/>
      <c r="O898" s="7"/>
      <c r="P898" s="7"/>
      <c r="Q898" s="7"/>
      <c r="R898" s="7"/>
      <c r="S898" s="7"/>
      <c r="T898" s="7"/>
      <c r="U898" s="7"/>
      <c r="V898" s="7"/>
      <c r="W898" s="7"/>
      <c r="X898" s="7"/>
      <c r="Y898" s="7"/>
      <c r="Z898" s="7"/>
    </row>
    <row r="899" ht="13.5" customHeight="1">
      <c r="A899" s="7"/>
      <c r="B899" s="7"/>
      <c r="C899" s="7"/>
      <c r="D899" s="7"/>
      <c r="E899" s="7"/>
      <c r="F899" s="7"/>
      <c r="G899" s="7"/>
      <c r="H899" s="7"/>
      <c r="I899" s="7"/>
      <c r="J899" s="7"/>
      <c r="K899" s="7"/>
      <c r="L899" s="7"/>
      <c r="M899" s="7"/>
      <c r="N899" s="7"/>
      <c r="O899" s="7"/>
      <c r="P899" s="7"/>
      <c r="Q899" s="7"/>
      <c r="R899" s="7"/>
      <c r="S899" s="7"/>
      <c r="T899" s="7"/>
      <c r="U899" s="7"/>
      <c r="V899" s="7"/>
      <c r="W899" s="7"/>
      <c r="X899" s="7"/>
      <c r="Y899" s="7"/>
      <c r="Z899" s="7"/>
    </row>
    <row r="900" ht="13.5" customHeight="1">
      <c r="A900" s="7"/>
      <c r="B900" s="7"/>
      <c r="C900" s="7"/>
      <c r="D900" s="7"/>
      <c r="E900" s="7"/>
      <c r="F900" s="7"/>
      <c r="G900" s="7"/>
      <c r="H900" s="7"/>
      <c r="I900" s="7"/>
      <c r="J900" s="7"/>
      <c r="K900" s="7"/>
      <c r="L900" s="7"/>
      <c r="M900" s="7"/>
      <c r="N900" s="7"/>
      <c r="O900" s="7"/>
      <c r="P900" s="7"/>
      <c r="Q900" s="7"/>
      <c r="R900" s="7"/>
      <c r="S900" s="7"/>
      <c r="T900" s="7"/>
      <c r="U900" s="7"/>
      <c r="V900" s="7"/>
      <c r="W900" s="7"/>
      <c r="X900" s="7"/>
      <c r="Y900" s="7"/>
      <c r="Z900" s="7"/>
    </row>
    <row r="901" ht="13.5" customHeight="1">
      <c r="A901" s="7"/>
      <c r="B901" s="7"/>
      <c r="C901" s="7"/>
      <c r="D901" s="7"/>
      <c r="E901" s="7"/>
      <c r="F901" s="7"/>
      <c r="G901" s="7"/>
      <c r="H901" s="7"/>
      <c r="I901" s="7"/>
      <c r="J901" s="7"/>
      <c r="K901" s="7"/>
      <c r="L901" s="7"/>
      <c r="M901" s="7"/>
      <c r="N901" s="7"/>
      <c r="O901" s="7"/>
      <c r="P901" s="7"/>
      <c r="Q901" s="7"/>
      <c r="R901" s="7"/>
      <c r="S901" s="7"/>
      <c r="T901" s="7"/>
      <c r="U901" s="7"/>
      <c r="V901" s="7"/>
      <c r="W901" s="7"/>
      <c r="X901" s="7"/>
      <c r="Y901" s="7"/>
      <c r="Z901" s="7"/>
    </row>
    <row r="902" ht="13.5" customHeight="1">
      <c r="A902" s="7"/>
      <c r="B902" s="7"/>
      <c r="C902" s="7"/>
      <c r="D902" s="7"/>
      <c r="E902" s="7"/>
      <c r="F902" s="7"/>
      <c r="G902" s="7"/>
      <c r="H902" s="7"/>
      <c r="I902" s="7"/>
      <c r="J902" s="7"/>
      <c r="K902" s="7"/>
      <c r="L902" s="7"/>
      <c r="M902" s="7"/>
      <c r="N902" s="7"/>
      <c r="O902" s="7"/>
      <c r="P902" s="7"/>
      <c r="Q902" s="7"/>
      <c r="R902" s="7"/>
      <c r="S902" s="7"/>
      <c r="T902" s="7"/>
      <c r="U902" s="7"/>
      <c r="V902" s="7"/>
      <c r="W902" s="7"/>
      <c r="X902" s="7"/>
      <c r="Y902" s="7"/>
      <c r="Z902" s="7"/>
    </row>
    <row r="903" ht="13.5" customHeight="1">
      <c r="A903" s="7"/>
      <c r="B903" s="7"/>
      <c r="C903" s="7"/>
      <c r="D903" s="7"/>
      <c r="E903" s="7"/>
      <c r="F903" s="7"/>
      <c r="G903" s="7"/>
      <c r="H903" s="7"/>
      <c r="I903" s="7"/>
      <c r="J903" s="7"/>
      <c r="K903" s="7"/>
      <c r="L903" s="7"/>
      <c r="M903" s="7"/>
      <c r="N903" s="7"/>
      <c r="O903" s="7"/>
      <c r="P903" s="7"/>
      <c r="Q903" s="7"/>
      <c r="R903" s="7"/>
      <c r="S903" s="7"/>
      <c r="T903" s="7"/>
      <c r="U903" s="7"/>
      <c r="V903" s="7"/>
      <c r="W903" s="7"/>
      <c r="X903" s="7"/>
      <c r="Y903" s="7"/>
      <c r="Z903" s="7"/>
    </row>
    <row r="904" ht="13.5" customHeight="1">
      <c r="A904" s="7"/>
      <c r="B904" s="7"/>
      <c r="C904" s="7"/>
      <c r="D904" s="7"/>
      <c r="E904" s="7"/>
      <c r="F904" s="7"/>
      <c r="G904" s="7"/>
      <c r="H904" s="7"/>
      <c r="I904" s="7"/>
      <c r="J904" s="7"/>
      <c r="K904" s="7"/>
      <c r="L904" s="7"/>
      <c r="M904" s="7"/>
      <c r="N904" s="7"/>
      <c r="O904" s="7"/>
      <c r="P904" s="7"/>
      <c r="Q904" s="7"/>
      <c r="R904" s="7"/>
      <c r="S904" s="7"/>
      <c r="T904" s="7"/>
      <c r="U904" s="7"/>
      <c r="V904" s="7"/>
      <c r="W904" s="7"/>
      <c r="X904" s="7"/>
      <c r="Y904" s="7"/>
      <c r="Z904" s="7"/>
    </row>
    <row r="905" ht="13.5" customHeight="1">
      <c r="A905" s="7"/>
      <c r="B905" s="7"/>
      <c r="C905" s="7"/>
      <c r="D905" s="7"/>
      <c r="E905" s="7"/>
      <c r="F905" s="7"/>
      <c r="G905" s="7"/>
      <c r="H905" s="7"/>
      <c r="I905" s="7"/>
      <c r="J905" s="7"/>
      <c r="K905" s="7"/>
      <c r="L905" s="7"/>
      <c r="M905" s="7"/>
      <c r="N905" s="7"/>
      <c r="O905" s="7"/>
      <c r="P905" s="7"/>
      <c r="Q905" s="7"/>
      <c r="R905" s="7"/>
      <c r="S905" s="7"/>
      <c r="T905" s="7"/>
      <c r="U905" s="7"/>
      <c r="V905" s="7"/>
      <c r="W905" s="7"/>
      <c r="X905" s="7"/>
      <c r="Y905" s="7"/>
      <c r="Z905" s="7"/>
    </row>
    <row r="906" ht="13.5" customHeight="1">
      <c r="A906" s="7"/>
      <c r="B906" s="7"/>
      <c r="C906" s="7"/>
      <c r="D906" s="7"/>
      <c r="E906" s="7"/>
      <c r="F906" s="7"/>
      <c r="G906" s="7"/>
      <c r="H906" s="7"/>
      <c r="I906" s="7"/>
      <c r="J906" s="7"/>
      <c r="K906" s="7"/>
      <c r="L906" s="7"/>
      <c r="M906" s="7"/>
      <c r="N906" s="7"/>
      <c r="O906" s="7"/>
      <c r="P906" s="7"/>
      <c r="Q906" s="7"/>
      <c r="R906" s="7"/>
      <c r="S906" s="7"/>
      <c r="T906" s="7"/>
      <c r="U906" s="7"/>
      <c r="V906" s="7"/>
      <c r="W906" s="7"/>
      <c r="X906" s="7"/>
      <c r="Y906" s="7"/>
      <c r="Z906" s="7"/>
    </row>
    <row r="907" ht="13.5" customHeight="1">
      <c r="A907" s="7"/>
      <c r="B907" s="7"/>
      <c r="C907" s="7"/>
      <c r="D907" s="7"/>
      <c r="E907" s="7"/>
      <c r="F907" s="7"/>
      <c r="G907" s="7"/>
      <c r="H907" s="7"/>
      <c r="I907" s="7"/>
      <c r="J907" s="7"/>
      <c r="K907" s="7"/>
      <c r="L907" s="7"/>
      <c r="M907" s="7"/>
      <c r="N907" s="7"/>
      <c r="O907" s="7"/>
      <c r="P907" s="7"/>
      <c r="Q907" s="7"/>
      <c r="R907" s="7"/>
      <c r="S907" s="7"/>
      <c r="T907" s="7"/>
      <c r="U907" s="7"/>
      <c r="V907" s="7"/>
      <c r="W907" s="7"/>
      <c r="X907" s="7"/>
      <c r="Y907" s="7"/>
      <c r="Z907" s="7"/>
    </row>
    <row r="908" ht="13.5" customHeight="1">
      <c r="A908" s="7"/>
      <c r="B908" s="7"/>
      <c r="C908" s="7"/>
      <c r="D908" s="7"/>
      <c r="E908" s="7"/>
      <c r="F908" s="7"/>
      <c r="G908" s="7"/>
      <c r="H908" s="7"/>
      <c r="I908" s="7"/>
      <c r="J908" s="7"/>
      <c r="K908" s="7"/>
      <c r="L908" s="7"/>
      <c r="M908" s="7"/>
      <c r="N908" s="7"/>
      <c r="O908" s="7"/>
      <c r="P908" s="7"/>
      <c r="Q908" s="7"/>
      <c r="R908" s="7"/>
      <c r="S908" s="7"/>
      <c r="T908" s="7"/>
      <c r="U908" s="7"/>
      <c r="V908" s="7"/>
      <c r="W908" s="7"/>
      <c r="X908" s="7"/>
      <c r="Y908" s="7"/>
      <c r="Z908" s="7"/>
    </row>
    <row r="909" ht="13.5" customHeight="1">
      <c r="A909" s="7"/>
      <c r="B909" s="7"/>
      <c r="C909" s="7"/>
      <c r="D909" s="7"/>
      <c r="E909" s="7"/>
      <c r="F909" s="7"/>
      <c r="G909" s="7"/>
      <c r="H909" s="7"/>
      <c r="I909" s="7"/>
      <c r="J909" s="7"/>
      <c r="K909" s="7"/>
      <c r="L909" s="7"/>
      <c r="M909" s="7"/>
      <c r="N909" s="7"/>
      <c r="O909" s="7"/>
      <c r="P909" s="7"/>
      <c r="Q909" s="7"/>
      <c r="R909" s="7"/>
      <c r="S909" s="7"/>
      <c r="T909" s="7"/>
      <c r="U909" s="7"/>
      <c r="V909" s="7"/>
      <c r="W909" s="7"/>
      <c r="X909" s="7"/>
      <c r="Y909" s="7"/>
      <c r="Z909" s="7"/>
    </row>
    <row r="910" ht="13.5" customHeight="1">
      <c r="A910" s="7"/>
      <c r="B910" s="7"/>
      <c r="C910" s="7"/>
      <c r="D910" s="7"/>
      <c r="E910" s="7"/>
      <c r="F910" s="7"/>
      <c r="G910" s="7"/>
      <c r="H910" s="7"/>
      <c r="I910" s="7"/>
      <c r="J910" s="7"/>
      <c r="K910" s="7"/>
      <c r="L910" s="7"/>
      <c r="M910" s="7"/>
      <c r="N910" s="7"/>
      <c r="O910" s="7"/>
      <c r="P910" s="7"/>
      <c r="Q910" s="7"/>
      <c r="R910" s="7"/>
      <c r="S910" s="7"/>
      <c r="T910" s="7"/>
      <c r="U910" s="7"/>
      <c r="V910" s="7"/>
      <c r="W910" s="7"/>
      <c r="X910" s="7"/>
      <c r="Y910" s="7"/>
      <c r="Z910" s="7"/>
    </row>
    <row r="911" ht="13.5" customHeight="1">
      <c r="A911" s="7"/>
      <c r="B911" s="7"/>
      <c r="C911" s="7"/>
      <c r="D911" s="7"/>
      <c r="E911" s="7"/>
      <c r="F911" s="7"/>
      <c r="G911" s="7"/>
      <c r="H911" s="7"/>
      <c r="I911" s="7"/>
      <c r="J911" s="7"/>
      <c r="K911" s="7"/>
      <c r="L911" s="7"/>
      <c r="M911" s="7"/>
      <c r="N911" s="7"/>
      <c r="O911" s="7"/>
      <c r="P911" s="7"/>
      <c r="Q911" s="7"/>
      <c r="R911" s="7"/>
      <c r="S911" s="7"/>
      <c r="T911" s="7"/>
      <c r="U911" s="7"/>
      <c r="V911" s="7"/>
      <c r="W911" s="7"/>
      <c r="X911" s="7"/>
      <c r="Y911" s="7"/>
      <c r="Z911" s="7"/>
    </row>
    <row r="912" ht="13.5" customHeight="1">
      <c r="A912" s="7"/>
      <c r="B912" s="7"/>
      <c r="C912" s="7"/>
      <c r="D912" s="7"/>
      <c r="E912" s="7"/>
      <c r="F912" s="7"/>
      <c r="G912" s="7"/>
      <c r="H912" s="7"/>
      <c r="I912" s="7"/>
      <c r="J912" s="7"/>
      <c r="K912" s="7"/>
      <c r="L912" s="7"/>
      <c r="M912" s="7"/>
      <c r="N912" s="7"/>
      <c r="O912" s="7"/>
      <c r="P912" s="7"/>
      <c r="Q912" s="7"/>
      <c r="R912" s="7"/>
      <c r="S912" s="7"/>
      <c r="T912" s="7"/>
      <c r="U912" s="7"/>
      <c r="V912" s="7"/>
      <c r="W912" s="7"/>
      <c r="X912" s="7"/>
      <c r="Y912" s="7"/>
      <c r="Z912" s="7"/>
    </row>
    <row r="913" ht="13.5" customHeight="1">
      <c r="A913" s="7"/>
      <c r="B913" s="7"/>
      <c r="C913" s="7"/>
      <c r="D913" s="7"/>
      <c r="E913" s="7"/>
      <c r="F913" s="7"/>
      <c r="G913" s="7"/>
      <c r="H913" s="7"/>
      <c r="I913" s="7"/>
      <c r="J913" s="7"/>
      <c r="K913" s="7"/>
      <c r="L913" s="7"/>
      <c r="M913" s="7"/>
      <c r="N913" s="7"/>
      <c r="O913" s="7"/>
      <c r="P913" s="7"/>
      <c r="Q913" s="7"/>
      <c r="R913" s="7"/>
      <c r="S913" s="7"/>
      <c r="T913" s="7"/>
      <c r="U913" s="7"/>
      <c r="V913" s="7"/>
      <c r="W913" s="7"/>
      <c r="X913" s="7"/>
      <c r="Y913" s="7"/>
      <c r="Z913" s="7"/>
    </row>
    <row r="914" ht="13.5" customHeight="1">
      <c r="A914" s="7"/>
      <c r="B914" s="7"/>
      <c r="C914" s="7"/>
      <c r="D914" s="7"/>
      <c r="E914" s="7"/>
      <c r="F914" s="7"/>
      <c r="G914" s="7"/>
      <c r="H914" s="7"/>
      <c r="I914" s="7"/>
      <c r="J914" s="7"/>
      <c r="K914" s="7"/>
      <c r="L914" s="7"/>
      <c r="M914" s="7"/>
      <c r="N914" s="7"/>
      <c r="O914" s="7"/>
      <c r="P914" s="7"/>
      <c r="Q914" s="7"/>
      <c r="R914" s="7"/>
      <c r="S914" s="7"/>
      <c r="T914" s="7"/>
      <c r="U914" s="7"/>
      <c r="V914" s="7"/>
      <c r="W914" s="7"/>
      <c r="X914" s="7"/>
      <c r="Y914" s="7"/>
      <c r="Z914" s="7"/>
    </row>
    <row r="915" ht="13.5" customHeight="1">
      <c r="A915" s="7"/>
      <c r="B915" s="7"/>
      <c r="C915" s="7"/>
      <c r="D915" s="7"/>
      <c r="E915" s="7"/>
      <c r="F915" s="7"/>
      <c r="G915" s="7"/>
      <c r="H915" s="7"/>
      <c r="I915" s="7"/>
      <c r="J915" s="7"/>
      <c r="K915" s="7"/>
      <c r="L915" s="7"/>
      <c r="M915" s="7"/>
      <c r="N915" s="7"/>
      <c r="O915" s="7"/>
      <c r="P915" s="7"/>
      <c r="Q915" s="7"/>
      <c r="R915" s="7"/>
      <c r="S915" s="7"/>
      <c r="T915" s="7"/>
      <c r="U915" s="7"/>
      <c r="V915" s="7"/>
      <c r="W915" s="7"/>
      <c r="X915" s="7"/>
      <c r="Y915" s="7"/>
      <c r="Z915" s="7"/>
    </row>
    <row r="916" ht="13.5" customHeight="1">
      <c r="A916" s="7"/>
      <c r="B916" s="7"/>
      <c r="C916" s="7"/>
      <c r="D916" s="7"/>
      <c r="E916" s="7"/>
      <c r="F916" s="7"/>
      <c r="G916" s="7"/>
      <c r="H916" s="7"/>
      <c r="I916" s="7"/>
      <c r="J916" s="7"/>
      <c r="K916" s="7"/>
      <c r="L916" s="7"/>
      <c r="M916" s="7"/>
      <c r="N916" s="7"/>
      <c r="O916" s="7"/>
      <c r="P916" s="7"/>
      <c r="Q916" s="7"/>
      <c r="R916" s="7"/>
      <c r="S916" s="7"/>
      <c r="T916" s="7"/>
      <c r="U916" s="7"/>
      <c r="V916" s="7"/>
      <c r="W916" s="7"/>
      <c r="X916" s="7"/>
      <c r="Y916" s="7"/>
      <c r="Z916" s="7"/>
    </row>
    <row r="917" ht="13.5" customHeight="1">
      <c r="A917" s="7"/>
      <c r="B917" s="7"/>
      <c r="C917" s="7"/>
      <c r="D917" s="7"/>
      <c r="E917" s="7"/>
      <c r="F917" s="7"/>
      <c r="G917" s="7"/>
      <c r="H917" s="7"/>
      <c r="I917" s="7"/>
      <c r="J917" s="7"/>
      <c r="K917" s="7"/>
      <c r="L917" s="7"/>
      <c r="M917" s="7"/>
      <c r="N917" s="7"/>
      <c r="O917" s="7"/>
      <c r="P917" s="7"/>
      <c r="Q917" s="7"/>
      <c r="R917" s="7"/>
      <c r="S917" s="7"/>
      <c r="T917" s="7"/>
      <c r="U917" s="7"/>
      <c r="V917" s="7"/>
      <c r="W917" s="7"/>
      <c r="X917" s="7"/>
      <c r="Y917" s="7"/>
      <c r="Z917" s="7"/>
    </row>
    <row r="918" ht="13.5" customHeight="1">
      <c r="A918" s="7"/>
      <c r="B918" s="7"/>
      <c r="C918" s="7"/>
      <c r="D918" s="7"/>
      <c r="E918" s="7"/>
      <c r="F918" s="7"/>
      <c r="G918" s="7"/>
      <c r="H918" s="7"/>
      <c r="I918" s="7"/>
      <c r="J918" s="7"/>
      <c r="K918" s="7"/>
      <c r="L918" s="7"/>
      <c r="M918" s="7"/>
      <c r="N918" s="7"/>
      <c r="O918" s="7"/>
      <c r="P918" s="7"/>
      <c r="Q918" s="7"/>
      <c r="R918" s="7"/>
      <c r="S918" s="7"/>
      <c r="T918" s="7"/>
      <c r="U918" s="7"/>
      <c r="V918" s="7"/>
      <c r="W918" s="7"/>
      <c r="X918" s="7"/>
      <c r="Y918" s="7"/>
      <c r="Z918" s="7"/>
    </row>
    <row r="919" ht="13.5" customHeight="1">
      <c r="A919" s="7"/>
      <c r="B919" s="7"/>
      <c r="C919" s="7"/>
      <c r="D919" s="7"/>
      <c r="E919" s="7"/>
      <c r="F919" s="7"/>
      <c r="G919" s="7"/>
      <c r="H919" s="7"/>
      <c r="I919" s="7"/>
      <c r="J919" s="7"/>
      <c r="K919" s="7"/>
      <c r="L919" s="7"/>
      <c r="M919" s="7"/>
      <c r="N919" s="7"/>
      <c r="O919" s="7"/>
      <c r="P919" s="7"/>
      <c r="Q919" s="7"/>
      <c r="R919" s="7"/>
      <c r="S919" s="7"/>
      <c r="T919" s="7"/>
      <c r="U919" s="7"/>
      <c r="V919" s="7"/>
      <c r="W919" s="7"/>
      <c r="X919" s="7"/>
      <c r="Y919" s="7"/>
      <c r="Z919" s="7"/>
    </row>
    <row r="920" ht="13.5" customHeight="1">
      <c r="A920" s="7"/>
      <c r="B920" s="7"/>
      <c r="C920" s="7"/>
      <c r="D920" s="7"/>
      <c r="E920" s="7"/>
      <c r="F920" s="7"/>
      <c r="G920" s="7"/>
      <c r="H920" s="7"/>
      <c r="I920" s="7"/>
      <c r="J920" s="7"/>
      <c r="K920" s="7"/>
      <c r="L920" s="7"/>
      <c r="M920" s="7"/>
      <c r="N920" s="7"/>
      <c r="O920" s="7"/>
      <c r="P920" s="7"/>
      <c r="Q920" s="7"/>
      <c r="R920" s="7"/>
      <c r="S920" s="7"/>
      <c r="T920" s="7"/>
      <c r="U920" s="7"/>
      <c r="V920" s="7"/>
      <c r="W920" s="7"/>
      <c r="X920" s="7"/>
      <c r="Y920" s="7"/>
      <c r="Z920" s="7"/>
    </row>
    <row r="921" ht="13.5" customHeight="1">
      <c r="A921" s="7"/>
      <c r="B921" s="7"/>
      <c r="C921" s="7"/>
      <c r="D921" s="7"/>
      <c r="E921" s="7"/>
      <c r="F921" s="7"/>
      <c r="G921" s="7"/>
      <c r="H921" s="7"/>
      <c r="I921" s="7"/>
      <c r="J921" s="7"/>
      <c r="K921" s="7"/>
      <c r="L921" s="7"/>
      <c r="M921" s="7"/>
      <c r="N921" s="7"/>
      <c r="O921" s="7"/>
      <c r="P921" s="7"/>
      <c r="Q921" s="7"/>
      <c r="R921" s="7"/>
      <c r="S921" s="7"/>
      <c r="T921" s="7"/>
      <c r="U921" s="7"/>
      <c r="V921" s="7"/>
      <c r="W921" s="7"/>
      <c r="X921" s="7"/>
      <c r="Y921" s="7"/>
      <c r="Z921" s="7"/>
    </row>
    <row r="922" ht="13.5" customHeight="1">
      <c r="A922" s="7"/>
      <c r="B922" s="7"/>
      <c r="C922" s="7"/>
      <c r="D922" s="7"/>
      <c r="E922" s="7"/>
      <c r="F922" s="7"/>
      <c r="G922" s="7"/>
      <c r="H922" s="7"/>
      <c r="I922" s="7"/>
      <c r="J922" s="7"/>
      <c r="K922" s="7"/>
      <c r="L922" s="7"/>
      <c r="M922" s="7"/>
      <c r="N922" s="7"/>
      <c r="O922" s="7"/>
      <c r="P922" s="7"/>
      <c r="Q922" s="7"/>
      <c r="R922" s="7"/>
      <c r="S922" s="7"/>
      <c r="T922" s="7"/>
      <c r="U922" s="7"/>
      <c r="V922" s="7"/>
      <c r="W922" s="7"/>
      <c r="X922" s="7"/>
      <c r="Y922" s="7"/>
      <c r="Z922" s="7"/>
    </row>
    <row r="923" ht="13.5" customHeight="1">
      <c r="A923" s="7"/>
      <c r="B923" s="7"/>
      <c r="C923" s="7"/>
      <c r="D923" s="7"/>
      <c r="E923" s="7"/>
      <c r="F923" s="7"/>
      <c r="G923" s="7"/>
      <c r="H923" s="7"/>
      <c r="I923" s="7"/>
      <c r="J923" s="7"/>
      <c r="K923" s="7"/>
      <c r="L923" s="7"/>
      <c r="M923" s="7"/>
      <c r="N923" s="7"/>
      <c r="O923" s="7"/>
      <c r="P923" s="7"/>
      <c r="Q923" s="7"/>
      <c r="R923" s="7"/>
      <c r="S923" s="7"/>
      <c r="T923" s="7"/>
      <c r="U923" s="7"/>
      <c r="V923" s="7"/>
      <c r="W923" s="7"/>
      <c r="X923" s="7"/>
      <c r="Y923" s="7"/>
      <c r="Z923" s="7"/>
    </row>
    <row r="924" ht="13.5" customHeight="1">
      <c r="A924" s="7"/>
      <c r="B924" s="7"/>
      <c r="C924" s="7"/>
      <c r="D924" s="7"/>
      <c r="E924" s="7"/>
      <c r="F924" s="7"/>
      <c r="G924" s="7"/>
      <c r="H924" s="7"/>
      <c r="I924" s="7"/>
      <c r="J924" s="7"/>
      <c r="K924" s="7"/>
      <c r="L924" s="7"/>
      <c r="M924" s="7"/>
      <c r="N924" s="7"/>
      <c r="O924" s="7"/>
      <c r="P924" s="7"/>
      <c r="Q924" s="7"/>
      <c r="R924" s="7"/>
      <c r="S924" s="7"/>
      <c r="T924" s="7"/>
      <c r="U924" s="7"/>
      <c r="V924" s="7"/>
      <c r="W924" s="7"/>
      <c r="X924" s="7"/>
      <c r="Y924" s="7"/>
      <c r="Z924" s="7"/>
    </row>
    <row r="925" ht="13.5" customHeight="1">
      <c r="A925" s="7"/>
      <c r="B925" s="7"/>
      <c r="C925" s="7"/>
      <c r="D925" s="7"/>
      <c r="E925" s="7"/>
      <c r="F925" s="7"/>
      <c r="G925" s="7"/>
      <c r="H925" s="7"/>
      <c r="I925" s="7"/>
      <c r="J925" s="7"/>
      <c r="K925" s="7"/>
      <c r="L925" s="7"/>
      <c r="M925" s="7"/>
      <c r="N925" s="7"/>
      <c r="O925" s="7"/>
      <c r="P925" s="7"/>
      <c r="Q925" s="7"/>
      <c r="R925" s="7"/>
      <c r="S925" s="7"/>
      <c r="T925" s="7"/>
      <c r="U925" s="7"/>
      <c r="V925" s="7"/>
      <c r="W925" s="7"/>
      <c r="X925" s="7"/>
      <c r="Y925" s="7"/>
      <c r="Z925" s="7"/>
    </row>
    <row r="926" ht="13.5" customHeight="1">
      <c r="A926" s="7"/>
      <c r="B926" s="7"/>
      <c r="C926" s="7"/>
      <c r="D926" s="7"/>
      <c r="E926" s="7"/>
      <c r="F926" s="7"/>
      <c r="G926" s="7"/>
      <c r="H926" s="7"/>
      <c r="I926" s="7"/>
      <c r="J926" s="7"/>
      <c r="K926" s="7"/>
      <c r="L926" s="7"/>
      <c r="M926" s="7"/>
      <c r="N926" s="7"/>
      <c r="O926" s="7"/>
      <c r="P926" s="7"/>
      <c r="Q926" s="7"/>
      <c r="R926" s="7"/>
      <c r="S926" s="7"/>
      <c r="T926" s="7"/>
      <c r="U926" s="7"/>
      <c r="V926" s="7"/>
      <c r="W926" s="7"/>
      <c r="X926" s="7"/>
      <c r="Y926" s="7"/>
      <c r="Z926" s="7"/>
    </row>
    <row r="927" ht="13.5" customHeight="1">
      <c r="A927" s="7"/>
      <c r="B927" s="7"/>
      <c r="C927" s="7"/>
      <c r="D927" s="7"/>
      <c r="E927" s="7"/>
      <c r="F927" s="7"/>
      <c r="G927" s="7"/>
      <c r="H927" s="7"/>
      <c r="I927" s="7"/>
      <c r="J927" s="7"/>
      <c r="K927" s="7"/>
      <c r="L927" s="7"/>
      <c r="M927" s="7"/>
      <c r="N927" s="7"/>
      <c r="O927" s="7"/>
      <c r="P927" s="7"/>
      <c r="Q927" s="7"/>
      <c r="R927" s="7"/>
      <c r="S927" s="7"/>
      <c r="T927" s="7"/>
      <c r="U927" s="7"/>
      <c r="V927" s="7"/>
      <c r="W927" s="7"/>
      <c r="X927" s="7"/>
      <c r="Y927" s="7"/>
      <c r="Z927" s="7"/>
    </row>
    <row r="928" ht="13.5" customHeight="1">
      <c r="A928" s="7"/>
      <c r="B928" s="7"/>
      <c r="C928" s="7"/>
      <c r="D928" s="7"/>
      <c r="E928" s="7"/>
      <c r="F928" s="7"/>
      <c r="G928" s="7"/>
      <c r="H928" s="7"/>
      <c r="I928" s="7"/>
      <c r="J928" s="7"/>
      <c r="K928" s="7"/>
      <c r="L928" s="7"/>
      <c r="M928" s="7"/>
      <c r="N928" s="7"/>
      <c r="O928" s="7"/>
      <c r="P928" s="7"/>
      <c r="Q928" s="7"/>
      <c r="R928" s="7"/>
      <c r="S928" s="7"/>
      <c r="T928" s="7"/>
      <c r="U928" s="7"/>
      <c r="V928" s="7"/>
      <c r="W928" s="7"/>
      <c r="X928" s="7"/>
      <c r="Y928" s="7"/>
      <c r="Z928" s="7"/>
    </row>
    <row r="929" ht="13.5" customHeight="1">
      <c r="A929" s="7"/>
      <c r="B929" s="7"/>
      <c r="C929" s="7"/>
      <c r="D929" s="7"/>
      <c r="E929" s="7"/>
      <c r="F929" s="7"/>
      <c r="G929" s="7"/>
      <c r="H929" s="7"/>
      <c r="I929" s="7"/>
      <c r="J929" s="7"/>
      <c r="K929" s="7"/>
      <c r="L929" s="7"/>
      <c r="M929" s="7"/>
      <c r="N929" s="7"/>
      <c r="O929" s="7"/>
      <c r="P929" s="7"/>
      <c r="Q929" s="7"/>
      <c r="R929" s="7"/>
      <c r="S929" s="7"/>
      <c r="T929" s="7"/>
      <c r="U929" s="7"/>
      <c r="V929" s="7"/>
      <c r="W929" s="7"/>
      <c r="X929" s="7"/>
      <c r="Y929" s="7"/>
      <c r="Z929" s="7"/>
    </row>
    <row r="930" ht="13.5" customHeight="1">
      <c r="A930" s="7"/>
      <c r="B930" s="7"/>
      <c r="C930" s="7"/>
      <c r="D930" s="7"/>
      <c r="E930" s="7"/>
      <c r="F930" s="7"/>
      <c r="G930" s="7"/>
      <c r="H930" s="7"/>
      <c r="I930" s="7"/>
      <c r="J930" s="7"/>
      <c r="K930" s="7"/>
      <c r="L930" s="7"/>
      <c r="M930" s="7"/>
      <c r="N930" s="7"/>
      <c r="O930" s="7"/>
      <c r="P930" s="7"/>
      <c r="Q930" s="7"/>
      <c r="R930" s="7"/>
      <c r="S930" s="7"/>
      <c r="T930" s="7"/>
      <c r="U930" s="7"/>
      <c r="V930" s="7"/>
      <c r="W930" s="7"/>
      <c r="X930" s="7"/>
      <c r="Y930" s="7"/>
      <c r="Z930" s="7"/>
    </row>
    <row r="931" ht="13.5" customHeight="1">
      <c r="A931" s="7"/>
      <c r="B931" s="7"/>
      <c r="C931" s="7"/>
      <c r="D931" s="7"/>
      <c r="E931" s="7"/>
      <c r="F931" s="7"/>
      <c r="G931" s="7"/>
      <c r="H931" s="7"/>
      <c r="I931" s="7"/>
      <c r="J931" s="7"/>
      <c r="K931" s="7"/>
      <c r="L931" s="7"/>
      <c r="M931" s="7"/>
      <c r="N931" s="7"/>
      <c r="O931" s="7"/>
      <c r="P931" s="7"/>
      <c r="Q931" s="7"/>
      <c r="R931" s="7"/>
      <c r="S931" s="7"/>
      <c r="T931" s="7"/>
      <c r="U931" s="7"/>
      <c r="V931" s="7"/>
      <c r="W931" s="7"/>
      <c r="X931" s="7"/>
      <c r="Y931" s="7"/>
      <c r="Z931" s="7"/>
    </row>
    <row r="932" ht="13.5" customHeight="1">
      <c r="A932" s="7"/>
      <c r="B932" s="7"/>
      <c r="C932" s="7"/>
      <c r="D932" s="7"/>
      <c r="E932" s="7"/>
      <c r="F932" s="7"/>
      <c r="G932" s="7"/>
      <c r="H932" s="7"/>
      <c r="I932" s="7"/>
      <c r="J932" s="7"/>
      <c r="K932" s="7"/>
      <c r="L932" s="7"/>
      <c r="M932" s="7"/>
      <c r="N932" s="7"/>
      <c r="O932" s="7"/>
      <c r="P932" s="7"/>
      <c r="Q932" s="7"/>
      <c r="R932" s="7"/>
      <c r="S932" s="7"/>
      <c r="T932" s="7"/>
      <c r="U932" s="7"/>
      <c r="V932" s="7"/>
      <c r="W932" s="7"/>
      <c r="X932" s="7"/>
      <c r="Y932" s="7"/>
      <c r="Z932" s="7"/>
    </row>
    <row r="933" ht="13.5" customHeight="1">
      <c r="A933" s="7"/>
      <c r="B933" s="7"/>
      <c r="C933" s="7"/>
      <c r="D933" s="7"/>
      <c r="E933" s="7"/>
      <c r="F933" s="7"/>
      <c r="G933" s="7"/>
      <c r="H933" s="7"/>
      <c r="I933" s="7"/>
      <c r="J933" s="7"/>
      <c r="K933" s="7"/>
      <c r="L933" s="7"/>
      <c r="M933" s="7"/>
      <c r="N933" s="7"/>
      <c r="O933" s="7"/>
      <c r="P933" s="7"/>
      <c r="Q933" s="7"/>
      <c r="R933" s="7"/>
      <c r="S933" s="7"/>
      <c r="T933" s="7"/>
      <c r="U933" s="7"/>
      <c r="V933" s="7"/>
      <c r="W933" s="7"/>
      <c r="X933" s="7"/>
      <c r="Y933" s="7"/>
      <c r="Z933" s="7"/>
    </row>
    <row r="934" ht="13.5" customHeight="1">
      <c r="A934" s="7"/>
      <c r="B934" s="7"/>
      <c r="C934" s="7"/>
      <c r="D934" s="7"/>
      <c r="E934" s="7"/>
      <c r="F934" s="7"/>
      <c r="G934" s="7"/>
      <c r="H934" s="7"/>
      <c r="I934" s="7"/>
      <c r="J934" s="7"/>
      <c r="K934" s="7"/>
      <c r="L934" s="7"/>
      <c r="M934" s="7"/>
      <c r="N934" s="7"/>
      <c r="O934" s="7"/>
      <c r="P934" s="7"/>
      <c r="Q934" s="7"/>
      <c r="R934" s="7"/>
      <c r="S934" s="7"/>
      <c r="T934" s="7"/>
      <c r="U934" s="7"/>
      <c r="V934" s="7"/>
      <c r="W934" s="7"/>
      <c r="X934" s="7"/>
      <c r="Y934" s="7"/>
      <c r="Z934" s="7"/>
    </row>
    <row r="935" ht="13.5" customHeight="1">
      <c r="A935" s="7"/>
      <c r="B935" s="7"/>
      <c r="C935" s="7"/>
      <c r="D935" s="7"/>
      <c r="E935" s="7"/>
      <c r="F935" s="7"/>
      <c r="G935" s="7"/>
      <c r="H935" s="7"/>
      <c r="I935" s="7"/>
      <c r="J935" s="7"/>
      <c r="K935" s="7"/>
      <c r="L935" s="7"/>
      <c r="M935" s="7"/>
      <c r="N935" s="7"/>
      <c r="O935" s="7"/>
      <c r="P935" s="7"/>
      <c r="Q935" s="7"/>
      <c r="R935" s="7"/>
      <c r="S935" s="7"/>
      <c r="T935" s="7"/>
      <c r="U935" s="7"/>
      <c r="V935" s="7"/>
      <c r="W935" s="7"/>
      <c r="X935" s="7"/>
      <c r="Y935" s="7"/>
      <c r="Z935" s="7"/>
    </row>
    <row r="936" ht="13.5" customHeight="1">
      <c r="A936" s="7"/>
      <c r="B936" s="7"/>
      <c r="C936" s="7"/>
      <c r="D936" s="7"/>
      <c r="E936" s="7"/>
      <c r="F936" s="7"/>
      <c r="G936" s="7"/>
      <c r="H936" s="7"/>
      <c r="I936" s="7"/>
      <c r="J936" s="7"/>
      <c r="K936" s="7"/>
      <c r="L936" s="7"/>
      <c r="M936" s="7"/>
      <c r="N936" s="7"/>
      <c r="O936" s="7"/>
      <c r="P936" s="7"/>
      <c r="Q936" s="7"/>
      <c r="R936" s="7"/>
      <c r="S936" s="7"/>
      <c r="T936" s="7"/>
      <c r="U936" s="7"/>
      <c r="V936" s="7"/>
      <c r="W936" s="7"/>
      <c r="X936" s="7"/>
      <c r="Y936" s="7"/>
      <c r="Z936" s="7"/>
    </row>
    <row r="937" ht="13.5" customHeight="1">
      <c r="A937" s="7"/>
      <c r="B937" s="7"/>
      <c r="C937" s="7"/>
      <c r="D937" s="7"/>
      <c r="E937" s="7"/>
      <c r="F937" s="7"/>
      <c r="G937" s="7"/>
      <c r="H937" s="7"/>
      <c r="I937" s="7"/>
      <c r="J937" s="7"/>
      <c r="K937" s="7"/>
      <c r="L937" s="7"/>
      <c r="M937" s="7"/>
      <c r="N937" s="7"/>
      <c r="O937" s="7"/>
      <c r="P937" s="7"/>
      <c r="Q937" s="7"/>
      <c r="R937" s="7"/>
      <c r="S937" s="7"/>
      <c r="T937" s="7"/>
      <c r="U937" s="7"/>
      <c r="V937" s="7"/>
      <c r="W937" s="7"/>
      <c r="X937" s="7"/>
      <c r="Y937" s="7"/>
      <c r="Z937" s="7"/>
    </row>
    <row r="938" ht="13.5" customHeight="1">
      <c r="A938" s="7"/>
      <c r="B938" s="7"/>
      <c r="C938" s="7"/>
      <c r="D938" s="7"/>
      <c r="E938" s="7"/>
      <c r="F938" s="7"/>
      <c r="G938" s="7"/>
      <c r="H938" s="7"/>
      <c r="I938" s="7"/>
      <c r="J938" s="7"/>
      <c r="K938" s="7"/>
      <c r="L938" s="7"/>
      <c r="M938" s="7"/>
      <c r="N938" s="7"/>
      <c r="O938" s="7"/>
      <c r="P938" s="7"/>
      <c r="Q938" s="7"/>
      <c r="R938" s="7"/>
      <c r="S938" s="7"/>
      <c r="T938" s="7"/>
      <c r="U938" s="7"/>
      <c r="V938" s="7"/>
      <c r="W938" s="7"/>
      <c r="X938" s="7"/>
      <c r="Y938" s="7"/>
      <c r="Z938" s="7"/>
    </row>
    <row r="939" ht="13.5" customHeight="1">
      <c r="A939" s="7"/>
      <c r="B939" s="7"/>
      <c r="C939" s="7"/>
      <c r="D939" s="7"/>
      <c r="E939" s="7"/>
      <c r="F939" s="7"/>
      <c r="G939" s="7"/>
      <c r="H939" s="7"/>
      <c r="I939" s="7"/>
      <c r="J939" s="7"/>
      <c r="K939" s="7"/>
      <c r="L939" s="7"/>
      <c r="M939" s="7"/>
      <c r="N939" s="7"/>
      <c r="O939" s="7"/>
      <c r="P939" s="7"/>
      <c r="Q939" s="7"/>
      <c r="R939" s="7"/>
      <c r="S939" s="7"/>
      <c r="T939" s="7"/>
      <c r="U939" s="7"/>
      <c r="V939" s="7"/>
      <c r="W939" s="7"/>
      <c r="X939" s="7"/>
      <c r="Y939" s="7"/>
      <c r="Z939" s="7"/>
    </row>
    <row r="940" ht="13.5" customHeight="1">
      <c r="A940" s="7"/>
      <c r="B940" s="7"/>
      <c r="C940" s="7"/>
      <c r="D940" s="7"/>
      <c r="E940" s="7"/>
      <c r="F940" s="7"/>
      <c r="G940" s="7"/>
      <c r="H940" s="7"/>
      <c r="I940" s="7"/>
      <c r="J940" s="7"/>
      <c r="K940" s="7"/>
      <c r="L940" s="7"/>
      <c r="M940" s="7"/>
      <c r="N940" s="7"/>
      <c r="O940" s="7"/>
      <c r="P940" s="7"/>
      <c r="Q940" s="7"/>
      <c r="R940" s="7"/>
      <c r="S940" s="7"/>
      <c r="T940" s="7"/>
      <c r="U940" s="7"/>
      <c r="V940" s="7"/>
      <c r="W940" s="7"/>
      <c r="X940" s="7"/>
      <c r="Y940" s="7"/>
      <c r="Z940" s="7"/>
    </row>
    <row r="941" ht="13.5" customHeight="1">
      <c r="A941" s="7"/>
      <c r="B941" s="7"/>
      <c r="C941" s="7"/>
      <c r="D941" s="7"/>
      <c r="E941" s="7"/>
      <c r="F941" s="7"/>
      <c r="G941" s="7"/>
      <c r="H941" s="7"/>
      <c r="I941" s="7"/>
      <c r="J941" s="7"/>
      <c r="K941" s="7"/>
      <c r="L941" s="7"/>
      <c r="M941" s="7"/>
      <c r="N941" s="7"/>
      <c r="O941" s="7"/>
      <c r="P941" s="7"/>
      <c r="Q941" s="7"/>
      <c r="R941" s="7"/>
      <c r="S941" s="7"/>
      <c r="T941" s="7"/>
      <c r="U941" s="7"/>
      <c r="V941" s="7"/>
      <c r="W941" s="7"/>
      <c r="X941" s="7"/>
      <c r="Y941" s="7"/>
      <c r="Z941" s="7"/>
    </row>
    <row r="942" ht="13.5" customHeight="1">
      <c r="A942" s="7"/>
      <c r="B942" s="7"/>
      <c r="C942" s="7"/>
      <c r="D942" s="7"/>
      <c r="E942" s="7"/>
      <c r="F942" s="7"/>
      <c r="G942" s="7"/>
      <c r="H942" s="7"/>
      <c r="I942" s="7"/>
      <c r="J942" s="7"/>
      <c r="K942" s="7"/>
      <c r="L942" s="7"/>
      <c r="M942" s="7"/>
      <c r="N942" s="7"/>
      <c r="O942" s="7"/>
      <c r="P942" s="7"/>
      <c r="Q942" s="7"/>
      <c r="R942" s="7"/>
      <c r="S942" s="7"/>
      <c r="T942" s="7"/>
      <c r="U942" s="7"/>
      <c r="V942" s="7"/>
      <c r="W942" s="7"/>
      <c r="X942" s="7"/>
      <c r="Y942" s="7"/>
      <c r="Z942" s="7"/>
    </row>
    <row r="943" ht="13.5" customHeight="1">
      <c r="A943" s="7"/>
      <c r="B943" s="7"/>
      <c r="C943" s="7"/>
      <c r="D943" s="7"/>
      <c r="E943" s="7"/>
      <c r="F943" s="7"/>
      <c r="G943" s="7"/>
      <c r="H943" s="7"/>
      <c r="I943" s="7"/>
      <c r="J943" s="7"/>
      <c r="K943" s="7"/>
      <c r="L943" s="7"/>
      <c r="M943" s="7"/>
      <c r="N943" s="7"/>
      <c r="O943" s="7"/>
      <c r="P943" s="7"/>
      <c r="Q943" s="7"/>
      <c r="R943" s="7"/>
      <c r="S943" s="7"/>
      <c r="T943" s="7"/>
      <c r="U943" s="7"/>
      <c r="V943" s="7"/>
      <c r="W943" s="7"/>
      <c r="X943" s="7"/>
      <c r="Y943" s="7"/>
      <c r="Z943" s="7"/>
    </row>
    <row r="944" ht="13.5" customHeight="1">
      <c r="A944" s="7"/>
      <c r="B944" s="7"/>
      <c r="C944" s="7"/>
      <c r="D944" s="7"/>
      <c r="E944" s="7"/>
      <c r="F944" s="7"/>
      <c r="G944" s="7"/>
      <c r="H944" s="7"/>
      <c r="I944" s="7"/>
      <c r="J944" s="7"/>
      <c r="K944" s="7"/>
      <c r="L944" s="7"/>
      <c r="M944" s="7"/>
      <c r="N944" s="7"/>
      <c r="O944" s="7"/>
      <c r="P944" s="7"/>
      <c r="Q944" s="7"/>
      <c r="R944" s="7"/>
      <c r="S944" s="7"/>
      <c r="T944" s="7"/>
      <c r="U944" s="7"/>
      <c r="V944" s="7"/>
      <c r="W944" s="7"/>
      <c r="X944" s="7"/>
      <c r="Y944" s="7"/>
      <c r="Z944" s="7"/>
    </row>
    <row r="945" ht="13.5" customHeight="1">
      <c r="A945" s="7"/>
      <c r="B945" s="7"/>
      <c r="C945" s="7"/>
      <c r="D945" s="7"/>
      <c r="E945" s="7"/>
      <c r="F945" s="7"/>
      <c r="G945" s="7"/>
      <c r="H945" s="7"/>
      <c r="I945" s="7"/>
      <c r="J945" s="7"/>
      <c r="K945" s="7"/>
      <c r="L945" s="7"/>
      <c r="M945" s="7"/>
      <c r="N945" s="7"/>
      <c r="O945" s="7"/>
      <c r="P945" s="7"/>
      <c r="Q945" s="7"/>
      <c r="R945" s="7"/>
      <c r="S945" s="7"/>
      <c r="T945" s="7"/>
      <c r="U945" s="7"/>
      <c r="V945" s="7"/>
      <c r="W945" s="7"/>
      <c r="X945" s="7"/>
      <c r="Y945" s="7"/>
      <c r="Z945" s="7"/>
    </row>
    <row r="946" ht="13.5" customHeight="1">
      <c r="A946" s="7"/>
      <c r="B946" s="7"/>
      <c r="C946" s="7"/>
      <c r="D946" s="7"/>
      <c r="E946" s="7"/>
      <c r="F946" s="7"/>
      <c r="G946" s="7"/>
      <c r="H946" s="7"/>
      <c r="I946" s="7"/>
      <c r="J946" s="7"/>
      <c r="K946" s="7"/>
      <c r="L946" s="7"/>
      <c r="M946" s="7"/>
      <c r="N946" s="7"/>
      <c r="O946" s="7"/>
      <c r="P946" s="7"/>
      <c r="Q946" s="7"/>
      <c r="R946" s="7"/>
      <c r="S946" s="7"/>
      <c r="T946" s="7"/>
      <c r="U946" s="7"/>
      <c r="V946" s="7"/>
      <c r="W946" s="7"/>
      <c r="X946" s="7"/>
      <c r="Y946" s="7"/>
      <c r="Z946" s="7"/>
    </row>
    <row r="947" ht="13.5" customHeight="1">
      <c r="A947" s="7"/>
      <c r="B947" s="7"/>
      <c r="C947" s="7"/>
      <c r="D947" s="7"/>
      <c r="E947" s="7"/>
      <c r="F947" s="7"/>
      <c r="G947" s="7"/>
      <c r="H947" s="7"/>
      <c r="I947" s="7"/>
      <c r="J947" s="7"/>
      <c r="K947" s="7"/>
      <c r="L947" s="7"/>
      <c r="M947" s="7"/>
      <c r="N947" s="7"/>
      <c r="O947" s="7"/>
      <c r="P947" s="7"/>
      <c r="Q947" s="7"/>
      <c r="R947" s="7"/>
      <c r="S947" s="7"/>
      <c r="T947" s="7"/>
      <c r="U947" s="7"/>
      <c r="V947" s="7"/>
      <c r="W947" s="7"/>
      <c r="X947" s="7"/>
      <c r="Y947" s="7"/>
      <c r="Z947" s="7"/>
    </row>
    <row r="948" ht="13.5" customHeight="1">
      <c r="A948" s="7"/>
      <c r="B948" s="7"/>
      <c r="C948" s="7"/>
      <c r="D948" s="7"/>
      <c r="E948" s="7"/>
      <c r="F948" s="7"/>
      <c r="G948" s="7"/>
      <c r="H948" s="7"/>
      <c r="I948" s="7"/>
      <c r="J948" s="7"/>
      <c r="K948" s="7"/>
      <c r="L948" s="7"/>
      <c r="M948" s="7"/>
      <c r="N948" s="7"/>
      <c r="O948" s="7"/>
      <c r="P948" s="7"/>
      <c r="Q948" s="7"/>
      <c r="R948" s="7"/>
      <c r="S948" s="7"/>
      <c r="T948" s="7"/>
      <c r="U948" s="7"/>
      <c r="V948" s="7"/>
      <c r="W948" s="7"/>
      <c r="X948" s="7"/>
      <c r="Y948" s="7"/>
      <c r="Z948" s="7"/>
    </row>
    <row r="949" ht="13.5" customHeight="1">
      <c r="A949" s="7"/>
      <c r="B949" s="7"/>
      <c r="C949" s="7"/>
      <c r="D949" s="7"/>
      <c r="E949" s="7"/>
      <c r="F949" s="7"/>
      <c r="G949" s="7"/>
      <c r="H949" s="7"/>
      <c r="I949" s="7"/>
      <c r="J949" s="7"/>
      <c r="K949" s="7"/>
      <c r="L949" s="7"/>
      <c r="M949" s="7"/>
      <c r="N949" s="7"/>
      <c r="O949" s="7"/>
      <c r="P949" s="7"/>
      <c r="Q949" s="7"/>
      <c r="R949" s="7"/>
      <c r="S949" s="7"/>
      <c r="T949" s="7"/>
      <c r="U949" s="7"/>
      <c r="V949" s="7"/>
      <c r="W949" s="7"/>
      <c r="X949" s="7"/>
      <c r="Y949" s="7"/>
      <c r="Z949" s="7"/>
    </row>
    <row r="950" ht="13.5" customHeight="1">
      <c r="A950" s="7"/>
      <c r="B950" s="7"/>
      <c r="C950" s="7"/>
      <c r="D950" s="7"/>
      <c r="E950" s="7"/>
      <c r="F950" s="7"/>
      <c r="G950" s="7"/>
      <c r="H950" s="7"/>
      <c r="I950" s="7"/>
      <c r="J950" s="7"/>
      <c r="K950" s="7"/>
      <c r="L950" s="7"/>
      <c r="M950" s="7"/>
      <c r="N950" s="7"/>
      <c r="O950" s="7"/>
      <c r="P950" s="7"/>
      <c r="Q950" s="7"/>
      <c r="R950" s="7"/>
      <c r="S950" s="7"/>
      <c r="T950" s="7"/>
      <c r="U950" s="7"/>
      <c r="V950" s="7"/>
      <c r="W950" s="7"/>
      <c r="X950" s="7"/>
      <c r="Y950" s="7"/>
      <c r="Z950" s="7"/>
    </row>
    <row r="951" ht="13.5" customHeight="1">
      <c r="A951" s="7"/>
      <c r="B951" s="7"/>
      <c r="C951" s="7"/>
      <c r="D951" s="7"/>
      <c r="E951" s="7"/>
      <c r="F951" s="7"/>
      <c r="G951" s="7"/>
      <c r="H951" s="7"/>
      <c r="I951" s="7"/>
      <c r="J951" s="7"/>
      <c r="K951" s="7"/>
      <c r="L951" s="7"/>
      <c r="M951" s="7"/>
      <c r="N951" s="7"/>
      <c r="O951" s="7"/>
      <c r="P951" s="7"/>
      <c r="Q951" s="7"/>
      <c r="R951" s="7"/>
      <c r="S951" s="7"/>
      <c r="T951" s="7"/>
      <c r="U951" s="7"/>
      <c r="V951" s="7"/>
      <c r="W951" s="7"/>
      <c r="X951" s="7"/>
      <c r="Y951" s="7"/>
      <c r="Z951" s="7"/>
    </row>
    <row r="952" ht="13.5" customHeight="1">
      <c r="A952" s="7"/>
      <c r="B952" s="7"/>
      <c r="C952" s="7"/>
      <c r="D952" s="7"/>
      <c r="E952" s="7"/>
      <c r="F952" s="7"/>
      <c r="G952" s="7"/>
      <c r="H952" s="7"/>
      <c r="I952" s="7"/>
      <c r="J952" s="7"/>
      <c r="K952" s="7"/>
      <c r="L952" s="7"/>
      <c r="M952" s="7"/>
      <c r="N952" s="7"/>
      <c r="O952" s="7"/>
      <c r="P952" s="7"/>
      <c r="Q952" s="7"/>
      <c r="R952" s="7"/>
      <c r="S952" s="7"/>
      <c r="T952" s="7"/>
      <c r="U952" s="7"/>
      <c r="V952" s="7"/>
      <c r="W952" s="7"/>
      <c r="X952" s="7"/>
      <c r="Y952" s="7"/>
      <c r="Z952" s="7"/>
    </row>
    <row r="953" ht="13.5" customHeight="1">
      <c r="A953" s="7"/>
      <c r="B953" s="7"/>
      <c r="C953" s="7"/>
      <c r="D953" s="7"/>
      <c r="E953" s="7"/>
      <c r="F953" s="7"/>
      <c r="G953" s="7"/>
      <c r="H953" s="7"/>
      <c r="I953" s="7"/>
      <c r="J953" s="7"/>
      <c r="K953" s="7"/>
      <c r="L953" s="7"/>
      <c r="M953" s="7"/>
      <c r="N953" s="7"/>
      <c r="O953" s="7"/>
      <c r="P953" s="7"/>
      <c r="Q953" s="7"/>
      <c r="R953" s="7"/>
      <c r="S953" s="7"/>
      <c r="T953" s="7"/>
      <c r="U953" s="7"/>
      <c r="V953" s="7"/>
      <c r="W953" s="7"/>
      <c r="X953" s="7"/>
      <c r="Y953" s="7"/>
      <c r="Z953" s="7"/>
    </row>
    <row r="954" ht="13.5" customHeight="1">
      <c r="A954" s="7"/>
      <c r="B954" s="7"/>
      <c r="C954" s="7"/>
      <c r="D954" s="7"/>
      <c r="E954" s="7"/>
      <c r="F954" s="7"/>
      <c r="G954" s="7"/>
      <c r="H954" s="7"/>
      <c r="I954" s="7"/>
      <c r="J954" s="7"/>
      <c r="K954" s="7"/>
      <c r="L954" s="7"/>
      <c r="M954" s="7"/>
      <c r="N954" s="7"/>
      <c r="O954" s="7"/>
      <c r="P954" s="7"/>
      <c r="Q954" s="7"/>
      <c r="R954" s="7"/>
      <c r="S954" s="7"/>
      <c r="T954" s="7"/>
      <c r="U954" s="7"/>
      <c r="V954" s="7"/>
      <c r="W954" s="7"/>
      <c r="X954" s="7"/>
      <c r="Y954" s="7"/>
      <c r="Z954" s="7"/>
    </row>
    <row r="955" ht="13.5" customHeight="1">
      <c r="A955" s="7"/>
      <c r="B955" s="7"/>
      <c r="C955" s="7"/>
      <c r="D955" s="7"/>
      <c r="E955" s="7"/>
      <c r="F955" s="7"/>
      <c r="G955" s="7"/>
      <c r="H955" s="7"/>
      <c r="I955" s="7"/>
      <c r="J955" s="7"/>
      <c r="K955" s="7"/>
      <c r="L955" s="7"/>
      <c r="M955" s="7"/>
      <c r="N955" s="7"/>
      <c r="O955" s="7"/>
      <c r="P955" s="7"/>
      <c r="Q955" s="7"/>
      <c r="R955" s="7"/>
      <c r="S955" s="7"/>
      <c r="T955" s="7"/>
      <c r="U955" s="7"/>
      <c r="V955" s="7"/>
      <c r="W955" s="7"/>
      <c r="X955" s="7"/>
      <c r="Y955" s="7"/>
      <c r="Z955" s="7"/>
    </row>
    <row r="956" ht="13.5" customHeight="1">
      <c r="A956" s="7"/>
      <c r="B956" s="7"/>
      <c r="C956" s="7"/>
      <c r="D956" s="7"/>
      <c r="E956" s="7"/>
      <c r="F956" s="7"/>
      <c r="G956" s="7"/>
      <c r="H956" s="7"/>
      <c r="I956" s="7"/>
      <c r="J956" s="7"/>
      <c r="K956" s="7"/>
      <c r="L956" s="7"/>
      <c r="M956" s="7"/>
      <c r="N956" s="7"/>
      <c r="O956" s="7"/>
      <c r="P956" s="7"/>
      <c r="Q956" s="7"/>
      <c r="R956" s="7"/>
      <c r="S956" s="7"/>
      <c r="T956" s="7"/>
      <c r="U956" s="7"/>
      <c r="V956" s="7"/>
      <c r="W956" s="7"/>
      <c r="X956" s="7"/>
      <c r="Y956" s="7"/>
      <c r="Z956" s="7"/>
    </row>
    <row r="957" ht="13.5" customHeight="1">
      <c r="A957" s="7"/>
      <c r="B957" s="7"/>
      <c r="C957" s="7"/>
      <c r="D957" s="7"/>
      <c r="E957" s="7"/>
      <c r="F957" s="7"/>
      <c r="G957" s="7"/>
      <c r="H957" s="7"/>
      <c r="I957" s="7"/>
      <c r="J957" s="7"/>
      <c r="K957" s="7"/>
      <c r="L957" s="7"/>
      <c r="M957" s="7"/>
      <c r="N957" s="7"/>
      <c r="O957" s="7"/>
      <c r="P957" s="7"/>
      <c r="Q957" s="7"/>
      <c r="R957" s="7"/>
      <c r="S957" s="7"/>
      <c r="T957" s="7"/>
      <c r="U957" s="7"/>
      <c r="V957" s="7"/>
      <c r="W957" s="7"/>
      <c r="X957" s="7"/>
      <c r="Y957" s="7"/>
      <c r="Z957" s="7"/>
    </row>
    <row r="958" ht="13.5" customHeight="1">
      <c r="A958" s="7"/>
      <c r="B958" s="7"/>
      <c r="C958" s="7"/>
      <c r="D958" s="7"/>
      <c r="E958" s="7"/>
      <c r="F958" s="7"/>
      <c r="G958" s="7"/>
      <c r="H958" s="7"/>
      <c r="I958" s="7"/>
      <c r="J958" s="7"/>
      <c r="K958" s="7"/>
      <c r="L958" s="7"/>
      <c r="M958" s="7"/>
      <c r="N958" s="7"/>
      <c r="O958" s="7"/>
      <c r="P958" s="7"/>
      <c r="Q958" s="7"/>
      <c r="R958" s="7"/>
      <c r="S958" s="7"/>
      <c r="T958" s="7"/>
      <c r="U958" s="7"/>
      <c r="V958" s="7"/>
      <c r="W958" s="7"/>
      <c r="X958" s="7"/>
      <c r="Y958" s="7"/>
      <c r="Z958" s="7"/>
    </row>
    <row r="959" ht="13.5" customHeight="1">
      <c r="A959" s="7"/>
      <c r="B959" s="7"/>
      <c r="C959" s="7"/>
      <c r="D959" s="7"/>
      <c r="E959" s="7"/>
      <c r="F959" s="7"/>
      <c r="G959" s="7"/>
      <c r="H959" s="7"/>
      <c r="I959" s="7"/>
      <c r="J959" s="7"/>
      <c r="K959" s="7"/>
      <c r="L959" s="7"/>
      <c r="M959" s="7"/>
      <c r="N959" s="7"/>
      <c r="O959" s="7"/>
      <c r="P959" s="7"/>
      <c r="Q959" s="7"/>
      <c r="R959" s="7"/>
      <c r="S959" s="7"/>
      <c r="T959" s="7"/>
      <c r="U959" s="7"/>
      <c r="V959" s="7"/>
      <c r="W959" s="7"/>
      <c r="X959" s="7"/>
      <c r="Y959" s="7"/>
      <c r="Z959" s="7"/>
    </row>
    <row r="960" ht="13.5" customHeight="1">
      <c r="A960" s="7"/>
      <c r="B960" s="7"/>
      <c r="C960" s="7"/>
      <c r="D960" s="7"/>
      <c r="E960" s="7"/>
      <c r="F960" s="7"/>
      <c r="G960" s="7"/>
      <c r="H960" s="7"/>
      <c r="I960" s="7"/>
      <c r="J960" s="7"/>
      <c r="K960" s="7"/>
      <c r="L960" s="7"/>
      <c r="M960" s="7"/>
      <c r="N960" s="7"/>
      <c r="O960" s="7"/>
      <c r="P960" s="7"/>
      <c r="Q960" s="7"/>
      <c r="R960" s="7"/>
      <c r="S960" s="7"/>
      <c r="T960" s="7"/>
      <c r="U960" s="7"/>
      <c r="V960" s="7"/>
      <c r="W960" s="7"/>
      <c r="X960" s="7"/>
      <c r="Y960" s="7"/>
      <c r="Z960" s="7"/>
    </row>
    <row r="961" ht="13.5" customHeight="1">
      <c r="A961" s="7"/>
      <c r="B961" s="7"/>
      <c r="C961" s="7"/>
      <c r="D961" s="7"/>
      <c r="E961" s="7"/>
      <c r="F961" s="7"/>
      <c r="G961" s="7"/>
      <c r="H961" s="7"/>
      <c r="I961" s="7"/>
      <c r="J961" s="7"/>
      <c r="K961" s="7"/>
      <c r="L961" s="7"/>
      <c r="M961" s="7"/>
      <c r="N961" s="7"/>
      <c r="O961" s="7"/>
      <c r="P961" s="7"/>
      <c r="Q961" s="7"/>
      <c r="R961" s="7"/>
      <c r="S961" s="7"/>
      <c r="T961" s="7"/>
      <c r="U961" s="7"/>
      <c r="V961" s="7"/>
      <c r="W961" s="7"/>
      <c r="X961" s="7"/>
      <c r="Y961" s="7"/>
      <c r="Z961" s="7"/>
    </row>
    <row r="962" ht="13.5" customHeight="1">
      <c r="A962" s="7"/>
      <c r="B962" s="7"/>
      <c r="C962" s="7"/>
      <c r="D962" s="7"/>
      <c r="E962" s="7"/>
      <c r="F962" s="7"/>
      <c r="G962" s="7"/>
      <c r="H962" s="7"/>
      <c r="I962" s="7"/>
      <c r="J962" s="7"/>
      <c r="K962" s="7"/>
      <c r="L962" s="7"/>
      <c r="M962" s="7"/>
      <c r="N962" s="7"/>
      <c r="O962" s="7"/>
      <c r="P962" s="7"/>
      <c r="Q962" s="7"/>
      <c r="R962" s="7"/>
      <c r="S962" s="7"/>
      <c r="T962" s="7"/>
      <c r="U962" s="7"/>
      <c r="V962" s="7"/>
      <c r="W962" s="7"/>
      <c r="X962" s="7"/>
      <c r="Y962" s="7"/>
      <c r="Z962" s="7"/>
    </row>
    <row r="963" ht="13.5" customHeight="1">
      <c r="A963" s="7"/>
      <c r="B963" s="7"/>
      <c r="C963" s="7"/>
      <c r="D963" s="7"/>
      <c r="E963" s="7"/>
      <c r="F963" s="7"/>
      <c r="G963" s="7"/>
      <c r="H963" s="7"/>
      <c r="I963" s="7"/>
      <c r="J963" s="7"/>
      <c r="K963" s="7"/>
      <c r="L963" s="7"/>
      <c r="M963" s="7"/>
      <c r="N963" s="7"/>
      <c r="O963" s="7"/>
      <c r="P963" s="7"/>
      <c r="Q963" s="7"/>
      <c r="R963" s="7"/>
      <c r="S963" s="7"/>
      <c r="T963" s="7"/>
      <c r="U963" s="7"/>
      <c r="V963" s="7"/>
      <c r="W963" s="7"/>
      <c r="X963" s="7"/>
      <c r="Y963" s="7"/>
      <c r="Z963" s="7"/>
    </row>
    <row r="964" ht="13.5" customHeight="1">
      <c r="A964" s="7"/>
      <c r="B964" s="7"/>
      <c r="C964" s="7"/>
      <c r="D964" s="7"/>
      <c r="E964" s="7"/>
      <c r="F964" s="7"/>
      <c r="G964" s="7"/>
      <c r="H964" s="7"/>
      <c r="I964" s="7"/>
      <c r="J964" s="7"/>
      <c r="K964" s="7"/>
      <c r="L964" s="7"/>
      <c r="M964" s="7"/>
      <c r="N964" s="7"/>
      <c r="O964" s="7"/>
      <c r="P964" s="7"/>
      <c r="Q964" s="7"/>
      <c r="R964" s="7"/>
      <c r="S964" s="7"/>
      <c r="T964" s="7"/>
      <c r="U964" s="7"/>
      <c r="V964" s="7"/>
      <c r="W964" s="7"/>
      <c r="X964" s="7"/>
      <c r="Y964" s="7"/>
      <c r="Z964" s="7"/>
    </row>
    <row r="965" ht="13.5" customHeight="1">
      <c r="A965" s="7"/>
      <c r="B965" s="7"/>
      <c r="C965" s="7"/>
      <c r="D965" s="7"/>
      <c r="E965" s="7"/>
      <c r="F965" s="7"/>
      <c r="G965" s="7"/>
      <c r="H965" s="7"/>
      <c r="I965" s="7"/>
      <c r="J965" s="7"/>
      <c r="K965" s="7"/>
      <c r="L965" s="7"/>
      <c r="M965" s="7"/>
      <c r="N965" s="7"/>
      <c r="O965" s="7"/>
      <c r="P965" s="7"/>
      <c r="Q965" s="7"/>
      <c r="R965" s="7"/>
      <c r="S965" s="7"/>
      <c r="T965" s="7"/>
      <c r="U965" s="7"/>
      <c r="V965" s="7"/>
      <c r="W965" s="7"/>
      <c r="X965" s="7"/>
      <c r="Y965" s="7"/>
      <c r="Z965" s="7"/>
    </row>
    <row r="966" ht="13.5" customHeight="1">
      <c r="A966" s="7"/>
      <c r="B966" s="7"/>
      <c r="C966" s="7"/>
      <c r="D966" s="7"/>
      <c r="E966" s="7"/>
      <c r="F966" s="7"/>
      <c r="G966" s="7"/>
      <c r="H966" s="7"/>
      <c r="I966" s="7"/>
      <c r="J966" s="7"/>
      <c r="K966" s="7"/>
      <c r="L966" s="7"/>
      <c r="M966" s="7"/>
      <c r="N966" s="7"/>
      <c r="O966" s="7"/>
      <c r="P966" s="7"/>
      <c r="Q966" s="7"/>
      <c r="R966" s="7"/>
      <c r="S966" s="7"/>
      <c r="T966" s="7"/>
      <c r="U966" s="7"/>
      <c r="V966" s="7"/>
      <c r="W966" s="7"/>
      <c r="X966" s="7"/>
      <c r="Y966" s="7"/>
      <c r="Z966" s="7"/>
    </row>
    <row r="967" ht="13.5" customHeight="1">
      <c r="A967" s="7"/>
      <c r="B967" s="7"/>
      <c r="C967" s="7"/>
      <c r="D967" s="7"/>
      <c r="E967" s="7"/>
      <c r="F967" s="7"/>
      <c r="G967" s="7"/>
      <c r="H967" s="7"/>
      <c r="I967" s="7"/>
      <c r="J967" s="7"/>
      <c r="K967" s="7"/>
      <c r="L967" s="7"/>
      <c r="M967" s="7"/>
      <c r="N967" s="7"/>
      <c r="O967" s="7"/>
      <c r="P967" s="7"/>
      <c r="Q967" s="7"/>
      <c r="R967" s="7"/>
      <c r="S967" s="7"/>
      <c r="T967" s="7"/>
      <c r="U967" s="7"/>
      <c r="V967" s="7"/>
      <c r="W967" s="7"/>
      <c r="X967" s="7"/>
      <c r="Y967" s="7"/>
      <c r="Z967" s="7"/>
    </row>
    <row r="968" ht="13.5" customHeight="1">
      <c r="A968" s="7"/>
      <c r="B968" s="7"/>
      <c r="C968" s="7"/>
      <c r="D968" s="7"/>
      <c r="E968" s="7"/>
      <c r="F968" s="7"/>
      <c r="G968" s="7"/>
      <c r="H968" s="7"/>
      <c r="I968" s="7"/>
      <c r="J968" s="7"/>
      <c r="K968" s="7"/>
      <c r="L968" s="7"/>
      <c r="M968" s="7"/>
      <c r="N968" s="7"/>
      <c r="O968" s="7"/>
      <c r="P968" s="7"/>
      <c r="Q968" s="7"/>
      <c r="R968" s="7"/>
      <c r="S968" s="7"/>
      <c r="T968" s="7"/>
      <c r="U968" s="7"/>
      <c r="V968" s="7"/>
      <c r="W968" s="7"/>
      <c r="X968" s="7"/>
      <c r="Y968" s="7"/>
      <c r="Z968" s="7"/>
    </row>
    <row r="969" ht="13.5" customHeight="1">
      <c r="A969" s="7"/>
      <c r="B969" s="7"/>
      <c r="C969" s="7"/>
      <c r="D969" s="7"/>
      <c r="E969" s="7"/>
      <c r="F969" s="7"/>
      <c r="G969" s="7"/>
      <c r="H969" s="7"/>
      <c r="I969" s="7"/>
      <c r="J969" s="7"/>
      <c r="K969" s="7"/>
      <c r="L969" s="7"/>
      <c r="M969" s="7"/>
      <c r="N969" s="7"/>
      <c r="O969" s="7"/>
      <c r="P969" s="7"/>
      <c r="Q969" s="7"/>
      <c r="R969" s="7"/>
      <c r="S969" s="7"/>
      <c r="T969" s="7"/>
      <c r="U969" s="7"/>
      <c r="V969" s="7"/>
      <c r="W969" s="7"/>
      <c r="X969" s="7"/>
      <c r="Y969" s="7"/>
      <c r="Z969" s="7"/>
    </row>
    <row r="970" ht="13.5" customHeight="1">
      <c r="A970" s="7"/>
      <c r="B970" s="7"/>
      <c r="C970" s="7"/>
      <c r="D970" s="7"/>
      <c r="E970" s="7"/>
      <c r="F970" s="7"/>
      <c r="G970" s="7"/>
      <c r="H970" s="7"/>
      <c r="I970" s="7"/>
      <c r="J970" s="7"/>
      <c r="K970" s="7"/>
      <c r="L970" s="7"/>
      <c r="M970" s="7"/>
      <c r="N970" s="7"/>
      <c r="O970" s="7"/>
      <c r="P970" s="7"/>
      <c r="Q970" s="7"/>
      <c r="R970" s="7"/>
      <c r="S970" s="7"/>
      <c r="T970" s="7"/>
      <c r="U970" s="7"/>
      <c r="V970" s="7"/>
      <c r="W970" s="7"/>
      <c r="X970" s="7"/>
      <c r="Y970" s="7"/>
      <c r="Z970" s="7"/>
    </row>
    <row r="971" ht="13.5" customHeight="1">
      <c r="A971" s="7"/>
      <c r="B971" s="7"/>
      <c r="C971" s="7"/>
      <c r="D971" s="7"/>
      <c r="E971" s="7"/>
      <c r="F971" s="7"/>
      <c r="G971" s="7"/>
      <c r="H971" s="7"/>
      <c r="I971" s="7"/>
      <c r="J971" s="7"/>
      <c r="K971" s="7"/>
      <c r="L971" s="7"/>
      <c r="M971" s="7"/>
      <c r="N971" s="7"/>
      <c r="O971" s="7"/>
      <c r="P971" s="7"/>
      <c r="Q971" s="7"/>
      <c r="R971" s="7"/>
      <c r="S971" s="7"/>
      <c r="T971" s="7"/>
      <c r="U971" s="7"/>
      <c r="V971" s="7"/>
      <c r="W971" s="7"/>
      <c r="X971" s="7"/>
      <c r="Y971" s="7"/>
      <c r="Z971" s="7"/>
    </row>
    <row r="972" ht="13.5" customHeight="1">
      <c r="A972" s="7"/>
      <c r="B972" s="7"/>
      <c r="C972" s="7"/>
      <c r="D972" s="7"/>
      <c r="E972" s="7"/>
      <c r="F972" s="7"/>
      <c r="G972" s="7"/>
      <c r="H972" s="7"/>
      <c r="I972" s="7"/>
      <c r="J972" s="7"/>
      <c r="K972" s="7"/>
      <c r="L972" s="7"/>
      <c r="M972" s="7"/>
      <c r="N972" s="7"/>
      <c r="O972" s="7"/>
      <c r="P972" s="7"/>
      <c r="Q972" s="7"/>
      <c r="R972" s="7"/>
      <c r="S972" s="7"/>
      <c r="T972" s="7"/>
      <c r="U972" s="7"/>
      <c r="V972" s="7"/>
      <c r="W972" s="7"/>
      <c r="X972" s="7"/>
      <c r="Y972" s="7"/>
      <c r="Z972" s="7"/>
    </row>
    <row r="973" ht="13.5" customHeight="1">
      <c r="A973" s="7"/>
      <c r="B973" s="7"/>
      <c r="C973" s="7"/>
      <c r="D973" s="7"/>
      <c r="E973" s="7"/>
      <c r="F973" s="7"/>
      <c r="G973" s="7"/>
      <c r="H973" s="7"/>
      <c r="I973" s="7"/>
      <c r="J973" s="7"/>
      <c r="K973" s="7"/>
      <c r="L973" s="7"/>
      <c r="M973" s="7"/>
      <c r="N973" s="7"/>
      <c r="O973" s="7"/>
      <c r="P973" s="7"/>
      <c r="Q973" s="7"/>
      <c r="R973" s="7"/>
      <c r="S973" s="7"/>
      <c r="T973" s="7"/>
      <c r="U973" s="7"/>
      <c r="V973" s="7"/>
      <c r="W973" s="7"/>
      <c r="X973" s="7"/>
      <c r="Y973" s="7"/>
      <c r="Z973" s="7"/>
    </row>
    <row r="974" ht="13.5" customHeight="1">
      <c r="A974" s="7"/>
      <c r="B974" s="7"/>
      <c r="C974" s="7"/>
      <c r="D974" s="7"/>
      <c r="E974" s="7"/>
      <c r="F974" s="7"/>
      <c r="G974" s="7"/>
      <c r="H974" s="7"/>
      <c r="I974" s="7"/>
      <c r="J974" s="7"/>
      <c r="K974" s="7"/>
      <c r="L974" s="7"/>
      <c r="M974" s="7"/>
      <c r="N974" s="7"/>
      <c r="O974" s="7"/>
      <c r="P974" s="7"/>
      <c r="Q974" s="7"/>
      <c r="R974" s="7"/>
      <c r="S974" s="7"/>
      <c r="T974" s="7"/>
      <c r="U974" s="7"/>
      <c r="V974" s="7"/>
      <c r="W974" s="7"/>
      <c r="X974" s="7"/>
      <c r="Y974" s="7"/>
      <c r="Z974" s="7"/>
    </row>
    <row r="975" ht="13.5" customHeight="1">
      <c r="A975" s="7"/>
      <c r="B975" s="7"/>
      <c r="C975" s="7"/>
      <c r="D975" s="7"/>
      <c r="E975" s="7"/>
      <c r="F975" s="7"/>
      <c r="G975" s="7"/>
      <c r="H975" s="7"/>
      <c r="I975" s="7"/>
      <c r="J975" s="7"/>
      <c r="K975" s="7"/>
      <c r="L975" s="7"/>
      <c r="M975" s="7"/>
      <c r="N975" s="7"/>
      <c r="O975" s="7"/>
      <c r="P975" s="7"/>
      <c r="Q975" s="7"/>
      <c r="R975" s="7"/>
      <c r="S975" s="7"/>
      <c r="T975" s="7"/>
      <c r="U975" s="7"/>
      <c r="V975" s="7"/>
      <c r="W975" s="7"/>
      <c r="X975" s="7"/>
      <c r="Y975" s="7"/>
      <c r="Z975" s="7"/>
    </row>
    <row r="976" ht="13.5" customHeight="1">
      <c r="A976" s="7"/>
      <c r="B976" s="7"/>
      <c r="C976" s="7"/>
      <c r="D976" s="7"/>
      <c r="E976" s="7"/>
      <c r="F976" s="7"/>
      <c r="G976" s="7"/>
      <c r="H976" s="7"/>
      <c r="I976" s="7"/>
      <c r="J976" s="7"/>
      <c r="K976" s="7"/>
      <c r="L976" s="7"/>
      <c r="M976" s="7"/>
      <c r="N976" s="7"/>
      <c r="O976" s="7"/>
      <c r="P976" s="7"/>
      <c r="Q976" s="7"/>
      <c r="R976" s="7"/>
      <c r="S976" s="7"/>
      <c r="T976" s="7"/>
      <c r="U976" s="7"/>
      <c r="V976" s="7"/>
      <c r="W976" s="7"/>
      <c r="X976" s="7"/>
      <c r="Y976" s="7"/>
      <c r="Z976" s="7"/>
    </row>
    <row r="977" ht="13.5" customHeight="1">
      <c r="A977" s="7"/>
      <c r="B977" s="7"/>
      <c r="C977" s="7"/>
      <c r="D977" s="7"/>
      <c r="E977" s="7"/>
      <c r="F977" s="7"/>
      <c r="G977" s="7"/>
      <c r="H977" s="7"/>
      <c r="I977" s="7"/>
      <c r="J977" s="7"/>
      <c r="K977" s="7"/>
      <c r="L977" s="7"/>
      <c r="M977" s="7"/>
      <c r="N977" s="7"/>
      <c r="O977" s="7"/>
      <c r="P977" s="7"/>
      <c r="Q977" s="7"/>
      <c r="R977" s="7"/>
      <c r="S977" s="7"/>
      <c r="T977" s="7"/>
      <c r="U977" s="7"/>
      <c r="V977" s="7"/>
      <c r="W977" s="7"/>
      <c r="X977" s="7"/>
      <c r="Y977" s="7"/>
      <c r="Z977" s="7"/>
    </row>
    <row r="978" ht="13.5" customHeight="1">
      <c r="A978" s="7"/>
      <c r="B978" s="7"/>
      <c r="C978" s="7"/>
      <c r="D978" s="7"/>
      <c r="E978" s="7"/>
      <c r="F978" s="7"/>
      <c r="G978" s="7"/>
      <c r="H978" s="7"/>
      <c r="I978" s="7"/>
      <c r="J978" s="7"/>
      <c r="K978" s="7"/>
      <c r="L978" s="7"/>
      <c r="M978" s="7"/>
      <c r="N978" s="7"/>
      <c r="O978" s="7"/>
      <c r="P978" s="7"/>
      <c r="Q978" s="7"/>
      <c r="R978" s="7"/>
      <c r="S978" s="7"/>
      <c r="T978" s="7"/>
      <c r="U978" s="7"/>
      <c r="V978" s="7"/>
      <c r="W978" s="7"/>
      <c r="X978" s="7"/>
      <c r="Y978" s="7"/>
      <c r="Z978" s="7"/>
    </row>
    <row r="979" ht="13.5" customHeight="1">
      <c r="A979" s="7"/>
      <c r="B979" s="7"/>
      <c r="C979" s="7"/>
      <c r="D979" s="7"/>
      <c r="E979" s="7"/>
      <c r="F979" s="7"/>
      <c r="G979" s="7"/>
      <c r="H979" s="7"/>
      <c r="I979" s="7"/>
      <c r="J979" s="7"/>
      <c r="K979" s="7"/>
      <c r="L979" s="7"/>
      <c r="M979" s="7"/>
      <c r="N979" s="7"/>
      <c r="O979" s="7"/>
      <c r="P979" s="7"/>
      <c r="Q979" s="7"/>
      <c r="R979" s="7"/>
      <c r="S979" s="7"/>
      <c r="T979" s="7"/>
      <c r="U979" s="7"/>
      <c r="V979" s="7"/>
      <c r="W979" s="7"/>
      <c r="X979" s="7"/>
      <c r="Y979" s="7"/>
      <c r="Z979" s="7"/>
    </row>
    <row r="980" ht="13.5" customHeight="1">
      <c r="A980" s="7"/>
      <c r="B980" s="7"/>
      <c r="C980" s="7"/>
      <c r="D980" s="7"/>
      <c r="E980" s="7"/>
      <c r="F980" s="7"/>
      <c r="G980" s="7"/>
      <c r="H980" s="7"/>
      <c r="I980" s="7"/>
      <c r="J980" s="7"/>
      <c r="K980" s="7"/>
      <c r="L980" s="7"/>
      <c r="M980" s="7"/>
      <c r="N980" s="7"/>
      <c r="O980" s="7"/>
      <c r="P980" s="7"/>
      <c r="Q980" s="7"/>
      <c r="R980" s="7"/>
      <c r="S980" s="7"/>
      <c r="T980" s="7"/>
      <c r="U980" s="7"/>
      <c r="V980" s="7"/>
      <c r="W980" s="7"/>
      <c r="X980" s="7"/>
      <c r="Y980" s="7"/>
      <c r="Z980" s="7"/>
    </row>
    <row r="981" ht="13.5" customHeight="1">
      <c r="A981" s="7"/>
      <c r="B981" s="7"/>
      <c r="C981" s="7"/>
      <c r="D981" s="7"/>
      <c r="E981" s="7"/>
      <c r="F981" s="7"/>
      <c r="G981" s="7"/>
      <c r="H981" s="7"/>
      <c r="I981" s="7"/>
      <c r="J981" s="7"/>
      <c r="K981" s="7"/>
      <c r="L981" s="7"/>
      <c r="M981" s="7"/>
      <c r="N981" s="7"/>
      <c r="O981" s="7"/>
      <c r="P981" s="7"/>
      <c r="Q981" s="7"/>
      <c r="R981" s="7"/>
      <c r="S981" s="7"/>
      <c r="T981" s="7"/>
      <c r="U981" s="7"/>
      <c r="V981" s="7"/>
      <c r="W981" s="7"/>
      <c r="X981" s="7"/>
      <c r="Y981" s="7"/>
      <c r="Z981" s="7"/>
    </row>
    <row r="982" ht="13.5" customHeight="1">
      <c r="A982" s="7"/>
      <c r="B982" s="7"/>
      <c r="C982" s="7"/>
      <c r="D982" s="7"/>
      <c r="E982" s="7"/>
      <c r="F982" s="7"/>
      <c r="G982" s="7"/>
      <c r="H982" s="7"/>
      <c r="I982" s="7"/>
      <c r="J982" s="7"/>
      <c r="K982" s="7"/>
      <c r="L982" s="7"/>
      <c r="M982" s="7"/>
      <c r="N982" s="7"/>
      <c r="O982" s="7"/>
      <c r="P982" s="7"/>
      <c r="Q982" s="7"/>
      <c r="R982" s="7"/>
      <c r="S982" s="7"/>
      <c r="T982" s="7"/>
      <c r="U982" s="7"/>
      <c r="V982" s="7"/>
      <c r="W982" s="7"/>
      <c r="X982" s="7"/>
      <c r="Y982" s="7"/>
      <c r="Z982" s="7"/>
    </row>
    <row r="983" ht="13.5" customHeight="1">
      <c r="A983" s="7"/>
      <c r="B983" s="7"/>
      <c r="C983" s="7"/>
      <c r="D983" s="7"/>
      <c r="E983" s="7"/>
      <c r="F983" s="7"/>
      <c r="G983" s="7"/>
      <c r="H983" s="7"/>
      <c r="I983" s="7"/>
      <c r="J983" s="7"/>
      <c r="K983" s="7"/>
      <c r="L983" s="7"/>
      <c r="M983" s="7"/>
      <c r="N983" s="7"/>
      <c r="O983" s="7"/>
      <c r="P983" s="7"/>
      <c r="Q983" s="7"/>
      <c r="R983" s="7"/>
      <c r="S983" s="7"/>
      <c r="T983" s="7"/>
      <c r="U983" s="7"/>
      <c r="V983" s="7"/>
      <c r="W983" s="7"/>
      <c r="X983" s="7"/>
      <c r="Y983" s="7"/>
      <c r="Z983" s="7"/>
    </row>
    <row r="984" ht="13.5" customHeight="1">
      <c r="A984" s="7"/>
      <c r="B984" s="7"/>
      <c r="C984" s="7"/>
      <c r="D984" s="7"/>
      <c r="E984" s="7"/>
      <c r="F984" s="7"/>
      <c r="G984" s="7"/>
      <c r="H984" s="7"/>
      <c r="I984" s="7"/>
      <c r="J984" s="7"/>
      <c r="K984" s="7"/>
      <c r="L984" s="7"/>
      <c r="M984" s="7"/>
      <c r="N984" s="7"/>
      <c r="O984" s="7"/>
      <c r="P984" s="7"/>
      <c r="Q984" s="7"/>
      <c r="R984" s="7"/>
      <c r="S984" s="7"/>
      <c r="T984" s="7"/>
      <c r="U984" s="7"/>
      <c r="V984" s="7"/>
      <c r="W984" s="7"/>
      <c r="X984" s="7"/>
      <c r="Y984" s="7"/>
      <c r="Z984" s="7"/>
    </row>
    <row r="985" ht="13.5" customHeight="1">
      <c r="A985" s="7"/>
      <c r="B985" s="7"/>
      <c r="C985" s="7"/>
      <c r="D985" s="7"/>
      <c r="E985" s="7"/>
      <c r="F985" s="7"/>
      <c r="G985" s="7"/>
      <c r="H985" s="7"/>
      <c r="I985" s="7"/>
      <c r="J985" s="7"/>
      <c r="K985" s="7"/>
      <c r="L985" s="7"/>
      <c r="M985" s="7"/>
      <c r="N985" s="7"/>
      <c r="O985" s="7"/>
      <c r="P985" s="7"/>
      <c r="Q985" s="7"/>
      <c r="R985" s="7"/>
      <c r="S985" s="7"/>
      <c r="T985" s="7"/>
      <c r="U985" s="7"/>
      <c r="V985" s="7"/>
      <c r="W985" s="7"/>
      <c r="X985" s="7"/>
      <c r="Y985" s="7"/>
      <c r="Z985" s="7"/>
    </row>
    <row r="986" ht="13.5" customHeight="1">
      <c r="A986" s="7"/>
      <c r="B986" s="7"/>
      <c r="C986" s="7"/>
      <c r="D986" s="7"/>
      <c r="E986" s="7"/>
      <c r="F986" s="7"/>
      <c r="G986" s="7"/>
      <c r="H986" s="7"/>
      <c r="I986" s="7"/>
      <c r="J986" s="7"/>
      <c r="K986" s="7"/>
      <c r="L986" s="7"/>
      <c r="M986" s="7"/>
      <c r="N986" s="7"/>
      <c r="O986" s="7"/>
      <c r="P986" s="7"/>
      <c r="Q986" s="7"/>
      <c r="R986" s="7"/>
      <c r="S986" s="7"/>
      <c r="T986" s="7"/>
      <c r="U986" s="7"/>
      <c r="V986" s="7"/>
      <c r="W986" s="7"/>
      <c r="X986" s="7"/>
      <c r="Y986" s="7"/>
      <c r="Z986" s="7"/>
    </row>
    <row r="987" ht="13.5" customHeight="1">
      <c r="A987" s="7"/>
      <c r="B987" s="7"/>
      <c r="C987" s="7"/>
      <c r="D987" s="7"/>
      <c r="E987" s="7"/>
      <c r="F987" s="7"/>
      <c r="G987" s="7"/>
      <c r="H987" s="7"/>
      <c r="I987" s="7"/>
      <c r="J987" s="7"/>
      <c r="K987" s="7"/>
      <c r="L987" s="7"/>
      <c r="M987" s="7"/>
      <c r="N987" s="7"/>
      <c r="O987" s="7"/>
      <c r="P987" s="7"/>
      <c r="Q987" s="7"/>
      <c r="R987" s="7"/>
      <c r="S987" s="7"/>
      <c r="T987" s="7"/>
      <c r="U987" s="7"/>
      <c r="V987" s="7"/>
      <c r="W987" s="7"/>
      <c r="X987" s="7"/>
      <c r="Y987" s="7"/>
      <c r="Z987" s="7"/>
    </row>
    <row r="988" ht="13.5" customHeight="1">
      <c r="A988" s="7"/>
      <c r="B988" s="7"/>
      <c r="C988" s="7"/>
      <c r="D988" s="7"/>
      <c r="E988" s="7"/>
      <c r="F988" s="7"/>
      <c r="G988" s="7"/>
      <c r="H988" s="7"/>
      <c r="I988" s="7"/>
      <c r="J988" s="7"/>
      <c r="K988" s="7"/>
      <c r="L988" s="7"/>
      <c r="M988" s="7"/>
      <c r="N988" s="7"/>
      <c r="O988" s="7"/>
      <c r="P988" s="7"/>
      <c r="Q988" s="7"/>
      <c r="R988" s="7"/>
      <c r="S988" s="7"/>
      <c r="T988" s="7"/>
      <c r="U988" s="7"/>
      <c r="V988" s="7"/>
      <c r="W988" s="7"/>
      <c r="X988" s="7"/>
      <c r="Y988" s="7"/>
      <c r="Z988" s="7"/>
    </row>
    <row r="989" ht="13.5" customHeight="1">
      <c r="A989" s="7"/>
      <c r="B989" s="7"/>
      <c r="C989" s="7"/>
      <c r="D989" s="7"/>
      <c r="E989" s="7"/>
      <c r="F989" s="7"/>
      <c r="G989" s="7"/>
      <c r="H989" s="7"/>
      <c r="I989" s="7"/>
      <c r="J989" s="7"/>
      <c r="K989" s="7"/>
      <c r="L989" s="7"/>
      <c r="M989" s="7"/>
      <c r="N989" s="7"/>
      <c r="O989" s="7"/>
      <c r="P989" s="7"/>
      <c r="Q989" s="7"/>
      <c r="R989" s="7"/>
      <c r="S989" s="7"/>
      <c r="T989" s="7"/>
      <c r="U989" s="7"/>
      <c r="V989" s="7"/>
      <c r="W989" s="7"/>
      <c r="X989" s="7"/>
      <c r="Y989" s="7"/>
      <c r="Z989" s="7"/>
    </row>
    <row r="990" ht="13.5" customHeight="1">
      <c r="A990" s="7"/>
      <c r="B990" s="7"/>
      <c r="C990" s="7"/>
      <c r="D990" s="7"/>
      <c r="E990" s="7"/>
      <c r="F990" s="7"/>
      <c r="G990" s="7"/>
      <c r="H990" s="7"/>
      <c r="I990" s="7"/>
      <c r="J990" s="7"/>
      <c r="K990" s="7"/>
      <c r="L990" s="7"/>
      <c r="M990" s="7"/>
      <c r="N990" s="7"/>
      <c r="O990" s="7"/>
      <c r="P990" s="7"/>
      <c r="Q990" s="7"/>
      <c r="R990" s="7"/>
      <c r="S990" s="7"/>
      <c r="T990" s="7"/>
      <c r="U990" s="7"/>
      <c r="V990" s="7"/>
      <c r="W990" s="7"/>
      <c r="X990" s="7"/>
      <c r="Y990" s="7"/>
      <c r="Z990" s="7"/>
    </row>
    <row r="991" ht="13.5" customHeight="1">
      <c r="A991" s="7"/>
      <c r="B991" s="7"/>
      <c r="C991" s="7"/>
      <c r="D991" s="7"/>
      <c r="E991" s="7"/>
      <c r="F991" s="7"/>
      <c r="G991" s="7"/>
      <c r="H991" s="7"/>
      <c r="I991" s="7"/>
      <c r="J991" s="7"/>
      <c r="K991" s="7"/>
      <c r="L991" s="7"/>
      <c r="M991" s="7"/>
      <c r="N991" s="7"/>
      <c r="O991" s="7"/>
      <c r="P991" s="7"/>
      <c r="Q991" s="7"/>
      <c r="R991" s="7"/>
      <c r="S991" s="7"/>
      <c r="T991" s="7"/>
      <c r="U991" s="7"/>
      <c r="V991" s="7"/>
      <c r="W991" s="7"/>
      <c r="X991" s="7"/>
      <c r="Y991" s="7"/>
      <c r="Z991" s="7"/>
    </row>
    <row r="992" ht="13.5" customHeight="1">
      <c r="A992" s="7"/>
      <c r="B992" s="7"/>
      <c r="C992" s="7"/>
      <c r="D992" s="7"/>
      <c r="E992" s="7"/>
      <c r="F992" s="7"/>
      <c r="G992" s="7"/>
      <c r="H992" s="7"/>
      <c r="I992" s="7"/>
      <c r="J992" s="7"/>
      <c r="K992" s="7"/>
      <c r="L992" s="7"/>
      <c r="M992" s="7"/>
      <c r="N992" s="7"/>
      <c r="O992" s="7"/>
      <c r="P992" s="7"/>
      <c r="Q992" s="7"/>
      <c r="R992" s="7"/>
      <c r="S992" s="7"/>
      <c r="T992" s="7"/>
      <c r="U992" s="7"/>
      <c r="V992" s="7"/>
      <c r="W992" s="7"/>
      <c r="X992" s="7"/>
      <c r="Y992" s="7"/>
      <c r="Z992" s="7"/>
    </row>
    <row r="993" ht="13.5" customHeight="1">
      <c r="A993" s="7"/>
      <c r="B993" s="7"/>
      <c r="C993" s="7"/>
      <c r="D993" s="7"/>
      <c r="E993" s="7"/>
      <c r="F993" s="7"/>
      <c r="G993" s="7"/>
      <c r="H993" s="7"/>
      <c r="I993" s="7"/>
      <c r="J993" s="7"/>
      <c r="K993" s="7"/>
      <c r="L993" s="7"/>
      <c r="M993" s="7"/>
      <c r="N993" s="7"/>
      <c r="O993" s="7"/>
      <c r="P993" s="7"/>
      <c r="Q993" s="7"/>
      <c r="R993" s="7"/>
      <c r="S993" s="7"/>
      <c r="T993" s="7"/>
      <c r="U993" s="7"/>
      <c r="V993" s="7"/>
      <c r="W993" s="7"/>
      <c r="X993" s="7"/>
      <c r="Y993" s="7"/>
      <c r="Z993" s="7"/>
    </row>
    <row r="994" ht="13.5" customHeight="1">
      <c r="A994" s="7"/>
      <c r="B994" s="7"/>
      <c r="C994" s="7"/>
      <c r="D994" s="7"/>
      <c r="E994" s="7"/>
      <c r="F994" s="7"/>
      <c r="G994" s="7"/>
      <c r="H994" s="7"/>
      <c r="I994" s="7"/>
      <c r="J994" s="7"/>
      <c r="K994" s="7"/>
      <c r="L994" s="7"/>
      <c r="M994" s="7"/>
      <c r="N994" s="7"/>
      <c r="O994" s="7"/>
      <c r="P994" s="7"/>
      <c r="Q994" s="7"/>
      <c r="R994" s="7"/>
      <c r="S994" s="7"/>
      <c r="T994" s="7"/>
      <c r="U994" s="7"/>
      <c r="V994" s="7"/>
      <c r="W994" s="7"/>
      <c r="X994" s="7"/>
      <c r="Y994" s="7"/>
      <c r="Z994" s="7"/>
    </row>
    <row r="995" ht="13.5" customHeight="1">
      <c r="A995" s="7"/>
      <c r="B995" s="7"/>
      <c r="C995" s="7"/>
      <c r="D995" s="7"/>
      <c r="E995" s="7"/>
      <c r="F995" s="7"/>
      <c r="G995" s="7"/>
      <c r="H995" s="7"/>
      <c r="I995" s="7"/>
      <c r="J995" s="7"/>
      <c r="K995" s="7"/>
      <c r="L995" s="7"/>
      <c r="M995" s="7"/>
      <c r="N995" s="7"/>
      <c r="O995" s="7"/>
      <c r="P995" s="7"/>
      <c r="Q995" s="7"/>
      <c r="R995" s="7"/>
      <c r="S995" s="7"/>
      <c r="T995" s="7"/>
      <c r="U995" s="7"/>
      <c r="V995" s="7"/>
      <c r="W995" s="7"/>
      <c r="X995" s="7"/>
      <c r="Y995" s="7"/>
      <c r="Z995" s="7"/>
    </row>
    <row r="996" ht="13.5" customHeight="1">
      <c r="A996" s="7"/>
      <c r="B996" s="7"/>
      <c r="C996" s="7"/>
      <c r="D996" s="7"/>
      <c r="E996" s="7"/>
      <c r="F996" s="7"/>
      <c r="G996" s="7"/>
      <c r="H996" s="7"/>
      <c r="I996" s="7"/>
      <c r="J996" s="7"/>
      <c r="K996" s="7"/>
      <c r="L996" s="7"/>
      <c r="M996" s="7"/>
      <c r="N996" s="7"/>
      <c r="O996" s="7"/>
      <c r="P996" s="7"/>
      <c r="Q996" s="7"/>
      <c r="R996" s="7"/>
      <c r="S996" s="7"/>
      <c r="T996" s="7"/>
      <c r="U996" s="7"/>
      <c r="V996" s="7"/>
      <c r="W996" s="7"/>
      <c r="X996" s="7"/>
      <c r="Y996" s="7"/>
      <c r="Z996" s="7"/>
    </row>
    <row r="997" ht="13.5" customHeight="1">
      <c r="A997" s="7"/>
      <c r="B997" s="7"/>
      <c r="C997" s="7"/>
      <c r="D997" s="7"/>
      <c r="E997" s="7"/>
      <c r="F997" s="7"/>
      <c r="G997" s="7"/>
      <c r="H997" s="7"/>
      <c r="I997" s="7"/>
      <c r="J997" s="7"/>
      <c r="K997" s="7"/>
      <c r="L997" s="7"/>
      <c r="M997" s="7"/>
      <c r="N997" s="7"/>
      <c r="O997" s="7"/>
      <c r="P997" s="7"/>
      <c r="Q997" s="7"/>
      <c r="R997" s="7"/>
      <c r="S997" s="7"/>
      <c r="T997" s="7"/>
      <c r="U997" s="7"/>
      <c r="V997" s="7"/>
      <c r="W997" s="7"/>
      <c r="X997" s="7"/>
      <c r="Y997" s="7"/>
      <c r="Z997" s="7"/>
    </row>
    <row r="998" ht="13.5" customHeight="1">
      <c r="A998" s="7"/>
      <c r="B998" s="7"/>
      <c r="C998" s="7"/>
      <c r="D998" s="7"/>
      <c r="E998" s="7"/>
      <c r="F998" s="7"/>
      <c r="G998" s="7"/>
      <c r="H998" s="7"/>
      <c r="I998" s="7"/>
      <c r="J998" s="7"/>
      <c r="K998" s="7"/>
      <c r="L998" s="7"/>
      <c r="M998" s="7"/>
      <c r="N998" s="7"/>
      <c r="O998" s="7"/>
      <c r="P998" s="7"/>
      <c r="Q998" s="7"/>
      <c r="R998" s="7"/>
      <c r="S998" s="7"/>
      <c r="T998" s="7"/>
      <c r="U998" s="7"/>
      <c r="V998" s="7"/>
      <c r="W998" s="7"/>
      <c r="X998" s="7"/>
      <c r="Y998" s="7"/>
      <c r="Z998" s="7"/>
    </row>
    <row r="999" ht="13.5" customHeight="1">
      <c r="A999" s="7"/>
      <c r="B999" s="7"/>
      <c r="C999" s="7"/>
      <c r="D999" s="7"/>
      <c r="E999" s="7"/>
      <c r="F999" s="7"/>
      <c r="G999" s="7"/>
      <c r="H999" s="7"/>
      <c r="I999" s="7"/>
      <c r="J999" s="7"/>
      <c r="K999" s="7"/>
      <c r="L999" s="7"/>
      <c r="M999" s="7"/>
      <c r="N999" s="7"/>
      <c r="O999" s="7"/>
      <c r="P999" s="7"/>
      <c r="Q999" s="7"/>
      <c r="R999" s="7"/>
      <c r="S999" s="7"/>
      <c r="T999" s="7"/>
      <c r="U999" s="7"/>
      <c r="V999" s="7"/>
      <c r="W999" s="7"/>
      <c r="X999" s="7"/>
      <c r="Y999" s="7"/>
      <c r="Z999" s="7"/>
    </row>
    <row r="1000" ht="13.5" customHeight="1">
      <c r="A1000" s="7"/>
      <c r="B1000" s="7"/>
      <c r="C1000" s="7"/>
      <c r="D1000" s="7"/>
      <c r="E1000" s="7"/>
      <c r="F1000" s="7"/>
      <c r="G1000" s="7"/>
      <c r="H1000" s="7"/>
      <c r="I1000" s="7"/>
      <c r="J1000" s="7"/>
      <c r="K1000" s="7"/>
      <c r="L1000" s="7"/>
      <c r="M1000" s="7"/>
      <c r="N1000" s="7"/>
      <c r="O1000" s="7"/>
      <c r="P1000" s="7"/>
      <c r="Q1000" s="7"/>
      <c r="R1000" s="7"/>
      <c r="S1000" s="7"/>
      <c r="T1000" s="7"/>
      <c r="U1000" s="7"/>
      <c r="V1000" s="7"/>
      <c r="W1000" s="7"/>
      <c r="X1000" s="7"/>
      <c r="Y1000" s="7"/>
      <c r="Z1000" s="7"/>
    </row>
  </sheetData>
  <dataValidations>
    <dataValidation type="custom" allowBlank="1" showInputMessage="1" showErrorMessage="1" prompt="Incorrect Min SA - Minimum 125% Premium" sqref="K5">
      <formula1>$K$5&gt;=125%</formula1>
    </dataValidation>
    <dataValidation type="custom" allowBlank="1" showDropDown="1" sqref="D3:D101">
      <formula1>AND(ISNUMBER(D3),(NOT(OR(NOT(ISERROR(DATEVALUE(D3))), AND(ISNUMBER(D3), LEFT(CELL("format", D3))="D")))))</formula1>
    </dataValidation>
  </dataValidations>
  <printOptions/>
  <pageMargins bottom="0.75" footer="0.0" header="0.0" left="0.7" right="0.7" top="0.75"/>
  <pageSetup orientation="landscape"/>
  <drawing r:id="rId1"/>
  <tableParts count="1">
    <tablePart r:id="rId3"/>
  </tableParts>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2021-04-23T10:14:10Z</dcterms:created>
  <dc:creator>Jessica Milawati</dc:creator>
</cp:coreProperties>
</file>